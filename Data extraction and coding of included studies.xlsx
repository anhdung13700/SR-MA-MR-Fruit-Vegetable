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94b678bd5e9ebe54/Máy tính/All folders go in here/Online Research Club (ORC)/582_New_vegetable_fruit_MR_SR/Manuscript/ESPN Clinical Nutrition/New manscript again/Revision!/Github/"/>
    </mc:Choice>
  </mc:AlternateContent>
  <xr:revisionPtr revIDLastSave="31" documentId="11_D9E65AC98DA5E4D749F7110ADC3A2FF542E0E234" xr6:coauthVersionLast="47" xr6:coauthVersionMax="47" xr10:uidLastSave="{1BE062DC-3940-444D-BF82-8A483681A2E2}"/>
  <bookViews>
    <workbookView xWindow="-98" yWindow="-98" windowWidth="21795" windowHeight="12345" xr2:uid="{00000000-000D-0000-FFFF-FFFF00000000}"/>
  </bookViews>
  <sheets>
    <sheet name="Paper reference based on ID" sheetId="6" r:id="rId1"/>
    <sheet name="Studies" sheetId="1" r:id="rId2"/>
    <sheet name="Comparisons" sheetId="2" r:id="rId3"/>
    <sheet name="Duplication check - Gam" sheetId="4" r:id="rId4"/>
    <sheet name="Duplication check - Dung" sheetId="5" r:id="rId5"/>
  </sheets>
  <definedNames>
    <definedName name="_xlnm._FilterDatabase" localSheetId="2" hidden="1">Comparisons!$A$3:$AC$453</definedName>
    <definedName name="_xlnm._FilterDatabase" localSheetId="4" hidden="1">'Duplication check - Dung'!$A$3:$AD$371</definedName>
    <definedName name="_xlnm._FilterDatabase" localSheetId="3" hidden="1">'Duplication check - Gam'!$A$3:$AD$371</definedName>
    <definedName name="_xlnm._FilterDatabase" localSheetId="1" hidden="1">Studies!$A$1:$AC$55</definedName>
    <definedName name="Z_64194213_366E_4200_B62A_79C273700EBA_.wvu.FilterData" localSheetId="2" hidden="1">Comparisons!$A$1:$AC$453</definedName>
  </definedNames>
  <calcPr calcId="191029"/>
  <customWorkbookViews>
    <customWorkbookView name="Filter 1" guid="{64194213-366E-4200-B62A-79C273700EBA}"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63" i="5" l="1"/>
  <c r="N308" i="5"/>
  <c r="N307" i="5"/>
  <c r="N306" i="5"/>
  <c r="N305" i="5"/>
  <c r="N304" i="5"/>
  <c r="N303" i="5"/>
  <c r="N302" i="5"/>
  <c r="N301" i="5"/>
  <c r="N300" i="5"/>
  <c r="N299" i="5"/>
  <c r="K296" i="5"/>
  <c r="K295" i="5"/>
  <c r="K294" i="5"/>
  <c r="K293" i="5"/>
  <c r="K290" i="5"/>
  <c r="K289" i="5"/>
  <c r="K288" i="5"/>
  <c r="K287" i="5"/>
  <c r="K286" i="5"/>
  <c r="K285" i="5"/>
  <c r="K284" i="5"/>
  <c r="K283" i="5"/>
  <c r="K282" i="5"/>
  <c r="K281" i="5"/>
  <c r="K280" i="5"/>
  <c r="K279" i="5"/>
  <c r="K278" i="5"/>
  <c r="K277" i="5"/>
  <c r="K276" i="5"/>
  <c r="K275" i="5"/>
  <c r="K274" i="5"/>
  <c r="K260" i="5"/>
  <c r="K259" i="5"/>
  <c r="K258" i="5"/>
  <c r="K257" i="5"/>
  <c r="K256" i="5"/>
  <c r="K255" i="5"/>
  <c r="K254" i="5"/>
  <c r="K253" i="5"/>
  <c r="K252" i="5"/>
  <c r="K251" i="5"/>
  <c r="K250" i="5"/>
  <c r="K249" i="5"/>
  <c r="K248" i="5"/>
  <c r="K235" i="5"/>
  <c r="K234" i="5"/>
  <c r="K233" i="5"/>
  <c r="K232" i="5"/>
  <c r="K231" i="5"/>
  <c r="N200" i="5"/>
  <c r="N199" i="5"/>
  <c r="N198" i="5"/>
  <c r="N197" i="5"/>
  <c r="N196" i="5"/>
  <c r="N195" i="5"/>
  <c r="N194" i="5"/>
  <c r="N193" i="5"/>
  <c r="K188" i="5"/>
  <c r="N185" i="5"/>
  <c r="N184" i="5"/>
  <c r="N183" i="5"/>
  <c r="K181" i="5"/>
  <c r="K180" i="5"/>
  <c r="K179" i="5"/>
  <c r="K178" i="5"/>
  <c r="K177" i="5"/>
  <c r="K176" i="5"/>
  <c r="K175" i="5"/>
  <c r="K174" i="5"/>
  <c r="N162" i="5"/>
  <c r="N161" i="5"/>
  <c r="N160" i="5"/>
  <c r="N159" i="5"/>
  <c r="N158" i="5"/>
  <c r="N157" i="5"/>
  <c r="N156" i="5"/>
  <c r="N155" i="5"/>
  <c r="K152" i="5"/>
  <c r="K151" i="5"/>
  <c r="K149" i="5"/>
  <c r="K148" i="5"/>
  <c r="K147" i="5"/>
  <c r="K146" i="5"/>
  <c r="K145" i="5"/>
  <c r="N103" i="5"/>
  <c r="K101" i="5"/>
  <c r="K99" i="5"/>
  <c r="K98" i="5"/>
  <c r="K93" i="5"/>
  <c r="K92" i="5"/>
  <c r="K91" i="5"/>
  <c r="K90" i="5"/>
  <c r="K89" i="5"/>
  <c r="K88" i="5"/>
  <c r="K87" i="5"/>
  <c r="K86" i="5"/>
  <c r="K85" i="5"/>
  <c r="K84" i="5"/>
  <c r="K83" i="5"/>
  <c r="K82" i="5"/>
  <c r="K81" i="5"/>
  <c r="K80" i="5"/>
  <c r="K79" i="5"/>
  <c r="K78" i="5"/>
  <c r="K77" i="5"/>
  <c r="K76" i="5"/>
  <c r="K75" i="5"/>
  <c r="K74" i="5"/>
  <c r="K73" i="5"/>
  <c r="K72" i="5"/>
  <c r="K71" i="5"/>
  <c r="K70" i="5"/>
  <c r="K69" i="5"/>
  <c r="K68" i="5"/>
  <c r="K67" i="5"/>
  <c r="K66" i="5"/>
  <c r="K65" i="5"/>
  <c r="K64" i="5"/>
  <c r="K63" i="5"/>
  <c r="K62" i="5"/>
  <c r="N56" i="5"/>
  <c r="N55" i="5"/>
  <c r="N54" i="5"/>
  <c r="N53" i="5"/>
  <c r="N52" i="5"/>
  <c r="N51" i="5"/>
  <c r="N50" i="5"/>
  <c r="N49" i="5"/>
  <c r="N48" i="5"/>
  <c r="N47" i="5"/>
  <c r="N46" i="5"/>
  <c r="N45" i="5"/>
  <c r="N44" i="5"/>
  <c r="N43" i="5"/>
  <c r="N42" i="5"/>
  <c r="N41" i="5"/>
  <c r="N39" i="5"/>
  <c r="N38" i="5"/>
  <c r="N37" i="5"/>
  <c r="N36" i="5"/>
  <c r="N35" i="5"/>
  <c r="N34" i="5"/>
  <c r="N33" i="5"/>
  <c r="N32" i="5"/>
  <c r="N31" i="5"/>
  <c r="N30" i="5"/>
  <c r="N29" i="5"/>
  <c r="N28" i="5"/>
  <c r="N27" i="5"/>
  <c r="N26" i="5"/>
  <c r="N25" i="5"/>
  <c r="N24" i="5"/>
  <c r="K22" i="5"/>
  <c r="K21" i="5"/>
  <c r="K20" i="5"/>
  <c r="K19" i="5"/>
  <c r="K18" i="5"/>
  <c r="K17" i="5"/>
  <c r="K16" i="5"/>
  <c r="K15" i="5"/>
  <c r="K14" i="5"/>
  <c r="K13" i="5"/>
  <c r="K11" i="5"/>
  <c r="K10" i="5"/>
  <c r="K9" i="5"/>
  <c r="K8" i="5"/>
  <c r="K7" i="5"/>
  <c r="K4" i="5"/>
  <c r="N349" i="4"/>
  <c r="K345" i="4"/>
  <c r="N337" i="4"/>
  <c r="K335" i="4"/>
  <c r="N331" i="4"/>
  <c r="N308" i="4"/>
  <c r="N307" i="4"/>
  <c r="N306" i="4"/>
  <c r="N305" i="4"/>
  <c r="N304" i="4"/>
  <c r="N303" i="4"/>
  <c r="N302" i="4"/>
  <c r="N301" i="4"/>
  <c r="N300" i="4"/>
  <c r="N299" i="4"/>
  <c r="K296" i="4"/>
  <c r="K295" i="4"/>
  <c r="K294" i="4"/>
  <c r="K293" i="4"/>
  <c r="K290" i="4"/>
  <c r="K289" i="4"/>
  <c r="K288" i="4"/>
  <c r="K287" i="4"/>
  <c r="N286" i="4"/>
  <c r="N285" i="4"/>
  <c r="N284" i="4"/>
  <c r="N283" i="4"/>
  <c r="K282" i="4"/>
  <c r="K280" i="4"/>
  <c r="K279" i="4"/>
  <c r="K277" i="4"/>
  <c r="K274" i="4"/>
  <c r="K260" i="4"/>
  <c r="K259" i="4"/>
  <c r="K258" i="4"/>
  <c r="K257" i="4"/>
  <c r="K256" i="4"/>
  <c r="K255" i="4"/>
  <c r="K254" i="4"/>
  <c r="K253" i="4"/>
  <c r="K252" i="4"/>
  <c r="K251" i="4"/>
  <c r="K250" i="4"/>
  <c r="K249" i="4"/>
  <c r="K248" i="4"/>
  <c r="N242" i="4"/>
  <c r="N235" i="4"/>
  <c r="K234" i="4"/>
  <c r="K233" i="4"/>
  <c r="K232" i="4"/>
  <c r="K231" i="4"/>
  <c r="K229" i="4"/>
  <c r="N225" i="4"/>
  <c r="N200" i="4"/>
  <c r="N199" i="4"/>
  <c r="N198" i="4"/>
  <c r="N197" i="4"/>
  <c r="N196" i="4"/>
  <c r="N195" i="4"/>
  <c r="N194" i="4"/>
  <c r="K191" i="4"/>
  <c r="N184" i="4"/>
  <c r="N183" i="4"/>
  <c r="K181" i="4"/>
  <c r="K180" i="4"/>
  <c r="K179" i="4"/>
  <c r="K178" i="4"/>
  <c r="K177" i="4"/>
  <c r="K176" i="4"/>
  <c r="K175" i="4"/>
  <c r="K174" i="4"/>
  <c r="K171" i="4"/>
  <c r="K169" i="4"/>
  <c r="N160" i="4"/>
  <c r="N159" i="4"/>
  <c r="N158" i="4"/>
  <c r="N157" i="4"/>
  <c r="N156" i="4"/>
  <c r="N155" i="4"/>
  <c r="K152" i="4"/>
  <c r="K151" i="4"/>
  <c r="K150" i="4"/>
  <c r="K149" i="4"/>
  <c r="K147" i="4"/>
  <c r="K143" i="4"/>
  <c r="K142" i="4"/>
  <c r="K132" i="4"/>
  <c r="K128" i="4"/>
  <c r="K123" i="4"/>
  <c r="K106" i="4"/>
  <c r="N103" i="4"/>
  <c r="N102" i="4"/>
  <c r="K101" i="4"/>
  <c r="K99" i="4"/>
  <c r="K98" i="4"/>
  <c r="K93" i="4"/>
  <c r="K92" i="4"/>
  <c r="N91" i="4"/>
  <c r="K90" i="4"/>
  <c r="K89" i="4"/>
  <c r="K88" i="4"/>
  <c r="K87" i="4"/>
  <c r="K86" i="4"/>
  <c r="K85" i="4"/>
  <c r="K84" i="4"/>
  <c r="K83" i="4"/>
  <c r="K82" i="4"/>
  <c r="K81" i="4"/>
  <c r="K80" i="4"/>
  <c r="K79" i="4"/>
  <c r="K78" i="4"/>
  <c r="K77" i="4"/>
  <c r="K76" i="4"/>
  <c r="K75" i="4"/>
  <c r="K74" i="4"/>
  <c r="K73" i="4"/>
  <c r="K72" i="4"/>
  <c r="K71" i="4"/>
  <c r="K70" i="4"/>
  <c r="K69" i="4"/>
  <c r="K68" i="4"/>
  <c r="K67" i="4"/>
  <c r="K66" i="4"/>
  <c r="K65" i="4"/>
  <c r="K64" i="4"/>
  <c r="K63" i="4"/>
  <c r="K62" i="4"/>
  <c r="K56" i="4"/>
  <c r="N55" i="4"/>
  <c r="N54" i="4"/>
  <c r="N53" i="4"/>
  <c r="N51" i="4"/>
  <c r="N50" i="4"/>
  <c r="N49" i="4"/>
  <c r="N47" i="4"/>
  <c r="N46" i="4"/>
  <c r="N45" i="4"/>
  <c r="N43" i="4"/>
  <c r="N42" i="4"/>
  <c r="N41" i="4"/>
  <c r="K40" i="4"/>
  <c r="N38" i="4"/>
  <c r="N37" i="4"/>
  <c r="N36" i="4"/>
  <c r="K35" i="4"/>
  <c r="N34" i="4"/>
  <c r="N33" i="4"/>
  <c r="N32" i="4"/>
  <c r="K31" i="4"/>
  <c r="N30" i="4"/>
  <c r="N29" i="4"/>
  <c r="N28" i="4"/>
  <c r="N26" i="4"/>
  <c r="N25" i="4"/>
  <c r="N24" i="4"/>
  <c r="K22" i="4"/>
  <c r="K21" i="4"/>
  <c r="K20" i="4"/>
  <c r="K18" i="4"/>
  <c r="K17" i="4"/>
  <c r="K16" i="4"/>
  <c r="K14" i="4"/>
  <c r="K13" i="4"/>
  <c r="K12" i="4"/>
  <c r="K11" i="4"/>
  <c r="K10" i="4"/>
  <c r="K8" i="4"/>
  <c r="K7" i="4"/>
  <c r="K4" i="4"/>
  <c r="J453" i="2"/>
  <c r="J445" i="2"/>
  <c r="J444" i="2"/>
  <c r="J443" i="2"/>
  <c r="J442" i="2"/>
  <c r="J440" i="2"/>
  <c r="J439" i="2"/>
  <c r="J438" i="2"/>
  <c r="J437" i="2"/>
  <c r="J436" i="2"/>
  <c r="J435" i="2"/>
  <c r="J434" i="2"/>
  <c r="J433" i="2"/>
  <c r="J432" i="2"/>
  <c r="J431" i="2"/>
  <c r="J430" i="2"/>
  <c r="J429" i="2"/>
  <c r="J428" i="2"/>
  <c r="J427" i="2"/>
  <c r="J426" i="2"/>
  <c r="J425" i="2"/>
  <c r="J424" i="2"/>
  <c r="J423" i="2"/>
  <c r="J422" i="2"/>
  <c r="J421" i="2"/>
  <c r="J420" i="2"/>
  <c r="J419" i="2"/>
  <c r="J418" i="2"/>
  <c r="J417" i="2"/>
  <c r="J416" i="2"/>
  <c r="J415" i="2"/>
  <c r="M386" i="2"/>
  <c r="M385" i="2"/>
  <c r="M384" i="2"/>
  <c r="M383" i="2"/>
  <c r="M382" i="2"/>
  <c r="M381" i="2"/>
  <c r="M380" i="2"/>
  <c r="M379" i="2"/>
  <c r="M378" i="2"/>
  <c r="M377" i="2"/>
  <c r="J374" i="2"/>
  <c r="J373" i="2"/>
  <c r="J372" i="2"/>
  <c r="J371" i="2"/>
  <c r="J368" i="2"/>
  <c r="J367" i="2"/>
  <c r="J366" i="2"/>
  <c r="J365" i="2"/>
  <c r="J364" i="2"/>
  <c r="J363" i="2"/>
  <c r="J362" i="2"/>
  <c r="J361" i="2"/>
  <c r="J360" i="2"/>
  <c r="J359" i="2"/>
  <c r="J358" i="2"/>
  <c r="J357" i="2"/>
  <c r="J356" i="2"/>
  <c r="J355" i="2"/>
  <c r="J354" i="2"/>
  <c r="J353" i="2"/>
  <c r="J352" i="2"/>
  <c r="J338" i="2"/>
  <c r="J337" i="2"/>
  <c r="J336" i="2"/>
  <c r="J335" i="2"/>
  <c r="J334" i="2"/>
  <c r="J333" i="2"/>
  <c r="J332" i="2"/>
  <c r="J331" i="2"/>
  <c r="J330" i="2"/>
  <c r="J329" i="2"/>
  <c r="J328" i="2"/>
  <c r="J327" i="2"/>
  <c r="J326" i="2"/>
  <c r="J313" i="2"/>
  <c r="J312" i="2"/>
  <c r="J311" i="2"/>
  <c r="J310" i="2"/>
  <c r="J309" i="2"/>
  <c r="M278" i="2"/>
  <c r="M277" i="2"/>
  <c r="M276" i="2"/>
  <c r="M275" i="2"/>
  <c r="M274" i="2"/>
  <c r="M273" i="2"/>
  <c r="M272" i="2"/>
  <c r="M271" i="2"/>
  <c r="M263" i="2"/>
  <c r="M262" i="2"/>
  <c r="M261" i="2"/>
  <c r="J259" i="2"/>
  <c r="J258" i="2"/>
  <c r="J257" i="2"/>
  <c r="J256" i="2"/>
  <c r="J255" i="2"/>
  <c r="J254" i="2"/>
  <c r="J253" i="2"/>
  <c r="J252" i="2"/>
  <c r="M240" i="2"/>
  <c r="M239" i="2"/>
  <c r="M238" i="2"/>
  <c r="M237" i="2"/>
  <c r="M236" i="2"/>
  <c r="M235" i="2"/>
  <c r="M234" i="2"/>
  <c r="M233" i="2"/>
  <c r="J230" i="2"/>
  <c r="J229" i="2"/>
  <c r="J228" i="2"/>
  <c r="J227" i="2"/>
  <c r="J226" i="2"/>
  <c r="J225" i="2"/>
  <c r="J224" i="2"/>
  <c r="J223" i="2"/>
  <c r="M181" i="2"/>
  <c r="J179" i="2"/>
  <c r="J177" i="2"/>
  <c r="J176" i="2"/>
  <c r="J171" i="2"/>
  <c r="J170" i="2"/>
  <c r="J169" i="2"/>
  <c r="J168" i="2"/>
  <c r="J167" i="2"/>
  <c r="J166" i="2"/>
  <c r="J165" i="2"/>
  <c r="J164" i="2"/>
  <c r="J163" i="2"/>
  <c r="J162" i="2"/>
  <c r="J161" i="2"/>
  <c r="J160" i="2"/>
  <c r="J159" i="2"/>
  <c r="J158" i="2"/>
  <c r="J157" i="2"/>
  <c r="J156" i="2"/>
  <c r="J155" i="2"/>
  <c r="J154" i="2"/>
  <c r="J153" i="2"/>
  <c r="J152" i="2"/>
  <c r="J151" i="2"/>
  <c r="J150" i="2"/>
  <c r="J149" i="2"/>
  <c r="J148" i="2"/>
  <c r="J147" i="2"/>
  <c r="J146" i="2"/>
  <c r="J145" i="2"/>
  <c r="J144" i="2"/>
  <c r="J143" i="2"/>
  <c r="J142" i="2"/>
  <c r="J141" i="2"/>
  <c r="J140" i="2"/>
  <c r="M135" i="2"/>
  <c r="M134" i="2"/>
  <c r="M133" i="2"/>
  <c r="M132" i="2"/>
  <c r="M131" i="2"/>
  <c r="M130" i="2"/>
  <c r="M129" i="2"/>
  <c r="M128" i="2"/>
  <c r="M127" i="2"/>
  <c r="M126" i="2"/>
  <c r="M125" i="2"/>
  <c r="M124" i="2"/>
  <c r="M123" i="2"/>
  <c r="M122" i="2"/>
  <c r="M121" i="2"/>
  <c r="M120" i="2"/>
  <c r="M118" i="2"/>
  <c r="M117" i="2"/>
  <c r="M116" i="2"/>
  <c r="M115" i="2"/>
  <c r="M114" i="2"/>
  <c r="M113" i="2"/>
  <c r="M112" i="2"/>
  <c r="M111" i="2"/>
  <c r="M110" i="2"/>
  <c r="M109" i="2"/>
  <c r="M108" i="2"/>
  <c r="M107" i="2"/>
  <c r="M106" i="2"/>
  <c r="M105" i="2"/>
  <c r="M104" i="2"/>
  <c r="M103" i="2"/>
  <c r="J101" i="2"/>
  <c r="J100" i="2"/>
  <c r="J99" i="2"/>
  <c r="J98" i="2"/>
  <c r="J97" i="2"/>
  <c r="J96" i="2"/>
  <c r="J95" i="2"/>
  <c r="J94" i="2"/>
  <c r="J93" i="2"/>
  <c r="J92" i="2"/>
  <c r="J91" i="2"/>
  <c r="J90" i="2"/>
  <c r="J89" i="2"/>
  <c r="J88" i="2"/>
  <c r="J87" i="2"/>
  <c r="J86" i="2"/>
  <c r="J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tc={b8290227-9a29-4c1a-83d3-4a72f732ceca}</author>
    <author>tc={90cfa63e-a6f8-4257-8e68-440380e57076}</author>
  </authors>
  <commentList>
    <comment ref="G35" authorId="0" shapeId="0" xr:uid="{B8290227-9A29-4C1A-83D3-4A72F732CECA}">
      <text>
        <t>[Threaded comment]
Your version of Excel allows you to read this threaded comment; however, any edits to it will get removed if the file is opened in a newer version of Excel. Learn more: https://go.microsoft.com/fwlink/?linkid=870924
Comment:
    Kiểm tra lại thêm bài của Duy, chị thấy Gấm làm đúng, Duy làm bị thiếu</t>
      </text>
    </comment>
    <comment ref="G43" authorId="1" shapeId="0" xr:uid="{90CFA63E-A6F8-4257-8E68-440380E57076}">
      <text>
        <t>[Threaded comment]
Your version of Excel allows you to read this threaded comment; however, any edits to it will get removed if the file is opened in a newer version of Excel. Learn more: https://go.microsoft.com/fwlink/?linkid=870924
Comment:
    Kiểm tra lại thêm bài của Duy, chị thấy Gấm làm đúng, Duy làm bị thiếu/ sai</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tc={7b2a8af0-5f24-48a0-abf8-25f157615a41}</author>
    <author>tc={28be5458-28e4-42f1-a159-71d68f8ff3bb}</author>
    <author>tc={09c8e0dc-b935-4019-b32c-f46d6d37d8a0}</author>
    <author>tc={f7be8e0e-1bd8-4323-817e-56b01d801d6f}</author>
    <author>tc={b8f08978-a4ec-409b-b457-76da262505e3}</author>
    <author>tc={f51f798e-dbe7-43a8-b60c-53c028f729c2}</author>
    <author>tc={9475cf11-3895-48d8-b302-8ba5a3b2a2fc}</author>
    <author>tc={08574138-6169-4a21-a82b-7adcddcbe2ed}</author>
    <author>tc={63cd4692-be24-4df8-a113-7a74f135f69c}</author>
    <author>tc={f9e537cb-8248-4ef2-b459-d51511dcede6}</author>
    <author>tc={58f49ea2-75a7-4542-9241-c4f3b2e970b5}</author>
    <author>tc={f7e187cc-371e-4f70-ae84-422360cdbcf3}</author>
    <author/>
    <author>tc={ff9d0bab-e4be-4e96-99ef-78182ac5a847}</author>
  </authors>
  <commentList>
    <comment ref="E5" authorId="0" shapeId="0" xr:uid="{7B2A8AF0-5F24-48A0-ABF8-25F157615A41}">
      <text>
        <t>[Threaded comment]
Your version of Excel allows you to read this threaded comment; however, any edits to it will get removed if the file is opened in a newer version of Excel. Learn more: https://go.microsoft.com/fwlink/?linkid=870924
Comment:
    ?</t>
      </text>
    </comment>
    <comment ref="F5" authorId="1" shapeId="0" xr:uid="{28BE5458-28E4-42F1-A159-71D68F8FF3BB}">
      <text>
        <t>[Threaded comment]
Your version of Excel allows you to read this threaded comment; however, any edits to it will get removed if the file is opened in a newer version of Excel. Learn more: https://go.microsoft.com/fwlink/?linkid=870924
Comment:
    ?</t>
      </text>
    </comment>
    <comment ref="H5" authorId="2" shapeId="0" xr:uid="{09C8E0DC-B935-4019-B32C-F46D6D37D8A0}">
      <text>
        <t>[Threaded comment]
Your version of Excel allows you to read this threaded comment; however, any edits to it will get removed if the file is opened in a newer version of Excel. Learn more: https://go.microsoft.com/fwlink/?linkid=870924
Comment:
    ?</t>
      </text>
    </comment>
    <comment ref="K5" authorId="3" shapeId="0" xr:uid="{F7BE8E0E-1BD8-4323-817E-56B01D801D6F}">
      <text>
        <t>[Threaded comment]
Your version of Excel allows you to read this threaded comment; however, any edits to it will get removed if the file is opened in a newer version of Excel. Learn more: https://go.microsoft.com/fwlink/?linkid=870924
Comment:
    ?</t>
      </text>
    </comment>
    <comment ref="K11" authorId="4" shapeId="0" xr:uid="{B8F08978-A4EC-409B-B457-76DA262505E3}">
      <text>
        <t>[Threaded comment]
Your version of Excel allows you to read this threaded comment; however, any edits to it will get removed if the file is opened in a newer version of Excel. Learn more: https://go.microsoft.com/fwlink/?linkid=870924
Comment:
    Kiểm tra lại full-text</t>
      </text>
    </comment>
    <comment ref="E14" authorId="5" shapeId="0" xr:uid="{F51F798E-DBE7-43A8-B60C-53C028F729C2}">
      <text>
        <t>[Threaded comment]
Your version of Excel allows you to read this threaded comment; however, any edits to it will get removed if the file is opened in a newer version of Excel. Learn more: https://go.microsoft.com/fwlink/?linkid=870924
Comment:
    Cột E</t>
      </text>
    </comment>
    <comment ref="F14" authorId="6" shapeId="0" xr:uid="{9475CF11-3895-48D8-B302-8BA5A3B2A2FC}">
      <text>
        <t>[Threaded comment]
Your version of Excel allows you to read this threaded comment; however, any edits to it will get removed if the file is opened in a newer version of Excel. Learn more: https://go.microsoft.com/fwlink/?linkid=870924
Comment:
    Cột F</t>
      </text>
    </comment>
    <comment ref="A246" authorId="7" shapeId="0" xr:uid="{08574138-6169-4A21-A82B-7ADCDDCBE2ED}">
      <text>
        <t>[Threaded comment]
Your version of Excel allows you to read this threaded comment; however, any edits to it will get removed if the file is opened in a newer version of Excel. Learn more: https://go.microsoft.com/fwlink/?linkid=870924
Comment:
    Duplicate N18</t>
      </text>
    </comment>
    <comment ref="B327" authorId="8" shapeId="0" xr:uid="{63CD4692-BE24-4DF8-A113-7A74F135F69C}">
      <text>
        <t>[Threaded comment]
Your version of Excel allows you to read this threaded comment; however, any edits to it will get removed if the file is opened in a newer version of Excel. Learn more: https://go.microsoft.com/fwlink/?linkid=870924
Comment:
    ieu-a-996 already included in GCST004748</t>
      </text>
    </comment>
    <comment ref="B333" authorId="9" shapeId="0" xr:uid="{F9E537CB-8248-4EF2-B459-D51511DCEDE6}">
      <text>
        <t>[Threaded comment]
Your version of Excel allows you to read this threaded comment; however, any edits to it will get removed if the file is opened in a newer version of Excel. Learn more: https://go.microsoft.com/fwlink/?linkid=870924
Comment:
    ieu-a-996 already included in GCST004748</t>
      </text>
    </comment>
    <comment ref="A347" authorId="10" shapeId="0" xr:uid="{58F49EA2-75A7-4542-9241-C4F3B2E970B5}">
      <text>
        <t>[Threaded comment]
Your version of Excel allows you to read this threaded comment; however, any edits to it will get removed if the file is opened in a newer version of Excel. Learn more: https://go.microsoft.com/fwlink/?linkid=870924
Comment:
    Duplicate ID47 themselves</t>
      </text>
    </comment>
    <comment ref="B353" authorId="11" shapeId="0" xr:uid="{F7E187CC-371E-4F70-AE84-422360CDBCF3}">
      <text>
        <t>[Threaded comment]
Your version of Excel allows you to read this threaded comment; however, any edits to it will get removed if the file is opened in a newer version of Excel. Learn more: https://go.microsoft.com/fwlink/?linkid=870924
Comment:
    ieu-a-996 already included in GCST004748</t>
      </text>
    </comment>
    <comment ref="Q434" authorId="12" shapeId="0" xr:uid="{00000000-0006-0000-0100-000001000000}">
      <text>
        <r>
          <rPr>
            <sz val="10"/>
            <color rgb="FF000000"/>
            <rFont val="Calibri"/>
            <scheme val="minor"/>
          </rPr>
          <t xml:space="preserve">Standard
</t>
        </r>
      </text>
    </comment>
    <comment ref="A453" authorId="13" shapeId="0" xr:uid="{FF9D0BAB-E4BE-4E96-99EF-78182AC5A847}">
      <text>
        <t>[Threaded comment]
Your version of Excel allows you to read this threaded comment; however, any edits to it will get removed if the file is opened in a newer version of Excel. Learn more: https://go.microsoft.com/fwlink/?linkid=870924
Comment:
    Duplicate N18 themselves</t>
      </text>
    </comment>
  </commentList>
</comments>
</file>

<file path=xl/sharedStrings.xml><?xml version="1.0" encoding="utf-8"?>
<sst xmlns="http://schemas.openxmlformats.org/spreadsheetml/2006/main" count="24987" uniqueCount="3013">
  <si>
    <t>Study sources</t>
  </si>
  <si>
    <t>Included paper</t>
  </si>
  <si>
    <t>Consensus coder</t>
  </si>
  <si>
    <t>ID32</t>
  </si>
  <si>
    <t>Initial coders</t>
  </si>
  <si>
    <t>Status</t>
  </si>
  <si>
    <t>Study source</t>
  </si>
  <si>
    <t>X_description</t>
  </si>
  <si>
    <t>Y_description</t>
  </si>
  <si>
    <t>IV_criteria</t>
  </si>
  <si>
    <t>MR_multivariable</t>
  </si>
  <si>
    <t>Multivariable_contradict</t>
  </si>
  <si>
    <t>Notes</t>
  </si>
  <si>
    <t>QA</t>
  </si>
  <si>
    <t>Description</t>
  </si>
  <si>
    <t>Outcome (IVW)</t>
  </si>
  <si>
    <t>Outcome (Weighted median)</t>
  </si>
  <si>
    <t>Outcome (MR-Egger)</t>
  </si>
  <si>
    <t>Sorting relevant results</t>
  </si>
  <si>
    <t>ID72</t>
  </si>
  <si>
    <t>ID164</t>
  </si>
  <si>
    <t>ID167</t>
  </si>
  <si>
    <t>Done</t>
  </si>
  <si>
    <t>Coder</t>
  </si>
  <si>
    <t>N10</t>
  </si>
  <si>
    <t>ID 72</t>
  </si>
  <si>
    <t>1. Cooked vegetable intake
2. Raw vegetable intake
2. Dried fruit intake
3. Fresh fruit intake</t>
  </si>
  <si>
    <t>1. Calculus of kidney and ureter
2. Calculus of lower urinary tract</t>
  </si>
  <si>
    <t>MR_type</t>
  </si>
  <si>
    <t>X_name</t>
  </si>
  <si>
    <t>"SNPs that were associated with food intakes were extracted with a genome-wide significance threshold (p &lt; 5 × 10−8). SNPs in linkage disequilibrium were identified and excluded with LD clumping method (R2 &gt; 0.01 or within 5000 kilobases distance)". "The F-statistics of all exposures were all higher than 10, indicating a low risk of weak instrument bias."</t>
  </si>
  <si>
    <t>Y_name</t>
  </si>
  <si>
    <t>"We have used MVMR in this study to estimate the causal effects of fresh fruit intake on urolithiasis after adjusting for circulating vitamin C and vitamin D levels"</t>
  </si>
  <si>
    <t>N11</t>
  </si>
  <si>
    <t>X_source</t>
  </si>
  <si>
    <t>In IVW analysis, fresh fruit intake was negatively associated with lower urinary tract (P&lt;.05), but this relationship was non-significant in the multivariable model (OR=0.299, 95%CI: 0.069 - 1.295)</t>
  </si>
  <si>
    <t>Y_source</t>
  </si>
  <si>
    <t>X_Consortium</t>
  </si>
  <si>
    <t>Y_Consortium</t>
  </si>
  <si>
    <t>Y_sample_size</t>
  </si>
  <si>
    <t>N12</t>
  </si>
  <si>
    <t>n_SNPs</t>
  </si>
  <si>
    <t>n_cases</t>
  </si>
  <si>
    <t>n_non_cases</t>
  </si>
  <si>
    <t>X_unit</t>
  </si>
  <si>
    <t>Statistical_unit</t>
  </si>
  <si>
    <t>F-statistics</t>
  </si>
  <si>
    <t>Effect_size</t>
  </si>
  <si>
    <t>ID35</t>
  </si>
  <si>
    <t>95%CI</t>
  </si>
  <si>
    <t>P-value (effect size)</t>
  </si>
  <si>
    <t xml:space="preserve">Cochran’s_Q_test </t>
  </si>
  <si>
    <t>Dung</t>
  </si>
  <si>
    <t>P-value_Q_test</t>
  </si>
  <si>
    <t>Dan, Vy</t>
  </si>
  <si>
    <t>ID127</t>
  </si>
  <si>
    <t>ID50</t>
  </si>
  <si>
    <t>1. Cooked vegetables consumption
2. Dried Fruit
3. Fresh Fruit
4. Salad/raw vegetable</t>
  </si>
  <si>
    <t>AQP4‑positive neuromyelitis optica spectrum disorders</t>
  </si>
  <si>
    <t>Health_cat</t>
  </si>
  <si>
    <t>Health_subcat</t>
  </si>
  <si>
    <t>"As a frst step, we determined whether the chosen independent genetic variants were signifcantly associated with each instrument for each exposure (p&lt;5× 10−8). We applied clumping with R2&lt;0.001 and a window size&gt;5,000 kb to avoid LD26. Averaging SNP-specifc F-statistics was used to avoid weak IVs, and IVs with F values&gt;10 were considered strong"</t>
  </si>
  <si>
    <t>NA</t>
  </si>
  <si>
    <t>ID71</t>
  </si>
  <si>
    <t>N21</t>
  </si>
  <si>
    <t>Dan, Salah</t>
  </si>
  <si>
    <t>N22</t>
  </si>
  <si>
    <t>ID128</t>
  </si>
  <si>
    <t>Breast cancer, ER+, and ER-</t>
  </si>
  <si>
    <t>"First, to extract SNPs genetically linked to the traits, we performed rigorous screening (p &lt; 5 × 10−8; minor allele frequency [MAF] &gt; 0.01) of SNPs associated with the dietary patterns". "Second, to remove linkage disequilibrium IVs, we excluded SNPs with r2 &gt; 0.001, with the most significant SNPs within a clumping distance of 10,000 kb. Third, to remove incompatible and palindromic SNPs whose direction could not be determined, we harmonized the data. Data harmonization helps avoid redundant calculations of the same allele across datasets. Palindromic variants were removed by eliminating alleles with frequencies close to 50% (24)."</t>
  </si>
  <si>
    <t>Minh Anh</t>
  </si>
  <si>
    <t>N20</t>
  </si>
  <si>
    <t>ID  141</t>
  </si>
  <si>
    <t>N3</t>
  </si>
  <si>
    <t>2 sample</t>
  </si>
  <si>
    <t>Fresh fruit intake</t>
  </si>
  <si>
    <t xml:space="preserve">Depression </t>
  </si>
  <si>
    <t>ID49</t>
  </si>
  <si>
    <t>ID138</t>
  </si>
  <si>
    <t>NR</t>
  </si>
  <si>
    <t>Fresh fruit intake
Dried fruit intake
Salad / raw vegetable intake
Cooked vegetable intake</t>
  </si>
  <si>
    <t>https://www.nature.com/articles/s41467-018-03819-3</t>
  </si>
  <si>
    <t>Knee Osteoarthritis
Hip Osteoarthritis
Spine Osteoarthritis
Hand Osteoarthritis
Total knee replacement
Total hip replacement</t>
  </si>
  <si>
    <t>"In order to include more SNPs as IVs to investigate more relationships between dietary intake habits and osteoarthritis, we used the threshold of p&lt;5e-6 for IV filtering, and we removed chained unbalanced IVs (clumping: r2=0.001, kb=10,000) to ensure that each IV was independent of each other (15). We also excluded SNPs associated with outcome (p&lt;5e-5) and retained only strong instrumental variables (F statistics&gt;10) (16). Finally, we dropped outliers using MR-Presso and used the remaining SNPs as the final IVs for the MR analyses."</t>
  </si>
  <si>
    <t>ID47</t>
  </si>
  <si>
    <t>"In addition, we obtained data on body mass index (BMI), total body bone mineral density (TB-BMD) and smoking status in the same way that was used to exclude the effects of these 3 common risk factors for osteoarthritis in the multivariate MR study."
"Three common risk factors for osteoarthritis were considered as multivariate models: (a) M1: BMI; (b) M2: TB-BMD (c) M3: ever smoked. In the multivariate MR analyses, we mainly applied the IVW method and the MR Egger method was also used to determine whether the results were pleiotropic or not."</t>
  </si>
  <si>
    <t>ID39</t>
  </si>
  <si>
    <t>ID28</t>
  </si>
  <si>
    <t>ID139</t>
  </si>
  <si>
    <t>Servings of raw vegetables per day</t>
  </si>
  <si>
    <t>Osteoporosis</t>
  </si>
  <si>
    <t xml:space="preserve">UK Biobank </t>
  </si>
  <si>
    <t>"Recent large-scale GWAS data of dietary habits were used here [10]. Briefly, phenotype derivation and genomic analysis were conducted on a homogenous population of 455,146 participants of European ancestry. LDstore v1.157 was used to calculate linkage disequilibrium (LD) and to identify SNPs in high LD (r2 ≥ 0.80) with any of the 77,229, 95% credible set SNPs. We used a strict Bonferroni correction threshold for all pair-wise tests between 143 dietary habits and 3219 highly correlated and even overlapping Neale Lab GWAS traits (p &lt; 0.05/460,317 = 1.09 × 10−7 ). The linear mixed GWAS models were con_x0002_ducted on the 143 significantly heritable dietary habits (including both curated measures of single food intake (FI) and multivariate dietary patterns (DPs)) in up to 449,210 participants by using the Food Frequency Questionnaire (FFQ) data. FFQs offer useful information about the dietary intake and the relationship between it and the health and disease outcomes [11]. Due to their ease of administration, low burden on participants and staff, and lower cost compared to other assessment techniques, FFQs have been widely used in large population-based studies [12]. In total, 814 LD-independent loci (defined as &gt;500 kb apart) were identified that surpassed genome-wide significance (p &lt; 5.0 × 10−8 ). Detailed information on the study design, sample characteristics, quality control, and statistical analyses could be found in the published study"</t>
  </si>
  <si>
    <t>ID140</t>
  </si>
  <si>
    <t>1. Cooked vegetable intake
2. Raw vegetable intake
3. Dried fruit intake
4. Fresh fruit intake</t>
  </si>
  <si>
    <t>1. Lung cancer
2. Lung adenocarcinoma
3. Squamus cell lung cancer
4. Small cell lung cancer</t>
  </si>
  <si>
    <t>"To select valid IVs, we included single nucleotide polymorphisms (SNPs) at the genomewide significant level (p&lt;5×10−8) (21) and used strict cutoff values (R2&lt;0.01; region size=5,000kb) to remove SNPs that are in linkage disequilibrium" "For these diets, we chose to use a relaxed threshold (p&lt;1×10−5; R2&lt;0.01; region size=5,000kb) to select SNPs. Second, SNPs with a minimum allele frequency (MAF) less than 0.05 were excluded because the association between these SNPs and dietary intake was estimated to be unstable. To satisfy the second critical hypothesis, the subphenotype of the selected SNP was evaluated using the PhenoScanner database (p&lt;5×10−8)" "Only the SNP with F statistics &gt;10 is considered to be included in the MR analysis."</t>
  </si>
  <si>
    <t>SD</t>
  </si>
  <si>
    <t>Odd ratio (OR)</t>
  </si>
  <si>
    <t>46.3</t>
  </si>
  <si>
    <t>ID141</t>
  </si>
  <si>
    <t>(0.87-0.96)</t>
  </si>
  <si>
    <t>5.09E-04</t>
  </si>
  <si>
    <t>Tuan, Mayah</t>
  </si>
  <si>
    <t>0.10</t>
  </si>
  <si>
    <t>ID142</t>
  </si>
  <si>
    <t>Depression</t>
  </si>
  <si>
    <t>0.58</t>
  </si>
  <si>
    <t>Under the framework of two-sample Mendelian randomization studies, this study utilizes SNPs as instrumental variables (IVs) for MR analysis, and adheres to the three fundamental assumptions of MR analysis. Assumption I posits that genetic variations are robustly associated with exposure (Fruit intake). To minimize bias, it is important to use IVs with strong correlations (p &lt; 5 × 10−8), and the F-statistic of the genetic tool should be above 10. Assumption II states that any confounding factors that influence the relationship between genetic variation and the outcome of exposure are not relevant. To address this issue, we restricted the sample population to Europeans. Additionally, we obtained phenotype information for each SNP from Phenoscanner1 and manually excluded any SNPs that were found to have an impact on outcome-related phenotypes. Assumption III asserts that the impact of genetic variation on the outcome can only be achieved through its association with the exposure. To address this issue, we utilized MR-Egger regression and the Mendelian Randomization Pleiotropy RESidual Sum and Outlier (MR-PRESSO) method to minimize the potential for horizontal pleiotropy and conducted sensitivity analyze (Figure 1B).</t>
  </si>
  <si>
    <t>Other diseases/disorders</t>
  </si>
  <si>
    <t>ID144</t>
  </si>
  <si>
    <t xml:space="preserve"> chronic knee pain (KP)</t>
  </si>
  <si>
    <t>Mental diseases</t>
  </si>
  <si>
    <t>ukb-b-3881</t>
  </si>
  <si>
    <t>ukb-b-8906</t>
  </si>
  <si>
    <t>finn-b-F5_DEPRESSIO</t>
  </si>
  <si>
    <r>
      <rPr>
        <sz val="11"/>
        <color rgb="FF000000"/>
        <rFont val="Calibri"/>
      </rPr>
      <t>UK Biobank</t>
    </r>
  </si>
  <si>
    <r>
      <rPr>
        <sz val="11"/>
        <color rgb="FF000000"/>
        <rFont val="Calibri"/>
      </rPr>
      <t>UK Biobank</t>
    </r>
  </si>
  <si>
    <t>ID145</t>
  </si>
  <si>
    <t>ID150</t>
  </si>
  <si>
    <t>ID151</t>
  </si>
  <si>
    <t>ID2</t>
  </si>
  <si>
    <t>ID 138</t>
  </si>
  <si>
    <t>ID22</t>
  </si>
  <si>
    <t>Knee Osteoarthritis</t>
  </si>
  <si>
    <t>https://www.cell.com/cell/fulltext/S0092-8674(21)00941-7</t>
  </si>
  <si>
    <t>ID40</t>
  </si>
  <si>
    <t>Fruit consumers</t>
  </si>
  <si>
    <t>Colorectal cancer</t>
  </si>
  <si>
    <t>Beta coefficient (β)</t>
  </si>
  <si>
    <t>ID45</t>
  </si>
  <si>
    <t>0.04(SE)</t>
  </si>
  <si>
    <t>In order to perform MR analysis, it is imperative to adhere to three essential assumptions: relevance, independence, and exclusion restriction. Consequently, a rigorous selection process was applied to all IVs used for subsequent analysis. Initially, we identified SNPs closely linked to the exposure (P &lt; 5 × 10-6) and excluded those with an F-statistic &lt; 10, ensuring their significance and reducing the potential for weak IV bias.
The F-statistic utilized in this study is defined by the formula R2 × (N − K − 1)/(1 −R2) where R2 represents the variance in exposure explained by each IV. R2 = 2 × β2 × EAF × (1 − EAF)/(2 × β2 × EAF × (1 − EAF) + 2 × SE2 × N × EAF × (1 − EAF)), where β denotes the allele effect size, EAF signifies the effect allele frequency, K is the number of IVs, and N is the sample size of the GWAS study. Subsequently, to ensure the independence of IVs, SNPs with strong linkage disequilibrium were excluded (r2&lt; 0.001, kb = 10,000). Thirdly, the chosen IVs were examined for associations with other phenotypes (http://www.phenoscanner.medschl.cam.ac.uk/) to further mitigate the potential impact of horizontal pleiotropy on the study. Finally, the datasets related to the exposure and outcome were harmonized to ensure that the effect alleles were consistently aligned.</t>
  </si>
  <si>
    <t>UK Biobank</t>
  </si>
  <si>
    <t>0.06(SE)</t>
  </si>
  <si>
    <t>ID60</t>
  </si>
  <si>
    <t>Genetics of Osteoarthritis</t>
  </si>
  <si>
    <t>396,054</t>
  </si>
  <si>
    <t>137</t>
  </si>
  <si>
    <t>ID64</t>
  </si>
  <si>
    <t>Chronic diseases</t>
  </si>
  <si>
    <t>1.15213</t>
  </si>
  <si>
    <t>ID66</t>
  </si>
  <si>
    <t>0.91-1.459</t>
  </si>
  <si>
    <t>2.39E-01</t>
  </si>
  <si>
    <t>Others</t>
  </si>
  <si>
    <t>1.15437</t>
  </si>
  <si>
    <t>0.875-1.523</t>
  </si>
  <si>
    <t>ID67</t>
  </si>
  <si>
    <t>3.10E-01</t>
  </si>
  <si>
    <t>1.086622</t>
  </si>
  <si>
    <t>0.464-2.543</t>
  </si>
  <si>
    <t>8.48E-01</t>
  </si>
  <si>
    <t>ID70</t>
  </si>
  <si>
    <t>Gam, Dan</t>
  </si>
  <si>
    <t>Musculoskeletal system diseases</t>
  </si>
  <si>
    <t>ID73</t>
  </si>
  <si>
    <t>Adhesive capsulitis of shoulder</t>
  </si>
  <si>
    <t>"SNPs were extracted from the IEU GWAS database project (https://gwas.mrcieu.ac.uk/), which was developed by the IEU at the University of Bristol. We screened the SNPs were strongly associated with exposures at the genome-wide significance level (P &lt; 5 × 10–8), the linkage disequilibrium level (r2 &lt; 0.001), and clumping window &gt; 10,000 kb. We used the F statistic to ensure a strong correlation between IVs and exposure, and it is generally believed that the F statistic &gt;10 is considered to meet the strong correlation requirement."</t>
  </si>
  <si>
    <t>ID75</t>
  </si>
  <si>
    <t>ID76</t>
  </si>
  <si>
    <t>ID79</t>
  </si>
  <si>
    <t>ID 142</t>
  </si>
  <si>
    <t>ID82</t>
  </si>
  <si>
    <t>Dried fruit intake</t>
  </si>
  <si>
    <t>ukb-b-16576</t>
  </si>
  <si>
    <t>ID 145</t>
  </si>
  <si>
    <t>ID89</t>
  </si>
  <si>
    <t>1. Cooked vegetable intake
 2. Raw vegetable intake
 3. Dried fruit intake
 4. Fresh fruit intake</t>
  </si>
  <si>
    <t>e FinnGen Consortium</t>
  </si>
  <si>
    <t>Asthma</t>
  </si>
  <si>
    <t>177,028</t>
  </si>
  <si>
    <t>152</t>
  </si>
  <si>
    <t>"We screened the SNPs intensely related with exposures at the genome-wide significance level (p &lt; 5×10–8), clumping window &gt; 10,000 kb, and the linkage disequilibrium level (r2 &lt; 0.001). The F statistic was used to ensure the strong association between IVs and exposure, The F statistic greater than 10 was generally considered to meet the requirements of strong association ."</t>
  </si>
  <si>
    <t>3,022</t>
  </si>
  <si>
    <t>N1</t>
  </si>
  <si>
    <t>174,006</t>
  </si>
  <si>
    <t>N15</t>
  </si>
  <si>
    <t>20.908</t>
  </si>
  <si>
    <t>0.76026</t>
  </si>
  <si>
    <t>0.159</t>
  </si>
  <si>
    <t>0.642-0.9</t>
  </si>
  <si>
    <t>(0.033-
0.759)</t>
  </si>
  <si>
    <t>1.50E-03</t>
  </si>
  <si>
    <t>0.021</t>
  </si>
  <si>
    <t>14.907</t>
  </si>
  <si>
    <t>N17</t>
  </si>
  <si>
    <t>0.247</t>
  </si>
  <si>
    <t>0.764697</t>
  </si>
  <si>
    <t>0.310</t>
  </si>
  <si>
    <t>0.625-0.936</t>
  </si>
  <si>
    <t>(0.033-
2.925)</t>
  </si>
  <si>
    <t>9.12E-03</t>
  </si>
  <si>
    <t>0.307</t>
  </si>
  <si>
    <t>0.917734</t>
  </si>
  <si>
    <t>11.183</t>
  </si>
  <si>
    <t>N18</t>
  </si>
  <si>
    <t>0.476-1.769</t>
  </si>
  <si>
    <t>7.98E-01</t>
  </si>
  <si>
    <t>N19</t>
  </si>
  <si>
    <t>(0.090-
1386.369)</t>
  </si>
  <si>
    <t>0.347</t>
  </si>
  <si>
    <t>ID 150</t>
  </si>
  <si>
    <t>N5</t>
  </si>
  <si>
    <t>Cancers</t>
  </si>
  <si>
    <t>1. Coronary artery disease
 2. Myocardial infarction
 3. Heart failure
 4. Any ischemic stroke
 4.1. Large artery stroke
 4.2. Small vessel stroke
 4.3. Cardioembolic stroke</t>
  </si>
  <si>
    <t>"To identify SNPs significantly associated with dried fruit intake as valid IVs, we chose a cutoff p-value &lt; 5 × 10–8 as genome-wide significance. In addition, SNPs within a window size of 10000 kb at a threshold of r2 &lt; 0.001 were pruned to mitigate linkage disequilibrium (LD). In addition, we downloaded GWAS summary data of fasting glucose, fasting insulin, type 2 diabetes, BMI, SBP, DBP, LDL, HDL, and TC, removing SNPs from IVs that were closely associated (p-value &lt; 5 × 10–8) with these confounders. Finally, we calculated the F-statistic to assess the degree of weak instrumental bias. If the F statistic &gt; 10, it was considered that no bias was caused by weak IVs".</t>
  </si>
  <si>
    <t>N7</t>
  </si>
  <si>
    <t>N8</t>
  </si>
  <si>
    <t>N9</t>
  </si>
  <si>
    <t>ID 75</t>
  </si>
  <si>
    <t>N2</t>
  </si>
  <si>
    <t>Salad / raw vegetable intake</t>
  </si>
  <si>
    <t>pieces of dried fruit per day</t>
  </si>
  <si>
    <t>121</t>
  </si>
  <si>
    <t>ukb-b-1996</t>
  </si>
  <si>
    <t>Anxiety</t>
  </si>
  <si>
    <t>Ukb - 1319</t>
  </si>
  <si>
    <t>Finngen</t>
  </si>
  <si>
    <t>103</t>
  </si>
  <si>
    <t>4584</t>
  </si>
  <si>
    <t>19225</t>
  </si>
  <si>
    <t>fruit intake (fresh, dried), vegetable intake (raw, cooked),</t>
  </si>
  <si>
    <t>Prostate Cancer</t>
  </si>
  <si>
    <t>34.99543</t>
  </si>
  <si>
    <t>0.967808</t>
  </si>
  <si>
    <t>0.774</t>
  </si>
  <si>
    <t>0.757-1.237</t>
  </si>
  <si>
    <t>7.94E-01</t>
  </si>
  <si>
    <t>1.183824</t>
  </si>
  <si>
    <t>Seventeen traits of seven types of behavioral factors were selected: tobacco smoking (smoking status, initiation, lifetime smoking index [LSI]), alcohol drinking (frequency, quantity), fruit intake (fresh, dried), vegetable intake (raw, cooked), physical activity (vigorous, moderate, light), sexual behavior (age of initiation, number of sexual partners), and sleep behavior (insomnia, nap during day, daytime dozing). The instrumental variables (SNPs) of these traits were obtained from publicly downloadable sources, including (i) the UK Biobank study, (ii) the GWAS and Sequencing Consortium of Alcohol and Nicotine use (GSCAN), (iii) the MRC Integrative Epidemiology Unit (MRC-IEU), and (iv) the Within family GWAS consortium.
The selection criteria of the SNPs of these traits were: (i) the largest GWAS studies to date, (ii) summative data available and sufficient for our analyses; (iii) clear definition, as well as a relatively accurate evaluation of the magnitude of the exposures. To meet the relevance assumption, we further restricted those SNPs associated with behaviors at a genome-wide significant level (p &lt; 5 × 10−8). Due to a small number of SNPs of these traits performed in the East Asian population, the p level was set at 5 × 10−5. In addition, only those with a long physical distance (not within the same linkage disequilibrium region; ≥10,000 kb for European ancestry; ≥5000 kb for East Asian ancestry) and less probable linkage disequilibrium (r2 &lt; 0.001 for European ancestry; r2 &lt; 0.01 for East Asian ancestry) were retained. To meet the independence assumption, socioeconomic factors and body mass index were empirically assumed to be confounders, and were further excluded by searching the Phenoscanner V2 database (Supplementary Data S1 and S2). The final included SNPs were listed in Supplementary Data S3–S6.</t>
  </si>
  <si>
    <t>0.888-1.579</t>
  </si>
  <si>
    <t>2.50E-01</t>
  </si>
  <si>
    <t>0.757362</t>
  </si>
  <si>
    <t>Finally, a multivariable MR analysis was applied to estimate the effect of multiple exposures with shared genetic predictors on the risk of PCa [18]. Taking the collinearity of multiple exposures into account, we only selected one phenotype with strongest effect from each behavior in the MVMR models. An additional sensitivity analysis of MVMR was performed using the MR-least absolute shrinkage and selection operator (LASSO) method. A detailed analytic plan for this study was described in Text S1 in the Supplementary Materials.
All statistical tests were two-tailed, and associations were considered statistically significant at a p &lt; 0.05 level. The analyses were performed using the TwoSampleMR (v0.5.6), MendelianRandomization (v0.6.0), MRPRESSO (v1.0), RadialMR (v1.0), and MVMR (v0.3) packages in R4.1.2 (R Foundation for Statistical Computing, Vienna, Austria).</t>
  </si>
  <si>
    <t>0.46-1.3</t>
  </si>
  <si>
    <t>0.337-1.702</t>
  </si>
  <si>
    <t>0.33683416</t>
  </si>
  <si>
    <t>5.03E-01</t>
  </si>
  <si>
    <t>1.20</t>
  </si>
  <si>
    <t>0.64-2.24</t>
  </si>
  <si>
    <t>0.565076</t>
  </si>
  <si>
    <t>1.26</t>
  </si>
  <si>
    <t>0.16-10.23</t>
  </si>
  <si>
    <t>0.828815</t>
  </si>
  <si>
    <t>ID152</t>
  </si>
  <si>
    <t>Cooked vegetable intake</t>
  </si>
  <si>
    <t>Idiopathic pulmonary fibrosis</t>
  </si>
  <si>
    <t>ukb-b-8089</t>
  </si>
  <si>
    <t>Cooked vegetables consumption</t>
  </si>
  <si>
    <t>93</t>
  </si>
  <si>
    <r>
      <rPr>
        <sz val="11"/>
        <color rgb="FF000000"/>
        <rFont val="Calibri"/>
      </rPr>
      <t>AQP4‑positive n</t>
    </r>
    <r>
      <rPr>
        <sz val="11"/>
        <color rgb="FF000000"/>
        <rFont val="Calibri"/>
      </rPr>
      <t>euromyelitis optica spectrum disorders</t>
    </r>
  </si>
  <si>
    <t>GCST90096907</t>
  </si>
  <si>
    <t>1.24757</t>
  </si>
  <si>
    <t>GCST006937</t>
  </si>
  <si>
    <t>1.014-1.535</t>
  </si>
  <si>
    <t>ebi</t>
  </si>
  <si>
    <t>3.68E-02</t>
  </si>
  <si>
    <t>1.193186</t>
  </si>
  <si>
    <t>0.901-1.58</t>
  </si>
  <si>
    <t>2.18E-01</t>
  </si>
  <si>
    <t>1.268456</t>
  </si>
  <si>
    <t>0.611-2.635</t>
  </si>
  <si>
    <t>5.25E-01</t>
  </si>
  <si>
    <t>My Ngoc, Dong Dung</t>
  </si>
  <si>
    <t>1. Cooked vegetable intake
2. Dried fruit intake
3. Fresh fruit intake
4. Salad / raw vegetable intake</t>
  </si>
  <si>
    <t>1.  multi-site chronic pain (MCP)
2. chronic back pain (BP)
3. chronic headache (Headache)
4. chronic knee pain (KP)
5. chronic neck/shoulder pain (NP)
6. chronic hip pain (HP)</t>
  </si>
  <si>
    <r>
      <rPr>
        <sz val="11"/>
        <color rgb="FF000000"/>
        <rFont val="Calibri"/>
      </rPr>
      <t>NR</t>
    </r>
  </si>
  <si>
    <t>We established five criteria to screen single-nucleotide polymorphisms (SNPs) used as instrumental variables:
(a) We selected SNPs significantly correlated with dietary habits (p &lt; 5 × 10−8), ensuring their independence from each other (r2 &lt; 0.001) within a clumping distance of 10,000 kb;
(b) SNPs associated with the outcomes of interest (p &lt; 5 × 10−8) were excluded from the instrumental variables;
(c) SNPs associated with potential confounding factors, such as educational attainment, living habits (e.g., usual walking pace, time spent watching television), smoking, and other dietary habits, were excluded from all analyses. The relevant information was obtained from the PhenoScanner database V2 (http://www.phenoscanner.medschl.cam.ac.uk/, accessed on 10 June 2023);
(d) To ensure a strong correlation between instrumental variables and exposure factors, we verified that the F-statistic of each SNP was larger than 10 using the formula F = β2/SEβ2;
(e) Palindromic SNPs with intermediate allele frequencies were excluded from the analysis to maintain consistency between the effects of SNPs on exposures and outcomes.</t>
  </si>
  <si>
    <t>25429.244</t>
  </si>
  <si>
    <t xml:space="preserve">They also did MR-PRESSO analysis so aspect 1 is checked
Aspect 3: PhenoScanner </t>
  </si>
  <si>
    <t>0.000301 - 2.15E+22</t>
  </si>
  <si>
    <t>0.504</t>
  </si>
  <si>
    <t>94160.1182</t>
  </si>
  <si>
    <t>2.28032E-11 - 3.8881E+20</t>
  </si>
  <si>
    <t>Hip Osteoarthritis</t>
  </si>
  <si>
    <t>0.532</t>
  </si>
  <si>
    <t>5.8834E+25</t>
  </si>
  <si>
    <t>1.74053E-26 - 1.99E+87</t>
  </si>
  <si>
    <t>353,388</t>
  </si>
  <si>
    <t>0.422090505</t>
  </si>
  <si>
    <t>139</t>
  </si>
  <si>
    <t>1.Gastroesophageal reflux disease (GERD)
2. Barrett’s esophagus (BE) 
3. Esophageal cancer (EC)</t>
  </si>
  <si>
    <t>1.176019</t>
  </si>
  <si>
    <t>0.865-1.598</t>
  </si>
  <si>
    <t>3.00E-01</t>
  </si>
  <si>
    <t>"SNPs strongly associated with each dietary pattern based on a threshold of P &lt; 5×10−8. Linkage disequilibrium (LD) clumping was performed using parameters (r2 &lt; 0.001 and window size = 10,000 kb) to ensure the independence of these SNPs. In addition, the F statistic was calculated to assess the bias of the weak instrumental variables. When the F statistic &gt; 10, the bias of weak instrumental variables can be ignored . Data on exposure and outcome were merged and harmonized by effect alleles . We discarded SNPs associated to outcomes from the merged data."</t>
  </si>
  <si>
    <t>"We used multivariable MR analysis to adjust for potential confounders between different dietary patterns."</t>
  </si>
  <si>
    <t>1.283784</t>
  </si>
  <si>
    <t>0.881-1.87</t>
  </si>
  <si>
    <t>1.93E-01</t>
  </si>
  <si>
    <t>1.974534</t>
  </si>
  <si>
    <t>0.683-5.704</t>
  </si>
  <si>
    <t>2.11E-01</t>
  </si>
  <si>
    <t>Dried Fruit</t>
  </si>
  <si>
    <r>
      <rPr>
        <sz val="11"/>
        <color rgb="FF000000"/>
        <rFont val="Calibri"/>
      </rPr>
      <t>AQP4‑positive n</t>
    </r>
    <r>
      <rPr>
        <sz val="11"/>
        <color rgb="FF000000"/>
        <rFont val="Calibri"/>
      </rPr>
      <t>euromyelitis optica spectrum disorders</t>
    </r>
  </si>
  <si>
    <t>GCST90096909</t>
  </si>
  <si>
    <t>Salah, Tuan</t>
  </si>
  <si>
    <t>Salad intake</t>
  </si>
  <si>
    <t>Gallstone Disease</t>
  </si>
  <si>
    <t>"The SNPs are the genetic variants in the human DNA that have been found to predict certain traits [14]. These associations were based on GWAS level significance (P&lt;5x10-8)"</t>
  </si>
  <si>
    <t>Poor quality</t>
  </si>
  <si>
    <r>
      <rPr>
        <sz val="11"/>
        <color rgb="FF000000"/>
        <rFont val="Calibri"/>
      </rPr>
      <t>NR</t>
    </r>
  </si>
  <si>
    <t>24.116</t>
  </si>
  <si>
    <t>11957359 - 4.863.992.698</t>
  </si>
  <si>
    <t>0.239</t>
  </si>
  <si>
    <t>191.367031</t>
  </si>
  <si>
    <t>0.065347605 - 560408.307</t>
  </si>
  <si>
    <t>0.197</t>
  </si>
  <si>
    <t>155</t>
  </si>
  <si>
    <t>0.16303658</t>
  </si>
  <si>
    <t>0.000000755934 - 3516300886</t>
  </si>
  <si>
    <t>0.882004033</t>
  </si>
  <si>
    <t>0.974557</t>
  </si>
  <si>
    <t>0.799-1.189</t>
  </si>
  <si>
    <t>8.00E-01</t>
  </si>
  <si>
    <t>Frozen shoulder</t>
  </si>
  <si>
    <t>0.880366</t>
  </si>
  <si>
    <t>0.687-1.127</t>
  </si>
  <si>
    <t>3.13E-01</t>
  </si>
  <si>
    <t>0.980452</t>
  </si>
  <si>
    <t>"Significant SNPs were screened from the GWAS pooled data of dried fruit intake (P &lt; 5 × 10−8 was used as the screening condition)[16]; the linkage disequilibrium coefficient r2 was set to be 0.001 and the width of the linkage disequilibrium region to be 10,000 kb to ensure that the individual SNPs were independent of each other.[17] The SNPs related to dried fruit intake screened above were extracted from the GWAS pooled data of frozen shoulder, while SNPs directly related to outcome indicators were excluded (P &lt; 5 × 10−8). The F-value of each SNP was calculated, and SNPs with weak instrumental variables (F-value &lt;10) were excluded.[18] And the human genotype–phenotype association database was queried to screen for potentially relevant risk factor SNPs and exclude them.[19]"</t>
  </si>
  <si>
    <t>0.45-2.135</t>
  </si>
  <si>
    <t>9.60E-01</t>
  </si>
  <si>
    <t>Acute gingivitis</t>
  </si>
  <si>
    <t>finn-b-K11_GINGIVITIS_ACUTE</t>
  </si>
  <si>
    <t>0.01 - 25.07</t>
  </si>
  <si>
    <t>"The reading and filtering of exposure factors was carried out via the extract_instruments function of the TwoSampleMR package (p &lt; 5×10−8)". "IVs were removed using linkage disequilibrium analysis (LDA) (r2 = 0.001 and kb = 10,000)"</t>
  </si>
  <si>
    <t>Even though, this paper performed multivariable analysis. Cooked vegetable intake was not included in the model.</t>
  </si>
  <si>
    <t>106</t>
  </si>
  <si>
    <t>1.252601</t>
  </si>
  <si>
    <t>0.95-1.651</t>
  </si>
  <si>
    <t>1.10E-01</t>
  </si>
  <si>
    <t>1.223987</t>
  </si>
  <si>
    <t>0.851-1.76</t>
  </si>
  <si>
    <t>Duy, My Ngoc</t>
  </si>
  <si>
    <t>2.75E-01</t>
  </si>
  <si>
    <t>0.595925</t>
  </si>
  <si>
    <t>0.245-1.45</t>
  </si>
  <si>
    <t>1. Vegetable consumption
2. Fruit consumption</t>
  </si>
  <si>
    <t>2.57E-01</t>
  </si>
  <si>
    <t>"To increase the number of single nucleotide polymorphisms (SNPs) related to dietary habits, a more relaxed threshold (p&lt;5×10−6) was used, and the chain imbalance was set to LD (r2&lt;0.001) to ensure study
robustness. An F-statistic for SNPs greater than the conventional value of 10 was used to assess the potential of the tool to predict instrumental variable"</t>
  </si>
  <si>
    <t>Salad/raw vegetable</t>
  </si>
  <si>
    <r>
      <rPr>
        <sz val="11"/>
        <color rgb="FF000000"/>
        <rFont val="Calibri"/>
      </rPr>
      <t>AQP4‑positive n</t>
    </r>
    <r>
      <rPr>
        <sz val="11"/>
        <color rgb="FF000000"/>
        <rFont val="Calibri"/>
      </rPr>
      <t>euromyelitis optica spectrum disorders</t>
    </r>
  </si>
  <si>
    <t>GCST90096923</t>
  </si>
  <si>
    <t>Duplicated check</t>
  </si>
  <si>
    <r>
      <rPr>
        <sz val="11"/>
        <color rgb="FF000000"/>
        <rFont val="Calibri"/>
      </rPr>
      <t>NR</t>
    </r>
  </si>
  <si>
    <t>5.2837</t>
  </si>
  <si>
    <t>0.00000467 -  598.307.012</t>
  </si>
  <si>
    <t>1. Dried fruit intake
2. Fresh fruit intake</t>
  </si>
  <si>
    <t>0.04</t>
  </si>
  <si>
    <t>Low back pain (discovery and replication)</t>
  </si>
  <si>
    <t>0.00010808</t>
  </si>
  <si>
    <t>1.36145E-11 - 858.0493927</t>
  </si>
  <si>
    <t>"We identified SNPs robustly associated with dried fruit intake at genome-wide significance (P &lt; 5 × 10−8) as instrumental variables. We restricted instrumental variables to independent SNPs without linkage disequilibrium (R2 &lt; 0.001) to minimize MR biases by using the clump_data function of the R package “TwoSampleMR” version 0.5.64 (18, 20). The European panel of 1,000 Genomes data was used as the reference panel (21). Palindromic SNPs with intermediate allele frequencies were not used, because they may invert the direction of causality."</t>
  </si>
  <si>
    <t>0.259</t>
  </si>
  <si>
    <t>8.1768E-06</t>
  </si>
  <si>
    <t>"Besides univariable MR, we performed multivariable MR to control for potential confounders including fresh fruit intake, BMI, current smoking status, alcohol intake frequency, total body bone mineral density, serum 25-hydroxyvitamin D levels, and vigorous physical activity. Seven models for multivariable MR were taken into account: (a) model 1: adjustment for fresh fruit intake; (b) model 2: adjustment for BMI; (c) model 3: adjustment for current tobacco smoking; (d) model 4: adjustment for alcohol intake frequency; (e) model 5: adjustment for total body bone mineral density; (f) model 6: adjustment for serum 25-hydroxyvitamin D levels; and (g) model 7: adjustment for vigorous physical activity. We carried out all MR analyses using the TwoSampleMR (version 0.5.6) and MR-PRESSO (version 1.0) packages in R version 4.0.4. Statistical significance was set at P &lt; 0.05."</t>
  </si>
  <si>
    <t>6.64796E-28 - 1.01E+27</t>
  </si>
  <si>
    <t>0.716495161</t>
  </si>
  <si>
    <t>Results of multivariable MR analyses [still] supported that greater dried fruit intake was protective against low back pain</t>
  </si>
  <si>
    <t>92</t>
  </si>
  <si>
    <t>Migraine</t>
  </si>
  <si>
    <t xml:space="preserve">Fresh fruit intake
</t>
  </si>
  <si>
    <t>SNPs represent genetic variations associated with specific traits, as ascertained through GWAS at a significance threshold of P &lt;5x10 -8. The study employed a distinct array of SNPs for each exposure, comprising 22 SNPs for salad intake</t>
  </si>
  <si>
    <t>acute pancreatitis (AP)</t>
  </si>
  <si>
    <t>1.430699</t>
  </si>
  <si>
    <t>1.134-1.805</t>
  </si>
  <si>
    <t>Outcome for UK Biobank sample was extracted based solely on the forest plot (figure 2)</t>
  </si>
  <si>
    <t>2.55E-03</t>
  </si>
  <si>
    <t>1.451068</t>
  </si>
  <si>
    <t>1.026-2.053</t>
  </si>
  <si>
    <t>3.55E-02</t>
  </si>
  <si>
    <t>1.478188</t>
  </si>
  <si>
    <t>0.61-3.584</t>
  </si>
  <si>
    <t>3.89E-01</t>
  </si>
  <si>
    <t>0.448</t>
  </si>
  <si>
    <t>0.213 - 0.943</t>
  </si>
  <si>
    <t>Tuan, Duy</t>
  </si>
  <si>
    <t>0.510</t>
  </si>
  <si>
    <t>1. Cooked vegetable intake
2. Fresh fruit intake
3. Salad OR raw vegetable intake
4. Dried fruit intake</t>
  </si>
  <si>
    <t>0.179 - 1.456</t>
  </si>
  <si>
    <t>Barrett’s esophagus (BE)</t>
  </si>
  <si>
    <t>1.136 to 149.865</t>
  </si>
  <si>
    <t>"(1) SNPs are highly related with each dietary habit at the genome-wide significance level (P &lt; 5 × 10−8). (2) The linkage disequilibrium (LD)-based clumping procedure meets the parameters r2 &lt; 0.001 and window size &gt;10 000 kb, thus avoiding LD bias and ensuring that each SNP is independent. (3) The F statistic is larger than 10 to prevent the bias of weak IVs". 
"Then the harmonizing processes were performed to omit the SNPs with EAF &gt; 0.42 (palindromic SNPs), and we also removed the SNPs significantly related to the BE risk (P &lt; 5 × 10−8). Moreover, we searched for phenotypes that related to the selected SNPs in the PhenoScanner database (https://www.phenoscanner.medschl.cam.ac.uk/) and excluded the corresponding SNPs if the phenotypes were associated with the BE risk confirmed by previous literature studies,33 and that this could help reduce the impact caused by confounders such as obesity and smoking."</t>
  </si>
  <si>
    <t>Digestive system diseases</t>
  </si>
  <si>
    <t>"To investigate whether dietary habits were directly related to the BE risk or mediated by other hub exposures, a multivariable MR (MVMR) analysis was taken into account to adjust for confounders, considering obesity and cigarette smoking significantly increased the BE risk as confirmed by former studies, the MVMR analysis was undertaken with adjustment for genetically predicted obesity and smoking to evaluate potential mediating effects of those two factors on the BE risk."</t>
  </si>
  <si>
    <t>Salad/raw vegetable and dried fruit intake were protective in univariable analysis BUT these two were not sinificant anymore in the multivariable model</t>
  </si>
  <si>
    <t>Spine OA</t>
  </si>
  <si>
    <t>Breast Cancer</t>
  </si>
  <si>
    <t>ieu-a-1126</t>
  </si>
  <si>
    <t>333,950</t>
  </si>
  <si>
    <t>1. COPD
2.  Idiopathic pulmonary fibrosis (IPF)
3. Asthma
4. Obstructive sleep anea (OSA)</t>
  </si>
  <si>
    <t>141</t>
  </si>
  <si>
    <t>BCAC</t>
  </si>
  <si>
    <t>"In this study, we identified SNPs that were strongly associated with exposures and outcomes, with genome-wide significance (P &lt; 5 * 10 8). These selected SNPs were situated in diverse gene regions and exhibited no significant linkage disequilibrium (r2 &lt; 0.001), as determined using data from the 1000 Genomes European reference panel. To assess potential confounding effects, we thoroughly searched for included instrumental variables using PhenoScanner. Our MR analysis adhered to the necessary assumptions, and the outcome demonstrated genome-wide significance (P &lt; 5 * 10–8)." 
"In order to minimize the impact of weak IVs on the causal analysis, we calculated the F-statistic using the following equation: F=R2 / (1 - R^2)*(N - k - 1)/k."
"An F-statistic value greater than 10 indicates a low probability of weak instrument bias."</t>
  </si>
  <si>
    <t>"we utilized multivariate MR analyses to correct for the confounding factors of smoking and education. We equally explored whether BMI might act as a mediating variable. "</t>
  </si>
  <si>
    <t>In IVW, dried fruit intake demonstrated a protective effect on COPD (OR: 0.211; 95% CI 0.117–0.378; P &lt; 0.001) and could help prevent the development of asthma. But in MVMR, after adjusting for education, the effect of dried fruit intake on asthma did not remain significant (IVW OR: 0.631; 95% CI 0.355–1.122; P = 0.117). Futhermore, when both smoking and education were controlled, the association between dried fruit intake and asthma was not significant (IVW OR: 0.565; 95% CI 0.339–0.943; P = 0.994)</t>
  </si>
  <si>
    <t>0.807934</t>
  </si>
  <si>
    <t>0.603-1.082</t>
  </si>
  <si>
    <t>0.92</t>
  </si>
  <si>
    <t>1.53E-01</t>
  </si>
  <si>
    <t>0.90712</t>
  </si>
  <si>
    <t>0.602-1.366</t>
  </si>
  <si>
    <t>6.41E-01</t>
  </si>
  <si>
    <t>1.787847</t>
  </si>
  <si>
    <t>0.635-5.03</t>
  </si>
  <si>
    <t>0.548</t>
  </si>
  <si>
    <t>2.73E-01</t>
  </si>
  <si>
    <t>0.428-0.701</t>
  </si>
  <si>
    <t xml:space="preserve">1. Cooked vegetable intake
2. Salad / raw vegetable intake
3. Dried fruit intake
4. Fresh fruit intake
</t>
  </si>
  <si>
    <t>Hypertension</t>
  </si>
  <si>
    <t>0,000</t>
  </si>
  <si>
    <t>"SNPs were at clustering window &gt;10,000 kb, the genome‐wide significance level (p &lt; 5 × 10−8), and linkage disequilibrium level (r 2 &lt; .001). In the Mendelian randomization analysis, exposure factors were vicariously established with the help of instrumental variables to achieve a relationship with the outcome variable. The F‐statistics in this study were all &gt;10 (range: 17.571 to 116.369)."</t>
  </si>
  <si>
    <t>108.013</t>
  </si>
  <si>
    <t>2.13E-08</t>
  </si>
  <si>
    <t>0.591</t>
  </si>
  <si>
    <t>0.436-0.800</t>
  </si>
  <si>
    <t>0.000</t>
  </si>
  <si>
    <t>0.472</t>
  </si>
  <si>
    <t>0.145-1.527</t>
  </si>
  <si>
    <t>0.218</t>
  </si>
  <si>
    <t>HG, Salah</t>
  </si>
  <si>
    <t>Breast cancer</t>
  </si>
  <si>
    <t>1. Cooked vegetable intake
2. Salad / raw vegetable intake
3. Dried fruit intake
4. Fresh fruit intake</t>
  </si>
  <si>
    <t xml:space="preserve">Autism spectrum disorder (ASD)        </t>
  </si>
  <si>
    <t>"SNPs that were significantly correlated with exposure factors were screened (P &lt; 5.0 × 10−8), and SNPs in a state of linkage disequilibrium (LD) were removed using a strict cut-off (r2 &lt; 0.001, region size = 10000 kb). The bias introduced by weak IVs was avoided by excluding IVs with F ≤ 10. NPs associated with confounders and outcomes were removed via the PhenoScanner website" "We harmonized exposure and outcome SNP effects and excluded palindromic and incompatible SNPs"</t>
  </si>
  <si>
    <t>They did Q test</t>
  </si>
  <si>
    <t>HG, Dan</t>
  </si>
  <si>
    <t>1. Cooked vegetable intake
2. Salad / raw vegetable intake
3. Dried fruit intake
4. Fresh fruit intake</t>
  </si>
  <si>
    <t>1. COVID-19 susceptibility
2. COVID-19 hospitalisation
3. COVID-19 severity</t>
  </si>
  <si>
    <t>156</t>
  </si>
  <si>
    <t>"We selected IV according to the following criteria: (1) SNP at the
genome-wide significance level (P &lt; 5 × 10−8). (2) We only selected
SNP with no significant linkage disequilibrium (R2 &lt; 0·01,
kb &gt; 5000). (3) SNP with a minimum allele frequency ≥ 0·05
were included, while those with a lower frequency were
excluded due to their unstable association with dietary intake.
(4) We also excluded SNP that had a significant association with
the outcome of interest (P &lt; 5 × 10−8). (5) Finally, we evaluated
the F statistics of SNP, and only those with F statistics &gt; 10 were
included in the analysis."</t>
  </si>
  <si>
    <t>0.72696</t>
  </si>
  <si>
    <t>0.671</t>
  </si>
  <si>
    <t>0.594-0.889</t>
  </si>
  <si>
    <t>0.284-1.586</t>
  </si>
  <si>
    <t>0.363</t>
  </si>
  <si>
    <t>1.94E-03</t>
  </si>
  <si>
    <t>117.972</t>
  </si>
  <si>
    <t>1.35E-17</t>
  </si>
  <si>
    <t>0.937</t>
  </si>
  <si>
    <t>0.581-1.512</t>
  </si>
  <si>
    <t>0.687248</t>
  </si>
  <si>
    <t>0.792</t>
  </si>
  <si>
    <t>Dong Dung, Duy</t>
  </si>
  <si>
    <t>0.521-0.906</t>
  </si>
  <si>
    <t>7.75E-03</t>
  </si>
  <si>
    <t>1.045726</t>
  </si>
  <si>
    <t>0.093</t>
  </si>
  <si>
    <t>1. Dried fruit intake 
2. Fresh fruit intake</t>
  </si>
  <si>
    <t>5.62E-1549.255</t>
  </si>
  <si>
    <t>0.478-2.288</t>
  </si>
  <si>
    <t>1. Chronic obstructive pulmonary disease (COPD)
2. Bronchitis
3. Emphysema 
4. Asthma</t>
  </si>
  <si>
    <t>0.639</t>
  </si>
  <si>
    <t>9.11E-01</t>
  </si>
  <si>
    <t>"Thus, we set P values for association with exposure phenotypes &lt; 5e-8 as the foremost criteria for selecting candidate SNPs, and only those with r2 &gt; 0.001 and clump distance &lt; 10,000 kb were kept to clumped for identifying independent loci." "F-statistics for all SNPs were beyond 10, hinting the feasibility of considering the absence of weak instrumental bias." "Phenoscanner was applied as the tool recognizing outcome-related or confounding-related factors, while the confounders were defined as the predominant risk factors (smoke, air pollution, respiratory virus, occupational and environmental exposures (e.g., to dust, air pollution, sulfur dioxide, or nitrogen dioxide), obesity, and α1 antitrypsin deficiency)"</t>
  </si>
  <si>
    <t>"Considering the possibility that the other type of fruit intake served as a confounder affecting the causality, MVMR was introduced as validation in the entire study which was used to use genetic variants associated with multiple, potentially related exposures to estimate the effect of each exposure on a single outcome respectively. MVMR-IVW was performed to inspect the effect scale and statistical significance, which provide further stability assessment of SVMR results."</t>
  </si>
  <si>
    <t>In univariable, Significant results from fresh fruit on asthma were discovered (asthmaIVW: OR (95% CI) = 0.57 (0.40, 0.81), P = 0.002. However, in multivariable, no significant was found</t>
  </si>
  <si>
    <t>Salad/raw vegetable intake</t>
  </si>
  <si>
    <t>Duy, HG</t>
  </si>
  <si>
    <t>1. Dried fruit intake
2. Fresh fruit intake</t>
  </si>
  <si>
    <t>Alzheimer’s disease</t>
  </si>
  <si>
    <t>"The entire selection phase of instrumental single nucleotide polymorphisms (SNPs) was conducted under the InSIDE hypothesis: 1. The instrumental variables (IVs) must be intensively associated with the exposure. 2. Exposure is the only passage for the effect from IVs on the outcome, which means IVs ought to not be significantly associated with the outcome (P value &gt; 0.05); 3. IVs are prohibited from being strongly related to the recognized confounders of the exposure-outcome correlation. Only SNPs with exposureassociated P values &lt; 5e-8 were stretched as the raw candidates, which were clumped to obtain independent loci with the threshold for linkage disequilibrium (LD) set r2 &gt;0.001 and clump distance &lt; 10000 kb." 
"To fulfill the assumptions that IVs are not related to any confounders or the outcome itself, Phenoscanner was utilized to exclude the violative SNPs, with 11 SNPs significantly associated with Alzheimer’s disease or recognized risk
factors (diabetes, midlife hypertension, midlife obesity, smoking, depression, cognitive inactivity or low educational attainment, and physical inactivity) excluded. The F-statistics for all the IVs were calculated to avoid weak instrumental bias (F &gt; 10)."</t>
  </si>
  <si>
    <t>108</t>
  </si>
  <si>
    <t>1.084</t>
  </si>
  <si>
    <t>0.696-1.688</t>
  </si>
  <si>
    <t>0.719</t>
  </si>
  <si>
    <t>82.606</t>
  </si>
  <si>
    <t>0.933463</t>
  </si>
  <si>
    <t>1.32E-10</t>
  </si>
  <si>
    <t>0.719-1.211</t>
  </si>
  <si>
    <t>1.036</t>
  </si>
  <si>
    <t>6.04E-01</t>
  </si>
  <si>
    <t>0.602-1.781</t>
  </si>
  <si>
    <t xml:space="preserve">Dried fruit intake 
</t>
  </si>
  <si>
    <t>0.898</t>
  </si>
  <si>
    <t>Low back pain</t>
  </si>
  <si>
    <t>0.644</t>
  </si>
  <si>
    <t>1.061794</t>
  </si>
  <si>
    <r>
      <rPr>
        <sz val="11"/>
        <color rgb="FF000000"/>
        <rFont val="Calibri"/>
      </rPr>
      <t>AQP4‑positive n</t>
    </r>
    <r>
      <rPr>
        <sz val="11"/>
        <color rgb="FF000000"/>
        <rFont val="Calibri"/>
      </rPr>
      <t>euromyelitis optica spectrum disorders</t>
    </r>
  </si>
  <si>
    <t>0.063-6.570</t>
  </si>
  <si>
    <t>"Firstly, to obtain SNPs signifcantly associated with diet, we set P&lt;5× 10−8 as the genome-wide signifcance threshold. Meanwhile, since the presence of linkage disequilibrium (LD) would lead to biased results, in the fnal analysis, we set the LD of SNPs signifcantly associated with exposure should satisfy r2&lt;0.001 and KB&gt;10,000. Our MR analysis excluded palindromic SNPs with intermediate allele frequencies. In addition, we quantifed the strength of the genetic tool for all SNPs with an F-statistic calculated as β2/se2 , and the F-statistic for IV as a follow-up analysis was higher than 10 [18]."</t>
  </si>
  <si>
    <t>0.734-1.535</t>
  </si>
  <si>
    <t>0.716</t>
  </si>
  <si>
    <t>7.50E-01</t>
  </si>
  <si>
    <t>1.412304</t>
  </si>
  <si>
    <t>0.556-3.59</t>
  </si>
  <si>
    <t>4.70E-01</t>
  </si>
  <si>
    <r>
      <rPr>
        <sz val="11"/>
        <color rgb="FF000000"/>
        <rFont val="Calibri"/>
      </rPr>
      <t>NR</t>
    </r>
  </si>
  <si>
    <t>Migraine
Migraine with aura
Migraine without aura
systolic blood pressure
diastolic blood pressure
Serum total calcium
Neuroticism
Difficulty awaking
Insomnia
Major depression disorder
Anxiety</t>
  </si>
  <si>
    <t xml:space="preserve">To select instrumental variables for each dietary habit, the genetic association estimates from GWAS of dietary habits (16) were used as our starting point. We first extracted all genome-wide significant variants associated with each dietary habit (the significance threshold was relaxed to P &lt; 5 × 10−6 to improve instrument power). We then filtered this dataset using a clumping distance of 1 Mb and r 2 threshold of 0.001 to generate an independent set of variants for each exposure (using ld_clump function in the ieugwasr R package with linkage disequilibrium estimates from the 1,000 Genomes European reference panel integrated within this R package).
</t>
  </si>
  <si>
    <t>Acute periodontitis</t>
  </si>
  <si>
    <t>finn-b-K11_PERIODON_ACUTE</t>
  </si>
  <si>
    <t>12.95</t>
  </si>
  <si>
    <t>1.09 - 153.31</t>
  </si>
  <si>
    <t>Cholelithiasis</t>
  </si>
  <si>
    <t>"Select eligible Ivs for each food intake (P&lt;5*10-8, R2&lt;0.001, window size &gt;10000kb, MAF &gt;0.01; delete SNPs assocated with chlolelithiasis; SNP harmonization), Calculate F statistics for each food intake and delete the ones without effective Ivs (F statistics &lt;10)"</t>
  </si>
  <si>
    <t>"The MVMR analysis sought to explore the causal relationship between multiple food exposures and cholelithiasis using the MVMR package (13). This analysis controlled for potential confounding effects arising from multiple exposures, enabling the estimation of the causal effect of each food exposure on cholelithiasis."</t>
  </si>
  <si>
    <t>94</t>
  </si>
  <si>
    <t>1.320251</t>
  </si>
  <si>
    <t>1.021-1.707</t>
  </si>
  <si>
    <r>
      <rPr>
        <sz val="11"/>
        <color rgb="FF000000"/>
        <rFont val="Calibri"/>
      </rPr>
      <t>AQP4‑positive n</t>
    </r>
    <r>
      <rPr>
        <sz val="11"/>
        <color rgb="FF000000"/>
        <rFont val="Calibri"/>
      </rPr>
      <t>euromyelitis optica spectrum disorders</t>
    </r>
  </si>
  <si>
    <t>3.39E-02</t>
  </si>
  <si>
    <t>Dong Dung, Dan</t>
  </si>
  <si>
    <t>Knee osteoarthritis</t>
  </si>
  <si>
    <t>1.257199</t>
  </si>
  <si>
    <t>0.861-1.835</t>
  </si>
  <si>
    <t>"The genome-wide significance threshold was P &lt; 5 × 10−8. To avoid bias due to linkage disequilibrium (LD), we only included SNPs significantly associated with the exposure that had r2 &lt;0.001 and KB &gt; 10,000 in the final analysis. We manually removed SNPs associated with KOA using PhenoScanner" "used the F-statistic to quantify the strength of the genetic instrument and excluded SNPs with an F-statistic below 10"</t>
  </si>
  <si>
    <t>2.36E-01</t>
  </si>
  <si>
    <r>
      <rPr>
        <sz val="11"/>
        <color rgb="FF000000"/>
        <rFont val="Calibri"/>
      </rPr>
      <t>NR</t>
    </r>
  </si>
  <si>
    <t>"To investigate the direct causal effect of diet on KOA, we performed Multivariate Mendelian randomization (MVMR) analyses. In previous studies, it was found that KOA may be strongly influenced by obesity [29], hypertension [15], diabetes mellitus [30], and prolonged standing [31]. Therefore, we corrected for the potential interference of obesity, BMI, hypertension, diabetes and prolonged standing in the MVMR analysis."</t>
  </si>
  <si>
    <t>2.530414</t>
  </si>
  <si>
    <t>0.954-6.71</t>
  </si>
  <si>
    <t>6.52E-02</t>
  </si>
  <si>
    <t>Breast Cancer - ER+</t>
  </si>
  <si>
    <t>ieu-1-1127</t>
  </si>
  <si>
    <t>Dan, Duy</t>
  </si>
  <si>
    <t>1. Cooked vegetable intake
2. Dried fruit intake
3. Fresh fruit intake
4. Raw vegetable intake</t>
  </si>
  <si>
    <t>1. Acute pancreatitis
2. Chronic pancreatitis</t>
  </si>
  <si>
    <t>"The SNPs highly related with each exposure (p &lt; 5 × 108) were extracted. Second, we performed Linkage disequilibrium (LD)-based clumping procedure with r2 &lt; 0.01 and a window size of 10,000 kb to ensure that each IV was independent. LD was estimated using the 1000 Genomes EUR reference panel". "In this study, all F statistics were higher than 10, indicating little chance of weak-instrument bias based on the summary statistics."</t>
  </si>
  <si>
    <t>"Considering that gallstone disease is common among pancreatitis patients, we performed multivariable MR analyses to assess the association between dietary habits and AP or CP after adjusting for cholelithiasis"</t>
  </si>
  <si>
    <t>0.621</t>
  </si>
  <si>
    <t>0.469-0.822</t>
  </si>
  <si>
    <t>Fresh Fruit</t>
  </si>
  <si>
    <t>116.391</t>
  </si>
  <si>
    <r>
      <rPr>
        <sz val="11"/>
        <color rgb="FF000000"/>
        <rFont val="Calibri"/>
      </rPr>
      <t>AQP4‑positive n</t>
    </r>
    <r>
      <rPr>
        <sz val="11"/>
        <color rgb="FF000000"/>
        <rFont val="Calibri"/>
      </rPr>
      <t>euromyelitis optica spectrum disorders</t>
    </r>
  </si>
  <si>
    <t>GCST90096912</t>
  </si>
  <si>
    <t>1.24E-09</t>
  </si>
  <si>
    <t>0.744</t>
  </si>
  <si>
    <t>Dan, Dong Dung</t>
  </si>
  <si>
    <t>0.526-1.052</t>
  </si>
  <si>
    <r>
      <rPr>
        <sz val="11"/>
        <color rgb="FF000000"/>
        <rFont val="Calibri"/>
      </rPr>
      <t>NR</t>
    </r>
  </si>
  <si>
    <t>0.094</t>
  </si>
  <si>
    <t>0.012</t>
  </si>
  <si>
    <t>0.534</t>
  </si>
  <si>
    <t>0.885 - 1.667.078.691</t>
  </si>
  <si>
    <t>0.231</t>
  </si>
  <si>
    <t>Urolithiasis</t>
  </si>
  <si>
    <t>0.140-2.034</t>
  </si>
  <si>
    <t>Hand OA</t>
  </si>
  <si>
    <t>0.364</t>
  </si>
  <si>
    <t>0.14468355</t>
  </si>
  <si>
    <t>1.6407E-06 - 12758.7806</t>
  </si>
  <si>
    <t>"The SNP filtration ensued in sequential phases: SNPs concomitant with glucosamine, fresh fruit, and tea intake as IVs were initially earmarked at a genome-wide significance threshold of P &lt; 5 × 10-8. Ensuring the autarky of the chosen IVs via imposition of stringent criteria, with linkage disequilibrium at an r2 threshold &lt;0.001 and a maximal distance interval restrained within 10,000 kilobases. The SNP-exposure associations were quantified employing F-statistics, dismissing any SNPs with F &lt; 10 to preclude the inclusion of weak instruments."</t>
  </si>
  <si>
    <t>0.739</t>
  </si>
  <si>
    <t>151796840</t>
  </si>
  <si>
    <t>303,782</t>
  </si>
  <si>
    <t>357657 - 6.44E+24</t>
  </si>
  <si>
    <t>0.174696467</t>
  </si>
  <si>
    <t>0.987379</t>
  </si>
  <si>
    <t>0.705-1.383</t>
  </si>
  <si>
    <t>9.41E-01</t>
  </si>
  <si>
    <t>0.863931</t>
  </si>
  <si>
    <t>0.533-1.399</t>
  </si>
  <si>
    <t>5.52E-01</t>
  </si>
  <si>
    <t>0.93281</t>
  </si>
  <si>
    <t>0.291-2.995</t>
  </si>
  <si>
    <t>9.07E-01</t>
  </si>
  <si>
    <t>Hg Pham, Nhat Duy</t>
  </si>
  <si>
    <r>
      <rPr>
        <sz val="11"/>
        <color rgb="FF000000"/>
        <rFont val="Calibri"/>
      </rPr>
      <t>AQP4‑positive n</t>
    </r>
    <r>
      <rPr>
        <sz val="11"/>
        <color rgb="FF000000"/>
        <rFont val="Calibri"/>
      </rPr>
      <t>euromyelitis optica spectrum disorders</t>
    </r>
  </si>
  <si>
    <t>1. Dried vegetable intake
2. Vegetable intake
3. Fresh fruit intake</t>
  </si>
  <si>
    <t>Ulcerative colitis</t>
  </si>
  <si>
    <t>"This study ensured that all selected SNPs met three key assumptions for IVs: (1) a high correlation with the exposure of interest, (2) independence from confounding factors that may influence the outcome, and (3) a causal effect on the outcome only through their association with the exposure. We chose IVs that met these criteria using a genetic distance threshold of 10,000 kb, a linkage disequilibrium threshold of 0.001 (r2), and a p-value threshold 5×10−8. We excluded SNPs influenced by weak IVs with an F-statistic less than 10 using an F-test"</t>
  </si>
  <si>
    <r>
      <rPr>
        <sz val="11"/>
        <color rgb="FF000000"/>
        <rFont val="Calibri"/>
      </rPr>
      <t>NR</t>
    </r>
  </si>
  <si>
    <t>0.701</t>
  </si>
  <si>
    <t>157</t>
  </si>
  <si>
    <t>0.300-1.634</t>
  </si>
  <si>
    <t>0.410</t>
  </si>
  <si>
    <t>Vy, Salah</t>
  </si>
  <si>
    <t>79.782</t>
  </si>
  <si>
    <t>1.82E-10</t>
  </si>
  <si>
    <t>0.892243</t>
  </si>
  <si>
    <t>0.961</t>
  </si>
  <si>
    <t>0.699-1.139</t>
  </si>
  <si>
    <t>0.543-1.703</t>
  </si>
  <si>
    <t>1.Gastroesophageal reflux disease (GERD)</t>
  </si>
  <si>
    <t>3.61E-01</t>
  </si>
  <si>
    <t>0.894</t>
  </si>
  <si>
    <t>0.063</t>
  </si>
  <si>
    <t>0.887785</t>
  </si>
  <si>
    <t>4.47E - 06 -898.5</t>
  </si>
  <si>
    <t>0.637-1.237</t>
  </si>
  <si>
    <t xml:space="preserve">"First, SNPs with significant association with dietary intake (P &lt; 5.0 × 10-8) were selected. A parameter R2 threshold of 0.001 and a kilobase pair (kb) of 10000 were set to exclude interference from linkage disequilibrium (LD)[20]. Then, The SNPs were obtained and isolated from the outcome data, and the SNPs significantly associated with the outcomes (P &lt; 1×10−5) were excluded[21]. If any SNPs were not found in the outcome datasets, proxies with LD R2 &gt; 0.8 were used[22]. However, if the proxy SNP is also not found, remove this SNP from the tool variable. Finally, to ensure that the effect allele is consistent in the exposure and outcome data, we harmonize the exposure and outcome data of the unification. Alleles that were either allele incompatible (e.g., A/C paired with A/G) or being palindromic with intermediate allele frequency were also excluded, yielding the final SNP data[23]. Additionally, we calculated the F value to exclude the presence of weak instrumental variable bias. This is the formula to calculate F: F = [(N-k-1)/k] × [R2/(1-R2)]. Here, N refers to the number of samples, k is the total number of SNPs selected for MR analysis, and R2 is the total proportion of phenotypic variation that is explained by all SNPs in the MR analysis[24]. R2 = Σ [2 × (1-MAF) × MAF × (β/SD)2 where SD and β are the standard deviations and β coefficients of the effect sizes and MAF is the minor allele frequency for each SNP[25]. When F values &gt; 10, there was no weak instrumental variable bias[26]"
</t>
  </si>
  <si>
    <t>0.580</t>
  </si>
  <si>
    <t>4.82E-01</t>
  </si>
  <si>
    <t>"MVMR analysis was performed to adjust for BMI, MDD[Major depression disorders], smoking, and alcohol drinking in the analysis of GERD"</t>
  </si>
  <si>
    <t>1.196204</t>
  </si>
  <si>
    <t>0.455-3.144</t>
  </si>
  <si>
    <t>7.17E-01</t>
  </si>
  <si>
    <t>0.765</t>
  </si>
  <si>
    <t>0.581-1.008</t>
  </si>
  <si>
    <t>0.057</t>
  </si>
  <si>
    <t>136.436</t>
  </si>
  <si>
    <t>1.01E-09</t>
  </si>
  <si>
    <t>0.733</t>
  </si>
  <si>
    <t>0.520-1.031</t>
  </si>
  <si>
    <t>0.074</t>
  </si>
  <si>
    <t>1. Fruits intake
2. Salad intake</t>
  </si>
  <si>
    <t>0.636</t>
  </si>
  <si>
    <t>0.246-1.645</t>
  </si>
  <si>
    <t>1. Diabetes Mellitus UKB Cohort
2. Diabetes Mellitus FinnGen cohort</t>
  </si>
  <si>
    <t>0.356</t>
  </si>
  <si>
    <t>Not clear at all, only this "We identified relevant variables by leveraging genome-wide significant SNPs from the following consortia: Pirastu et al. [22], the UKB [23], GWAS and Sequencing Consortium of Alcohol and Nicotine Use (GSCAN) [24], Genetic Investigation of Anthropometric Traits (GIANT) [25], and Klimentidis et al. [26]. These SNPs represent genetic variations associated with specific traits, as determined through GWAS at a significance threshold of p-value &lt;5x10-8 [18]. The study employed a distinct set of SNPs, widely used in the literature [27,28], for various exposures. Specifically, there were 41 SNPs for fruit intake, 22 SNPs for salad intake, 65 SNPs for cheese intake, 3 SNPs for coffee consumption, 93 SNPs for smoking initiation, 23 SNPs for smoking intensity, 16 SNPs for maternal smoking, 79 SNPs for BMI, and 11 SNPs for physical activity."</t>
  </si>
  <si>
    <t>Really poor paper, not meet all 4 quality assessment criteria</t>
  </si>
  <si>
    <t>109</t>
  </si>
  <si>
    <t>1.029</t>
  </si>
  <si>
    <t>0.635-1.668</t>
  </si>
  <si>
    <t>1.133391</t>
  </si>
  <si>
    <t>0.906</t>
  </si>
  <si>
    <t>0.787-1.631</t>
  </si>
  <si>
    <t>81.243</t>
  </si>
  <si>
    <t>5.00E-01</t>
  </si>
  <si>
    <t>2.30E-10</t>
  </si>
  <si>
    <t>1.088</t>
  </si>
  <si>
    <t>0.978196</t>
  </si>
  <si>
    <t>0.589-2.010</t>
  </si>
  <si>
    <t>0.615-1.557</t>
  </si>
  <si>
    <t>Gout</t>
  </si>
  <si>
    <t>9.26E-01</t>
  </si>
  <si>
    <t>0.785</t>
  </si>
  <si>
    <t>1.252696</t>
  </si>
  <si>
    <t>Raw vegetable intake</t>
  </si>
  <si>
    <t>0.838</t>
  </si>
  <si>
    <t>0.382-4.105</t>
  </si>
  <si>
    <t>0.065-10.71</t>
  </si>
  <si>
    <t>"Firstly, for the identification of SNPs significantly associated with the exposure phenotype, a threshold of p &lt; 5 × 10−8 was employed as the selection criterion. Secondly, to eliminate linkage disequilibrium between SNPs, criteria of R2 &lt; 0.001 and a window size &gt;10,000 kb were utilized during the IV clumping procedure. Thirdly, SNPs with an effector allele frequency (EAF) &lt; 0.01 were excluded from consideration. Fourthly, a coordination process for IVs was implemented to eliminate palindromic SNPs using the two-sample MR package. Fifth, in order to eliminate the influence of weak IVs on the analysis results, referring to the calculations of previous studies [12], we calculated the F-statistic for each IV and excluded from further analyses those IVs with an F-statistic &lt; 10. Finally, to avoid exposure-related SNPs acting on the outcome through confounders, SNPs that met the above criteria were further screened with the Phenoscanner V2."</t>
  </si>
  <si>
    <t>7.11E-01</t>
  </si>
  <si>
    <t>finn-b-J10_ASTHMA</t>
  </si>
  <si>
    <t>They used Phenoscanner, --&gt; meet aspect 2</t>
  </si>
  <si>
    <t>0.287 - 2.283</t>
  </si>
  <si>
    <t>0.771 - 6.642</t>
  </si>
  <si>
    <t>1. Cooked vegetable intake
 2. Salad/Raw vegetable intake
 3. Dried fruit intake
 4. Fresh fruit intake</t>
  </si>
  <si>
    <t>0.155 - 1824.857</t>
  </si>
  <si>
    <t>1. Cutaneous melanoma 
2. Keratinocyte skin cancer</t>
  </si>
  <si>
    <t>"a signifcance threshold of P&lt;5e-8 to extract relevant SNPs as instrumental variables. The independence of SNPs was confrmed by checking linkage
 disequilibrium (LD) (r2&lt;0.001, kb=10,000)."SNPS associated with outcomes were also excluded using the PhenoScanner database (p &lt; 1e-5)." "To mitigate any weak bias, only instrumental factors with a high level of strength (F&gt;10) were included"</t>
  </si>
  <si>
    <t>finn-b-M13_ADHCAPSULITIS</t>
  </si>
  <si>
    <t>95</t>
  </si>
  <si>
    <t>1.553448</t>
  </si>
  <si>
    <t>0.448 - 2.679</t>
  </si>
  <si>
    <t>1.138-2.12</t>
  </si>
  <si>
    <t>5.52E-03</t>
  </si>
  <si>
    <t>0.310–4.508</t>
  </si>
  <si>
    <t>1.421184</t>
  </si>
  <si>
    <t>0.917-2.202</t>
  </si>
  <si>
    <t xml:space="preserve">Dong Dung, </t>
  </si>
  <si>
    <t>1.15E-01</t>
  </si>
  <si>
    <t>0.197 - 86.612</t>
  </si>
  <si>
    <t>0.82942</t>
  </si>
  <si>
    <t>0.274-2.509</t>
  </si>
  <si>
    <t>1. Cooked vegetable intake
 2. Raw vegetable intake
 3. Fresh fruit intake</t>
  </si>
  <si>
    <t>7.41E-01</t>
  </si>
  <si>
    <t>Syphilis</t>
  </si>
  <si>
    <t>“, the significance threshold for SNPs was set at P &lt; 5 × 10− 8 to fulfill the relevance assumption. Clumping was executed to eliminate linkage disequilibrium using r2 &lt; 0.001 and a window size of 10,000 kb, ensuring independence assumption. Moreover, SNPs with palindromic attributes or minor allele frequencies (MAF) &lt; 0.01 were pruned to guarantee exclusion restriction.““an F-statistic
 higher than 10 considered robust IVs.“</t>
  </si>
  <si>
    <t>The multivariable model does not include fruit/vegetable intake</t>
  </si>
  <si>
    <t>1. cooked vegetable intake 2. Salad/raw vegetable 3. Fresh fruit 4. Dried fruit</t>
  </si>
  <si>
    <t>TKR</t>
  </si>
  <si>
    <t>Breast Cancer - ER-</t>
  </si>
  <si>
    <t>"we selected SNPs associated with dietary habits (p &lt; 5e-08), making sure they are independent of an aggregate distance of 10,000 kb (r2 &lt; 0.001); (2) The SNPs strongly associated with cholelithiasis (p &lt; 5e-08) were deleted; (3) We tested for associations between instrumental variables and dietary habits using formula F. When F is greater than 10, instrumental variables are considered to effectively avoid bias from weak instruments " " Excluded SNPs associated with confounders by Phenoscanner"</t>
  </si>
  <si>
    <t>ieu-1-1128</t>
  </si>
  <si>
    <t>"We performed a multivariate analysis of the identified dietary factors to assess whether there was a mutual influence between each other. Furthermore, we applied colocalization analysis to test whether the identified dietary habits and cholelithiasis share common causal variants in a given region (48). Based on previous studies, the significant colocalization (posterior probability) was set to PP.H4 &gt; 0.95. When PP.H4 &gt; 0.95, exposure was considered a potential contributing factor (49)."
"The association between dried fruit intake and cholelithiasis was still significant in MVMR analysis when adjusted for cheese intake (OR = 0.519; 95% CI, 0.347–0.776; P = 0.001), alcohol intake (OR = 0.428; 95% CI, 0.267–0.687; P &lt; 0.001), and tea intake (OR = 0.569; 95% CI, 0.386–0.839; P = 0.004)."</t>
  </si>
  <si>
    <t>252,041</t>
  </si>
  <si>
    <t>1.192775</t>
  </si>
  <si>
    <t>0.849-1.676</t>
  </si>
  <si>
    <t>0.994056</t>
  </si>
  <si>
    <t>0.622-1.587</t>
  </si>
  <si>
    <t>9.80E-01</t>
  </si>
  <si>
    <t>2.808267</t>
  </si>
  <si>
    <t>0.854-9.235</t>
  </si>
  <si>
    <t>9.14E-02</t>
  </si>
  <si>
    <t>1. Cooked vegetable intake
 2. Salad/ Raw vegetable intake
 2. Dried fruit intake
 3. Fresh fruit intake</t>
  </si>
  <si>
    <t>1. umbilical hernia 2. Ventral hernia 3. Inguinal hernia</t>
  </si>
  <si>
    <t>"we will immediately delete palindromic and missing SNPs. Second, linkage disequilibrium was at a level of r2 &lt; 0.001, the threshold of genome-wide significance p &lt; 5 ×10−8, and the clumping window at 10,000 kb. Third, the F
 statistics of the IVs must be higher than 10."</t>
  </si>
  <si>
    <t>0.480</t>
  </si>
  <si>
    <t>0.339-0.678</t>
  </si>
  <si>
    <t>1. Cooked vegetable intake
2. Raw vegetable intake
3. Dried fruit intake</t>
  </si>
  <si>
    <t>3.18E - 05</t>
  </si>
  <si>
    <t>54.488</t>
  </si>
  <si>
    <t>0.0507</t>
  </si>
  <si>
    <t>"We rigorously applied specific selection criteria in our quest for apt SNPs to encapsulate these dietary factors. Specifically, these SNPs were mandated to manifest a pronounced genome-wide association with their corresponding dietary factors (P &lt; 5 × 10^-8), maintain a clumping window extending beyond 10,000 kb, and exhibit minimal linkage disequilibrium (r^2 &lt; 0.001). Moreover, the F statistic associated with these chosen SNPs surpassed the threshold of 10, affirming a sturdy correlation between these instrumental variables and the dietary exposures "</t>
  </si>
  <si>
    <t>0.501</t>
  </si>
  <si>
    <t>0.305-0.822</t>
  </si>
  <si>
    <t>0.006</t>
  </si>
  <si>
    <t>0.581</t>
  </si>
  <si>
    <t>0.116-2.893</t>
  </si>
  <si>
    <t>0.511</t>
  </si>
  <si>
    <t>Dan, Dong Dung, Duy, HG, Salah</t>
  </si>
  <si>
    <t>1. Cooked vegetable intake
2. Fresh fruit intake
3. Salad / raw vegetable intake
4. Dried fruit intake</t>
  </si>
  <si>
    <t>1. Acute periodontitis
2. Chronic periodontitis
3. Acute gingivitis
4. Chronic gingivitis</t>
  </si>
  <si>
    <t>"single nucleotide polymorphisms (SNPs) associated at genome-wide significance (P &lt; 5 × 10−8).""we performed linkage disequilibrium clumping to prune SNPs that were correlated and in linkage disequilibrium (r2 &lt; 0.001, within a 10,000-kb distance).""To ensure robustness and reliability, SNPs with imputation quality less than 0.70 or minor allele frequency lower than 0.01 were systematically excluded from further analysis."The F-statistics for the SNPs were all greater than 10, indicating sufficient strength to be valid IVs."</t>
  </si>
  <si>
    <t>"we performed multivariable MR analysis to evaluate whether the
associations were independent or  mediated through potential confounders. Based on prior knowledge, we evaluated the influence of genetic predisposition to dentures, smoking, and type 2 diabetes
by including them as covariates in the multivariable MR models."</t>
  </si>
  <si>
    <t>In univariable, fresh fruit was associated with an increase risk of AP
BUT "the increased risk conferred by fresh fruit intake for AP was attenuated (adjusted OR = 10.66; 95% CI: 0.97–116.74; P = 0.05)"
In univariable, fresh fruit was protective for CG (4) but not in 3 multivariable models: "After adjusting for genetic predisposition to dentures, the protective effect of fresh fruit intake against CG was attenuated (adjusted OR = 0.25; 95% CI: 0.05–1.30; P = 0.10)". "When adjusting for genetic liability to smoking, the association between fresh fruit intake and decreased CG risk was attenuated (adjusted OR = 0.26; 95% CI: 0.05–1.30; P = 0.10)". "After adjusting for genetic predisposition to type 2 diabetes, the protective effect of fresh fruit intake against CG was attenuated (adjusted OR = 0.20; 95% CI: 0.04–1.01; P = 0.05)"</t>
  </si>
  <si>
    <t>0.639663</t>
  </si>
  <si>
    <t>0.492-0.832</t>
  </si>
  <si>
    <t>8.58E-04</t>
  </si>
  <si>
    <t>Vy, Tuan</t>
  </si>
  <si>
    <t>0.610657</t>
  </si>
  <si>
    <t>0.436-0.856</t>
  </si>
  <si>
    <t>4.18E-03</t>
  </si>
  <si>
    <t xml:space="preserve">Parkinson’s disease </t>
  </si>
  <si>
    <t>0.74811</t>
  </si>
  <si>
    <t>0.266-2.104</t>
  </si>
  <si>
    <t>5.83E-01</t>
  </si>
  <si>
    <t>"In order to guarantee the dependability of our analysis, we applied rigorous standards for SNP choice, which encompassed a genome-wide significance threshold (p &lt; 5 × 10−8), a clumping window exceeding 10,000 kb and a minimal level of linkage disequilibrium (r2 &lt; 0.001). To obtain more comprehensive details regarding the chosen SNPs (Supplementary Tables S1, S2). In order to establish a solid correlation between independent variables (IVs) and exposure, we employed the F statistic, which is typically regarded as a reliable indicator of a strong association when its value exceeds 10 (7)."</t>
  </si>
  <si>
    <t>0.844</t>
  </si>
  <si>
    <t>0.428-1.665</t>
  </si>
  <si>
    <t>0.625</t>
  </si>
  <si>
    <t>59.969</t>
  </si>
  <si>
    <t>0.803</t>
  </si>
  <si>
    <t>5.30E-07</t>
  </si>
  <si>
    <t>0.593-1.089</t>
  </si>
  <si>
    <t>0.842</t>
  </si>
  <si>
    <t>0.365-1.943</t>
  </si>
  <si>
    <t>126.016</t>
  </si>
  <si>
    <t>0.688</t>
  </si>
  <si>
    <t>4.39E-08</t>
  </si>
  <si>
    <t>18.90</t>
  </si>
  <si>
    <t>0.677</t>
  </si>
  <si>
    <t>0.012-27814</t>
  </si>
  <si>
    <t>0.454-1.010</t>
  </si>
  <si>
    <t>0.442</t>
  </si>
  <si>
    <t>0.056</t>
  </si>
  <si>
    <t>0.345</t>
  </si>
  <si>
    <t>0.124-0.958</t>
  </si>
  <si>
    <t>0.046</t>
  </si>
  <si>
    <t>"We selected the SNPs closely associated with various dietary factors at the significant level of genome-wide (p &lt; 5 × 10−8) and conducted the clumping process [distance window 10,000 kb, linkage disequilibrium (LD) coefficient r2 &lt; 0.001] to avoid LD between SNPs and ensure the independence of genetic variants (20). If no SNP was intensely related to any dietary factors found in the CRC database, proxy SNPs were allowed with a minimum LD R2 = 0.8 (21). Palindrome SNPs were reserved based on the threshold that the minor allele frequency (MAF) &lt;0.3 (22). Notably, if the allele frequency contained in the details of an SNP is close to 0.5, we could hardly pinpoint the minor allele exactly, as there is sampling variance around the allele frequency. To enhance the accuracy of our study, we excluded such SNPs at the outset of MR analyses. In addition, to measure the power of the screened IVs and ensure their close relationships with exposures, we calculated the F-statistics and the proportion of variance interpreted (R2) for each SNP. Genetic variants (F-statistics &lt;10) were generally considered as weak instruments, which should be removed from our MR analysis (23). Finally, MR-PRESSO tests were also employed to recognize potential horizontal pleiotropy, and the identified outliers would be ruled out to prevent the impact of pleiotropy (24)."</t>
  </si>
  <si>
    <t>Duy, Vy</t>
  </si>
  <si>
    <t>1. Female infertility
2. Male infertility</t>
  </si>
  <si>
    <t>"SNPs that were associated with diet and infertility were extracted with a GWAS threshold (p&lt;5×10-8). Due to the low number of SNPs at the original threshold after screening for the intake of bacon, milk, yogurt, salted peanuts, unsalted peanuts, salted nuts, spirits intake, unsalted nuts, never eat dairy, never eat wheat, and never eat eggs, we chose a relaxed threshold (p&lt;5×10-6). Using the linkage disequilibrium (LD) clustering method, SNPs with LD were identified and removed (clumping: r2 = 0.001, kb = 10,000). We also searched the PhenoScanner website (http://www.phenoscanner.medschl.cam.ac.uk/information/) to identify IVs included in the study and to exclude SNPs associated with outcomes. Lastly, SNPs with weak IV bias were assessed using F statistics. The formula used to compute F statistics was F=beta2/se2. In the MR analysis, only SNPs with F statistic values greater than 10 were considered present"</t>
  </si>
  <si>
    <t>"To examine whether diet impacts infertility by working through other factors, we performed MVMR analyses (Supplementary Table 6). After adjusting for zinc and selenium, cooked vegetable intake remained as having a significant negative effect on male infertility (OR, 34.3751; 95% CI, 2.1094 – 560.1708; P = 0.0130)."</t>
  </si>
  <si>
    <t>0.903325</t>
  </si>
  <si>
    <t>0.634-1.287</t>
  </si>
  <si>
    <t>5.74E-01</t>
  </si>
  <si>
    <t>0.90511</t>
  </si>
  <si>
    <t>0.565-1.45</t>
  </si>
  <si>
    <t>6.79E-01</t>
  </si>
  <si>
    <t>0.546732</t>
  </si>
  <si>
    <t>0.172-1.741</t>
  </si>
  <si>
    <t>3.09E-01</t>
  </si>
  <si>
    <t>1.444</t>
  </si>
  <si>
    <t>0.748-2.789</t>
  </si>
  <si>
    <t>My Ngoc, Anh Tuan</t>
  </si>
  <si>
    <t>0.272</t>
  </si>
  <si>
    <t>19.352</t>
  </si>
  <si>
    <t>0.308</t>
  </si>
  <si>
    <t>1. dried fruit intake</t>
  </si>
  <si>
    <t>1.292</t>
  </si>
  <si>
    <t>1. type 2 diabetes</t>
  </si>
  <si>
    <t>0.543-3.074</t>
  </si>
  <si>
    <t>0.561</t>
  </si>
  <si>
    <t>0.175</t>
  </si>
  <si>
    <t>To identify SNPs significantly associated with dried fruit intake as valid IVs, we chose a cutoff p-value &lt; 5 × 10− 8 as genome-wide significance. In addition, SNPs within a window size of 10,000 kb at a threshold of r2 &lt; 0.001 were pruned to mitigate linkage disequilibrium (LD). In addition, we downloaded GWAS summary data of fasting glucose, fasting insulin and BMI, removing SNPs from IVs that were closely associated (p-value &lt; 5 × 10− 8) with these confounders. Sources of the GWAS summary statistics for the confounders are shown in Supplementary Table 1. Finally, we calculated the F-statistic to assess the degree of weak instrumental bias (Supplementary Table 2). If the F statistic &gt; 10, it was considered that no bias was caused by weak IVs</t>
  </si>
  <si>
    <t>0.006-4.835</t>
  </si>
  <si>
    <t>0.318</t>
  </si>
  <si>
    <t>1.233489</t>
  </si>
  <si>
    <t>0.831-1.831</t>
  </si>
  <si>
    <t>2.98E-01</t>
  </si>
  <si>
    <t>1.412142</t>
  </si>
  <si>
    <t>0.874-2.281</t>
  </si>
  <si>
    <t>1.58E-01</t>
  </si>
  <si>
    <t>0.507943</t>
  </si>
  <si>
    <t>0.124-2.074</t>
  </si>
  <si>
    <t>1. Salad/raw vegetable intake
2. Cooked vegetable intake
3. Dried fruit intake	
4. Fresh fruit intake</t>
  </si>
  <si>
    <t>3.48E-01</t>
  </si>
  <si>
    <t>1. amyotrophic lateral sclerosis (ALS)</t>
  </si>
  <si>
    <t>MR analyses rely on IVs to investigate causal relationships between exposures and outcomes. This approach allows researchers to examine the effects of exposures on outcomes without the confounding effects of reverse causation or unmeasured variables. Using IVs in MR analyses can provide valuable insights into the causal relationships between exposures and outcomes. By leveraging genetic variations as proxies for exposures, researchers can explore potential causal pathways and mechanisms underlying complex diseases and health outcomes. The SNPs specifically associated with dietary factors were obtained from the IEU open GWAS project (https://gwas.mrcieu.ac.uk/). In the course of this analysis, we conducted a rigorous screening process to identify the SNPs that were highly relevant to exposures. SNPs were only considered if they reached genome-wide significance level (P &lt; 5 × 10–8), had a clumping window larger than 10,000 kb, and exhibited a low level of linkage disequilibrium (r2 &lt; 0.001). To guarantee a robust relationship between the IVs and exposure, we utilized the F statistic. It is widely recognized that a F statistic exceeding 10 satisfies the requirements for a strong association. Additionally, we performed searches through the PhenoScanner website (http://www.phenoscanner.medschl.cam.ac.uk/), which led to the startling removal of SNPs associated with confounders and outcome.</t>
  </si>
  <si>
    <t>fresh fruit intake, dried fruit intake, cooked vegetable intake, salad raw vegetable intake</t>
  </si>
  <si>
    <t>bipolar disorder</t>
  </si>
  <si>
    <t>THR</t>
  </si>
  <si>
    <t>In this study, instrumental variables (IVs) for dietary exposures were sourced from the UK Biobank. The selection criteria for relevant SNPs included: (1) Initial screening of SNPs robustly associated with 28 dietary habits at genome-wide significance (P&lt;5×10^-08). (2) Clumping of identified SNPs for linkage disequilibrium (LD) using PLINK with a stringent cutoff of R2 = 0.001 within a 10,000 kb window, referencing European samples from the 1000 Genome Project (26, 27). In cases of LD effects among SNPs, the SNP with the lowest P value was retained. (3) To address potential weak instrument bias, F-statistics were calculated following established methodology, excluding SNPs with an F-statistic below 10 (28, 29). Post harmonization of exposure and outcome datasets, with palindromic and weak instrumental variants removed, the remaining SNPs were utilized for MR analysis. If fewer than 3 exposure-related SNPs were available, the selection threshold P value was adjusted to 1×10^-5. Additionally, PhenoScanner V2 was employed to assess associations between selected SNPs and potential confounders (P &lt; 5×10^-05) (30). SNPs associated with confounders were excluded in further analyses.</t>
  </si>
  <si>
    <t>319,037</t>
  </si>
  <si>
    <t>https://www.nature.com/articles/s41467-020-15193-0#Sec15</t>
  </si>
  <si>
    <t>140</t>
  </si>
  <si>
    <t>1.173293</t>
  </si>
  <si>
    <t>0.84-1.639</t>
  </si>
  <si>
    <t>1.130535</t>
  </si>
  <si>
    <t>0.734-1.741</t>
  </si>
  <si>
    <t>5.78E-01</t>
  </si>
  <si>
    <t>dried fruit intake</t>
  </si>
  <si>
    <t>1.319864</t>
  </si>
  <si>
    <t>osteoarthritis</t>
  </si>
  <si>
    <t>0.403-4.319</t>
  </si>
  <si>
    <t>6.47E-01</t>
  </si>
  <si>
    <t>"MR analysis has three core assumptions, namely correlation, independence, and exclusion restriction.[10] It calls for genetic variation associated with exposure but is not a potential confounder for exposure. First, genome-wide divergent SNPs (P &lt; 5E10-8) and their linkage disequilibrium (r2 = 0.001, kb = 10,000) were selected as the IVs and then eliminated in linkage disequilibrium to ensure that the IVs satisfied independence. Genetic variation is not associated with confounders. Genetic variation was not associated with the outcome variables. The F statistic was used to assess the statistical strength of the correlation between SNPs and exposure. The F statistic is (F = R2/(1 − R2) · (N−K−1)/(K−1)), where N is the sample size of the dried fruit intake database, K is the number of SNPs, R2 represents the proportion of dried fruit intake explained by SNPs, calculating the formula R2 = 2·(1 − EAF)·EAF · β2. EAF is the effect allele frequency (effect allele frequency, EAF) for each SNP, and β is the effect value for the allele.[11,12] A threshold of F &lt; 10 was used to define a weak IV, considered as a weak association between SNPs and exposure.[13]"</t>
  </si>
  <si>
    <t>https://www.tandfonline.com/doi/full/10.2217/14622416.6.6.639</t>
  </si>
  <si>
    <t>1. Vegetables (excluding legumes)
2. Fruit</t>
  </si>
  <si>
    <t>1. Rheumatoid arthritis
2. psoriatic arthritis
3. psoriasis
4. systemic lupus erythematosu
5. Crohn’s disease
6. ulcerative colitis</t>
  </si>
  <si>
    <t>"For this objective we used the genetic risk scores for each disease as the instrumental variables (IV). Genetic risk scores were calculated following recently described methodology (Supplementary Methods) [39]. The complete list of genetic variants included per each IMID are listed in Supplementary Table 1. The ratio method with bootstrap was then used to obtain empirical confidence intervals and variance of the ratio estimator [40]. The beta coefficients of the ratio method were obtained by logistic regression for both the IV-outcome and the IV_x0002_exposure. The 10 first principal components of genetic var_x0002_iation were calculated using the EIGENSTRAT method [41] and included in the models to account for potential population stratification. P-values were obtained by approximating the distribution of the ratio estimator by a normal distribution and applying a Wald-like test"</t>
  </si>
  <si>
    <t>Very poor quality</t>
  </si>
  <si>
    <t>1.112648</t>
  </si>
  <si>
    <t>0.891-1.39</t>
  </si>
  <si>
    <t>3.47E-01</t>
  </si>
  <si>
    <t>1.066248</t>
  </si>
  <si>
    <t>0.79-1.439</t>
  </si>
  <si>
    <t>6.75E-01</t>
  </si>
  <si>
    <t>0.900239</t>
  </si>
  <si>
    <t>0.375-2.159</t>
  </si>
  <si>
    <t>Tuan, Dong Dung</t>
  </si>
  <si>
    <t>8.14E-01</t>
  </si>
  <si>
    <t>11 site-specific cancers (oral cavity/pharyngeal, lung, squamous cell lung, breast, ovarian, cervical, lung adenocarcinoma, pancreatic, endometrial, thyroid, prostate, bladder, and brain)</t>
  </si>
  <si>
    <t>"the SNPs werevhighly correlated with dried fruit intake, which is significant
for whole-genome research, that is, P &lt; 5 × 10−8. (ii) SNPs are independent of each other to avoid offset caused by linkagedisequilibrium (LD). When R2 of the LD was greater than 0.001, one of them was eliminated.""we set the genetic
distance as 10,000 kb; within 10,000 kb, remove the SNP with R2 greater than 0.001 with the most significant SNPs.""When the F value was greater than 10, it was considered that there was no bias in weak IVs."</t>
  </si>
  <si>
    <t>"According to the results of the search on the PhenoScanner website and possible confounding factors between dried fruit intake and outcomes (fresh fruit intake and vitamin C), we used a multivariate MR analysis with the addition of fresh fruit intake, vitamin C, BMI, and years of education to adjust for causal effects between exposure and outcome in five rounds of adjustment: (i) fresh fruit intake alone, (ii) vitamin C alone, (iii) BMI alone, (iv) years of education alone, and (v) a combination of fresh fruit intake, vitamin C, BMI, and years of education."</t>
  </si>
  <si>
    <t>Oral, ovarian, pancreatic, and cervical cancers were all protective in the univariable model (original dataset, not replicate). BUT they were all insignificant after adjusted for all fresh fruit, vitamin C, BMI, year of education</t>
  </si>
  <si>
    <t>0.977-0.979</t>
  </si>
  <si>
    <t>Ngoc, Dong Dung</t>
  </si>
  <si>
    <t>1. Raw vegetable intake
2. Cooked vegetable intake</t>
  </si>
  <si>
    <t xml:space="preserve">1. Angina pectoris
2. Acute myocardial infarction
3. Chronic ischaemic heart disease
4. Cerebral infarction
5. Unstable angina
6. Atherosclerotic heart disease </t>
  </si>
  <si>
    <t>"We identified single nucleotide polymorphisms (SNPs) with a genome-wide significant p value (&lt;5×10−8) associated with phenotypes." "If a pair of SNPs had LD R2&gt;0.01, the SNP with the higher p value was removed.""Proxy SNPs (minimum linkage disequilibrium R2=0.8) were used for vegetable intake-associated SNPs that were unavailable in outcome datasets.""bias. F statistics for all variables were over 10,"
"Finally, we used PhenoScanner, a curated database of publicly available results from large-scale genetic association studies in humans , to check whether each SNP was associated with potential confounders (p &lt; 5 × 10−8, proxies for European: R2 &gt; 0.8). Rs11191193 was excluded because of its significant genetic association with educational attainment, and rs838133 because it was directly associated with total cholesterol"</t>
  </si>
  <si>
    <t>"we further conducted a multivariable Mendelian Randomization study to estimate the potential impact of socioeconomic status on vegetable intake"</t>
  </si>
  <si>
    <t>They just conducted MVMR to see if socioeconomic status was associated with vegetable intake.
Phenoscanner helps us meet aspect 3</t>
  </si>
  <si>
    <t>1.160675</t>
  </si>
  <si>
    <t>0.828-1.627</t>
  </si>
  <si>
    <t>3.87E-01</t>
  </si>
  <si>
    <t>0.895794</t>
  </si>
  <si>
    <t>0.588-1.366</t>
  </si>
  <si>
    <t>6.09E-01</t>
  </si>
  <si>
    <t>0.348256</t>
  </si>
  <si>
    <t>Tuan, Ngoc</t>
  </si>
  <si>
    <t>0.118-1.032</t>
  </si>
  <si>
    <t>5.97E-02</t>
  </si>
  <si>
    <t>Lung cancer</t>
  </si>
  <si>
    <t>1. Coronary heart disease
2. Stroke
3. Ischaemic stroke
4. Heart failure
5. Atrial fibrillation</t>
  </si>
  <si>
    <t>https://www.ebi.ac.uk/gwas/studies/GCST004748</t>
  </si>
  <si>
    <t>"We combined all SNPs that were significant at a genome-wide significance level (p &lt; 5 × 10−8) in the three GWAS [20,21,22], and removed duplicates, rare variants (minor allele frequency &lt; 1%), or those in linkage disequilibrium (r2 &gt; 0.001 or distance &gt; 10,000 kb). To further reduce horizontal pleiotropy, we searched the associated phenotypes for each SNP in the PhenoScanner v2 database (http://www.phenoscanner.medschl.cam.ac.uk/, accessed on 15 July 2023), and further removed SNPs that were associated with potential confounders, such as smoking, alcohol drinking, blood pressure, and adiposity."</t>
  </si>
  <si>
    <t>Mutually adjusted for cooked and raw vegetable intake</t>
  </si>
  <si>
    <t>All was already insignificant in univariable, still insignificant in multivariable</t>
  </si>
  <si>
    <t>0.651</t>
  </si>
  <si>
    <t>0.424-1.000</t>
  </si>
  <si>
    <t>0.050</t>
  </si>
  <si>
    <t>126.043</t>
  </si>
  <si>
    <t>4.36E-08</t>
  </si>
  <si>
    <t>0.491</t>
  </si>
  <si>
    <t>0.266-0.907</t>
  </si>
  <si>
    <t>0.023</t>
  </si>
  <si>
    <t>Ebi</t>
  </si>
  <si>
    <t>0.459</t>
  </si>
  <si>
    <t>0.107-1.959</t>
  </si>
  <si>
    <t>0.298</t>
  </si>
  <si>
    <t>1.251895</t>
  </si>
  <si>
    <t>0.947-1.655</t>
  </si>
  <si>
    <t>1.14E-01</t>
  </si>
  <si>
    <t>1.208641</t>
  </si>
  <si>
    <t>0.8-1.825</t>
  </si>
  <si>
    <t>3.68E-01</t>
  </si>
  <si>
    <t>2.284942</t>
  </si>
  <si>
    <t>0.778-6.71</t>
  </si>
  <si>
    <t>1.36E-01</t>
  </si>
  <si>
    <t>0.577–2.771</t>
  </si>
  <si>
    <t>0.536 - 5.428</t>
  </si>
  <si>
    <t>0.000–8.07E+03</t>
  </si>
  <si>
    <t>https://www.ebi.ac.uk/gwas/studies/GCST004749</t>
  </si>
  <si>
    <t>0.160 - 0.774</t>
  </si>
  <si>
    <t>0.207 - 2.146</t>
  </si>
  <si>
    <t>tablespoons of cooked vegetables per day</t>
  </si>
  <si>
    <t>0.000–3.000</t>
  </si>
  <si>
    <t>260405</t>
  </si>
  <si>
    <t>132</t>
  </si>
  <si>
    <t>37.66936</t>
  </si>
  <si>
    <t>0.968</t>
  </si>
  <si>
    <t>0.74-1.26</t>
  </si>
  <si>
    <t>0.811354</t>
  </si>
  <si>
    <t>0.89</t>
  </si>
  <si>
    <t>0.62-1.27</t>
  </si>
  <si>
    <t>0.507284</t>
  </si>
  <si>
    <t>1.09</t>
  </si>
  <si>
    <t>0.38-3.11</t>
  </si>
  <si>
    <t>0.877134</t>
  </si>
  <si>
    <t>https://www.ebi.ac.uk/gwas/studies/GCST004750</t>
  </si>
  <si>
    <t>tablespoons of raw vegetables per day</t>
  </si>
  <si>
    <t>0.179 - 0.394</t>
  </si>
  <si>
    <t>146</t>
  </si>
  <si>
    <t>0.142–0.533</t>
  </si>
  <si>
    <t>35.19931</t>
  </si>
  <si>
    <t>0.724</t>
  </si>
  <si>
    <t>0.57-0.92</t>
  </si>
  <si>
    <t>0.007–14.445</t>
  </si>
  <si>
    <t>0.008282</t>
  </si>
  <si>
    <t>0.62</t>
  </si>
  <si>
    <t>0.44-0.87</t>
  </si>
  <si>
    <t>0.005358</t>
  </si>
  <si>
    <t>0.40</t>
  </si>
  <si>
    <t>0.17-0.93</t>
  </si>
  <si>
    <t>0.032585</t>
  </si>
  <si>
    <t>Alzheimer</t>
  </si>
  <si>
    <t>Finngen_R8_G6_ALZHEIMER</t>
  </si>
  <si>
    <t>0.50 - 1.91</t>
  </si>
  <si>
    <t>pieces of fresh fruit per day</t>
  </si>
  <si>
    <t>0.26 - 2.06</t>
  </si>
  <si>
    <t>256</t>
  </si>
  <si>
    <t>0.03 - 2.58</t>
  </si>
  <si>
    <t>34.4689</t>
  </si>
  <si>
    <t>1.018</t>
  </si>
  <si>
    <t>0.86-1.2</t>
  </si>
  <si>
    <t>0.834313</t>
  </si>
  <si>
    <t>1.06</t>
  </si>
  <si>
    <t>0.83-1.35</t>
  </si>
  <si>
    <t>0.659055</t>
  </si>
  <si>
    <t>0.72</t>
  </si>
  <si>
    <t>0.4-1.32</t>
  </si>
  <si>
    <t>0.289531</t>
  </si>
  <si>
    <t>Lung adenocarcinoma</t>
  </si>
  <si>
    <t>https://www.ebi.ac.uk/gwas/studies/GCST004744</t>
  </si>
  <si>
    <t>119</t>
  </si>
  <si>
    <t>0.943</t>
  </si>
  <si>
    <t>0.7-1.27</t>
  </si>
  <si>
    <t>0.697746</t>
  </si>
  <si>
    <t>1.14</t>
  </si>
  <si>
    <t>0.78-1.68</t>
  </si>
  <si>
    <t>0.491127</t>
  </si>
  <si>
    <t>1.98</t>
  </si>
  <si>
    <t>0.7-5.58</t>
  </si>
  <si>
    <t>0.198268</t>
  </si>
  <si>
    <t>0.559–5.480</t>
  </si>
  <si>
    <t>0.315–6.726</t>
  </si>
  <si>
    <t>0.000–503.230</t>
  </si>
  <si>
    <t>Migraine with aura</t>
  </si>
  <si>
    <t>0.992</t>
  </si>
  <si>
    <t>0.66-1.5</t>
  </si>
  <si>
    <t>0.972292</t>
  </si>
  <si>
    <t>1.37</t>
  </si>
  <si>
    <t>0.8-2.37</t>
  </si>
  <si>
    <t>0.254742</t>
  </si>
  <si>
    <t>3.47</t>
  </si>
  <si>
    <t>0.68-17.58</t>
  </si>
  <si>
    <t>0.133221</t>
  </si>
  <si>
    <t>0.136–1.054</t>
  </si>
  <si>
    <t>0.143–2.779</t>
  </si>
  <si>
    <t>0.000–383.979</t>
  </si>
  <si>
    <t>0.741</t>
  </si>
  <si>
    <t>0.53-1.04</t>
  </si>
  <si>
    <t>0.081345</t>
  </si>
  <si>
    <t>0.68</t>
  </si>
  <si>
    <t>0.41-1.11</t>
  </si>
  <si>
    <t>0.124727</t>
  </si>
  <si>
    <t>0.56</t>
  </si>
  <si>
    <t>0.17-1.85</t>
  </si>
  <si>
    <t>0.341923</t>
  </si>
  <si>
    <t>0.285–0.858</t>
  </si>
  <si>
    <t>1.064</t>
  </si>
  <si>
    <t>0.82-1.38</t>
  </si>
  <si>
    <t>0.629692</t>
  </si>
  <si>
    <t>0.213–1.149</t>
  </si>
  <si>
    <t>0.88</t>
  </si>
  <si>
    <t>0.61-1.26</t>
  </si>
  <si>
    <t>0.477807</t>
  </si>
  <si>
    <t>0.051–96.679</t>
  </si>
  <si>
    <t>1.60</t>
  </si>
  <si>
    <t>0.64-3.96</t>
  </si>
  <si>
    <t>0.312341</t>
  </si>
  <si>
    <t>amyotrophic lateral sclerosis (ALS)</t>
  </si>
  <si>
    <t>ebi-a-GCST90027164</t>
  </si>
  <si>
    <t>European Bioinformatics Institute</t>
  </si>
  <si>
    <t>1.358</t>
  </si>
  <si>
    <t>0.88-2.09</t>
  </si>
  <si>
    <t>0.163112</t>
  </si>
  <si>
    <t>https://www.ebi.ac.uk/gwas/studies/GCST004751</t>
  </si>
  <si>
    <t>1.44</t>
  </si>
  <si>
    <t>0.82-2.56</t>
  </si>
  <si>
    <t>0.206542</t>
  </si>
  <si>
    <t>2.64</t>
  </si>
  <si>
    <t>0.57-12.19</t>
  </si>
  <si>
    <t>0.212813</t>
  </si>
  <si>
    <t>0.388–1.025</t>
  </si>
  <si>
    <t>0.265–1.152</t>
  </si>
  <si>
    <t>0.300–33.395</t>
  </si>
  <si>
    <t>Migraine without aura</t>
  </si>
  <si>
    <t>0.3733–0.9473</t>
  </si>
  <si>
    <t>0.601</t>
  </si>
  <si>
    <t>0.41-0.88</t>
  </si>
  <si>
    <t>0.5101–1.6086</t>
  </si>
  <si>
    <t>0.008496</t>
  </si>
  <si>
    <t>0.33-1.01</t>
  </si>
  <si>
    <t>0.0666–2.0951</t>
  </si>
  <si>
    <t>0.052908</t>
  </si>
  <si>
    <t>0.27</t>
  </si>
  <si>
    <t>0.06-1.22</t>
  </si>
  <si>
    <t>0.089063</t>
  </si>
  <si>
    <t>Squamus cell lung cancer</t>
  </si>
  <si>
    <t>0.794</t>
  </si>
  <si>
    <t>0.55-1.15</t>
  </si>
  <si>
    <t>0.223667</t>
  </si>
  <si>
    <t>0.4-1.16</t>
  </si>
  <si>
    <t>0.154272</t>
  </si>
  <si>
    <t>0.07-0.99</t>
  </si>
  <si>
    <t>0.048251</t>
  </si>
  <si>
    <t>0.247–3.041</t>
  </si>
  <si>
    <t>0.119–3.733</t>
  </si>
  <si>
    <t>0.000 - 1.65E+04</t>
  </si>
  <si>
    <t>1.110</t>
  </si>
  <si>
    <t>0.86-1.43</t>
  </si>
  <si>
    <t>0.418091</t>
  </si>
  <si>
    <t>0.63-1.36</t>
  </si>
  <si>
    <t>0.686728</t>
  </si>
  <si>
    <t>0.52</t>
  </si>
  <si>
    <t>0.21-1.27</t>
  </si>
  <si>
    <t>0.151444</t>
  </si>
  <si>
    <t>0.870</t>
  </si>
  <si>
    <t>0.59-1.28</t>
  </si>
  <si>
    <t>0.479714</t>
  </si>
  <si>
    <t>0.32-1.05</t>
  </si>
  <si>
    <t>0.070087</t>
  </si>
  <si>
    <t>1.49</t>
  </si>
  <si>
    <t>0.38-5.8</t>
  </si>
  <si>
    <t>0.568815</t>
  </si>
  <si>
    <t>0.031–0.340</t>
  </si>
  <si>
    <t>0.037–1.502</t>
  </si>
  <si>
    <t>0.000–219.032</t>
  </si>
  <si>
    <t>systolic blood pressure</t>
  </si>
  <si>
    <t>Ukb - 1289</t>
  </si>
  <si>
    <t>458575</t>
  </si>
  <si>
    <t>125</t>
  </si>
  <si>
    <t>-0.37</t>
  </si>
  <si>
    <t>-1.72-0.96</t>
  </si>
  <si>
    <t>0.580122</t>
  </si>
  <si>
    <t/>
  </si>
  <si>
    <t>0.320–1.223</t>
  </si>
  <si>
    <t>0.257–1.874</t>
  </si>
  <si>
    <t>0.181–32.931</t>
  </si>
  <si>
    <t>0.063–0.228</t>
  </si>
  <si>
    <t>Ukb - 1299</t>
  </si>
  <si>
    <t>142</t>
  </si>
  <si>
    <t>0.050–0.364</t>
  </si>
  <si>
    <t>-0.01</t>
  </si>
  <si>
    <t>0.000–10.157</t>
  </si>
  <si>
    <t>-0.94-0.92</t>
  </si>
  <si>
    <t>0.97589</t>
  </si>
  <si>
    <r>
      <rPr>
        <sz val="11"/>
        <color rgb="FF000000"/>
        <rFont val="Calibri"/>
      </rPr>
      <t>AQP4‑positive n</t>
    </r>
    <r>
      <rPr>
        <sz val="11"/>
        <color rgb="FF000000"/>
        <rFont val="Calibri"/>
      </rPr>
      <t>euromyelitis optica spectrum disorders</t>
    </r>
  </si>
  <si>
    <t>Ukb - 1309</t>
  </si>
  <si>
    <t>245</t>
  </si>
  <si>
    <t>-0.42</t>
  </si>
  <si>
    <t>-1.28-0.43</t>
  </si>
  <si>
    <t>0.330547</t>
  </si>
  <si>
    <r>
      <rPr>
        <sz val="11"/>
        <color rgb="FF000000"/>
        <rFont val="Calibri"/>
      </rPr>
      <t>NR</t>
    </r>
  </si>
  <si>
    <t>115</t>
  </si>
  <si>
    <t>-1.05</t>
  </si>
  <si>
    <t>-2.04--0.08</t>
  </si>
  <si>
    <t>0.03467</t>
  </si>
  <si>
    <t>Small cell lung cancer</t>
  </si>
  <si>
    <t>https://www.ebi.ac.uk/gwas/studies/GCST004746</t>
  </si>
  <si>
    <t>diastolic blood pressure</t>
  </si>
  <si>
    <t>458577</t>
  </si>
  <si>
    <t>126</t>
  </si>
  <si>
    <t>-0.20</t>
  </si>
  <si>
    <t>-0.95-0.53</t>
  </si>
  <si>
    <t>0.5803</t>
  </si>
  <si>
    <t>0.086–4.505</t>
  </si>
  <si>
    <t>0.012–3.128</t>
  </si>
  <si>
    <t>9.92E-07–5.34E+15</t>
  </si>
  <si>
    <t>143</t>
  </si>
  <si>
    <t>0.445</t>
  </si>
  <si>
    <t>-0.25-1.14</t>
  </si>
  <si>
    <t>0.211306</t>
  </si>
  <si>
    <t>0.222–1.098</t>
  </si>
  <si>
    <t>0.247–2.679</t>
  </si>
  <si>
    <t>0.102–66.525</t>
  </si>
  <si>
    <t>247</t>
  </si>
  <si>
    <t>0.022–1.151</t>
  </si>
  <si>
    <t>-0.83-0.07</t>
  </si>
  <si>
    <t>0.017–4.257</t>
  </si>
  <si>
    <t>0.101005</t>
  </si>
  <si>
    <t>0.000–17.574</t>
  </si>
  <si>
    <t>116</t>
  </si>
  <si>
    <t>-0.43</t>
  </si>
  <si>
    <t>-1.05-0.19</t>
  </si>
  <si>
    <t>0.171392</t>
  </si>
  <si>
    <t>0.086–0.664</t>
  </si>
  <si>
    <t>0.091–1.974</t>
  </si>
  <si>
    <t>0.000–115.932</t>
  </si>
  <si>
    <t>Serum total calcium</t>
  </si>
  <si>
    <t>305349</t>
  </si>
  <si>
    <t>-0.00</t>
  </si>
  <si>
    <t>-0.01-0</t>
  </si>
  <si>
    <t>0.153037</t>
  </si>
  <si>
    <t>0.326 - 0.753</t>
  </si>
  <si>
    <t>0.255 - 0.841</t>
  </si>
  <si>
    <t>0.2223 - 3.393</t>
  </si>
  <si>
    <t>163</t>
  </si>
  <si>
    <t>0.525616</t>
  </si>
  <si>
    <t>Finngen r8</t>
  </si>
  <si>
    <t>0.252–3.106</t>
  </si>
  <si>
    <t>0.57</t>
  </si>
  <si>
    <t>0.40-0.81</t>
  </si>
  <si>
    <t>284</t>
  </si>
  <si>
    <t>0.316–13.241</t>
  </si>
  <si>
    <t>0.085–2805.036</t>
  </si>
  <si>
    <t>0.63</t>
  </si>
  <si>
    <t>0.39-1.00</t>
  </si>
  <si>
    <t>0.048</t>
  </si>
  <si>
    <t>1.35</t>
  </si>
  <si>
    <t>0.42-4.34</t>
  </si>
  <si>
    <t>0.003553</t>
  </si>
  <si>
    <t>0.622</t>
  </si>
  <si>
    <t>Cooked vegetable intake_ East Asian</t>
  </si>
  <si>
    <t>Prostate Cancer_Disovery</t>
  </si>
  <si>
    <t>ukb-e-1289_EAS</t>
  </si>
  <si>
    <t>134</t>
  </si>
  <si>
    <t>ChinaPCa</t>
  </si>
  <si>
    <t>-0.02-0</t>
  </si>
  <si>
    <t>0.000511</t>
  </si>
  <si>
    <t>(0.88, 1.23)</t>
  </si>
  <si>
    <t>Neuroticism</t>
  </si>
  <si>
    <t>449484</t>
  </si>
  <si>
    <t>117</t>
  </si>
  <si>
    <t>Raw vegetable intake_ East Asian</t>
  </si>
  <si>
    <t>ukb-e-1299_EAS</t>
  </si>
  <si>
    <t>0.951</t>
  </si>
  <si>
    <t>0.88-1.03</t>
  </si>
  <si>
    <t>0.195707</t>
  </si>
  <si>
    <t>0.93</t>
  </si>
  <si>
    <t>0.87-1</t>
  </si>
  <si>
    <t>0.040157</t>
  </si>
  <si>
    <t>(0.68, 1.17)</t>
  </si>
  <si>
    <t>0.79</t>
  </si>
  <si>
    <t>0.59-1.04</t>
  </si>
  <si>
    <t>0.096211</t>
  </si>
  <si>
    <t>Dried fruit intake_ East Asian</t>
  </si>
  <si>
    <t>ukb-e-1319_EAS</t>
  </si>
  <si>
    <t>138</t>
  </si>
  <si>
    <t>1.003</t>
  </si>
  <si>
    <t>0.93-1.08</t>
  </si>
  <si>
    <t>0.93103</t>
  </si>
  <si>
    <t>1.05</t>
  </si>
  <si>
    <t>0.98-1.11</t>
  </si>
  <si>
    <t>0.153841</t>
  </si>
  <si>
    <t>1.16</t>
  </si>
  <si>
    <t>0.88-1.54</t>
  </si>
  <si>
    <t>0.28674</t>
  </si>
  <si>
    <t>(0.84, 1.34)</t>
  </si>
  <si>
    <t>238</t>
  </si>
  <si>
    <t>0.907</t>
  </si>
  <si>
    <t>0.87-0.95</t>
  </si>
  <si>
    <t>5.38E-05</t>
  </si>
  <si>
    <t>0.88-0.96</t>
  </si>
  <si>
    <t>0.0002</t>
  </si>
  <si>
    <t>0.95</t>
  </si>
  <si>
    <t>0.81-1.12</t>
  </si>
  <si>
    <t>0.530061</t>
  </si>
  <si>
    <t>0.927</t>
  </si>
  <si>
    <t>0.86-1</t>
  </si>
  <si>
    <t>0.320 - 0.748</t>
  </si>
  <si>
    <t>0.042334</t>
  </si>
  <si>
    <t>0.89-1.01</t>
  </si>
  <si>
    <t>0.112924</t>
  </si>
  <si>
    <t>1.01</t>
  </si>
  <si>
    <t>0.78-1.3</t>
  </si>
  <si>
    <t>0.255 - 0.838</t>
  </si>
  <si>
    <t>0.960782</t>
  </si>
  <si>
    <t>Fresh fruit intake_ East Asian</t>
  </si>
  <si>
    <t>0.229 - 4.122</t>
  </si>
  <si>
    <t>ukb-e-1309_EAS</t>
  </si>
  <si>
    <t>(0.73, 1.39)</t>
  </si>
  <si>
    <t>Difficulty awaking</t>
  </si>
  <si>
    <t>451872</t>
  </si>
  <si>
    <t>1.051</t>
  </si>
  <si>
    <t>1.01-1.1</t>
  </si>
  <si>
    <t>0.028149</t>
  </si>
  <si>
    <t>Cooked vegetable intake_European</t>
  </si>
  <si>
    <t>1.01-1.11</t>
  </si>
  <si>
    <t>0.009934</t>
  </si>
  <si>
    <t>ieu-b-85</t>
  </si>
  <si>
    <t>0.99</t>
  </si>
  <si>
    <t>0.83-1.18</t>
  </si>
  <si>
    <t>PRACTICAL</t>
  </si>
  <si>
    <t>0.919592</t>
  </si>
  <si>
    <t>(0.61, 2.55)</t>
  </si>
  <si>
    <t>&lt;0.001</t>
  </si>
  <si>
    <t>1.005</t>
  </si>
  <si>
    <t>0.96-1.05</t>
  </si>
  <si>
    <t>0.813964</t>
  </si>
  <si>
    <t>0.97-1.05</t>
  </si>
  <si>
    <t>0.80207</t>
  </si>
  <si>
    <t>0.85</t>
  </si>
  <si>
    <t>0.72-1</t>
  </si>
  <si>
    <t>0.056584</t>
  </si>
  <si>
    <t>Raw vegetable intake_ European</t>
  </si>
  <si>
    <t>1.121</t>
  </si>
  <si>
    <t>1.09-1.15</t>
  </si>
  <si>
    <t>9.86E-16</t>
  </si>
  <si>
    <t>1.12</t>
  </si>
  <si>
    <t>9.70E-14</t>
  </si>
  <si>
    <t>0.95-1.15</t>
  </si>
  <si>
    <t>(0.87, 5.31)</t>
  </si>
  <si>
    <t>0.369425</t>
  </si>
  <si>
    <t>1.023</t>
  </si>
  <si>
    <t>0.98-1.07</t>
  </si>
  <si>
    <t>Dried fruit intake_ European</t>
  </si>
  <si>
    <t>0.259669</t>
  </si>
  <si>
    <t>1</t>
  </si>
  <si>
    <t>0.96-1.04</t>
  </si>
  <si>
    <t>0.938422</t>
  </si>
  <si>
    <t>1.07</t>
  </si>
  <si>
    <t>0.93-1.24</t>
  </si>
  <si>
    <t>0.356563</t>
  </si>
  <si>
    <t>(0.70, 1.89)</t>
  </si>
  <si>
    <t>Insomnia</t>
  </si>
  <si>
    <t>UK Biobank, 23andMe</t>
  </si>
  <si>
    <t>397959</t>
  </si>
  <si>
    <t>933051</t>
  </si>
  <si>
    <t>1.000</t>
  </si>
  <si>
    <t>0.89-1.13</t>
  </si>
  <si>
    <t>0.989334</t>
  </si>
  <si>
    <t>0.87-1.15</t>
  </si>
  <si>
    <t>0.76</t>
  </si>
  <si>
    <t>0.48-1.2</t>
  </si>
  <si>
    <t>0.237506</t>
  </si>
  <si>
    <t>Fresh fruit intake_ European</t>
  </si>
  <si>
    <t>Autism spectrum disorder</t>
  </si>
  <si>
    <t>(0.83, 1.88)</t>
  </si>
  <si>
    <t>ieu-a-1185</t>
  </si>
  <si>
    <t>iPSYCH-PGC</t>
  </si>
  <si>
    <t xml:space="preserve">46,351	</t>
  </si>
  <si>
    <t>1.045</t>
  </si>
  <si>
    <t>0.93-1.17</t>
  </si>
  <si>
    <t>0.446335</t>
  </si>
  <si>
    <t>0.94-1.21</t>
  </si>
  <si>
    <t>0.299221</t>
  </si>
  <si>
    <t>1.15</t>
  </si>
  <si>
    <t>0.76-1.75</t>
  </si>
  <si>
    <t>0.517171</t>
  </si>
  <si>
    <t>0.850 - 3.780</t>
  </si>
  <si>
    <t>P&lt;.05</t>
  </si>
  <si>
    <t>Prostate Cancer_Replication</t>
  </si>
  <si>
    <t>1.100 - 5.932</t>
  </si>
  <si>
    <t>bbj-a-148</t>
  </si>
  <si>
    <t>0.066 - 15.841</t>
  </si>
  <si>
    <t>Biobank Japan</t>
  </si>
  <si>
    <t>(0.91, 1.04)</t>
  </si>
  <si>
    <t>0.78-0.9</t>
  </si>
  <si>
    <t>4.53E-06</t>
  </si>
  <si>
    <t>0.87</t>
  </si>
  <si>
    <t>0.79-0.95</t>
  </si>
  <si>
    <t>0.00209</t>
  </si>
  <si>
    <t>0.66-1.1</t>
  </si>
  <si>
    <t>0.218221</t>
  </si>
  <si>
    <t>(0.94, 1.24)</t>
  </si>
  <si>
    <t xml:space="preserve">&lt;0.01 </t>
  </si>
  <si>
    <t>0.734</t>
  </si>
  <si>
    <t>0.65-0.83</t>
  </si>
  <si>
    <t>4.38E-07</t>
  </si>
  <si>
    <t>0.63-0.83</t>
  </si>
  <si>
    <t>2.90E-06</t>
  </si>
  <si>
    <t>0.65</t>
  </si>
  <si>
    <t>0.43-1</t>
  </si>
  <si>
    <t>0.048854</t>
  </si>
  <si>
    <t>(0.80, 1.16)</t>
  </si>
  <si>
    <t>Major depression disorder</t>
  </si>
  <si>
    <t>23andMe_307k, UK Biobank, PGC_139k</t>
  </si>
  <si>
    <t>128</t>
  </si>
  <si>
    <t>246363</t>
  </si>
  <si>
    <t>561190</t>
  </si>
  <si>
    <t>1.138</t>
  </si>
  <si>
    <t>1.02-1.28</t>
  </si>
  <si>
    <t>0.025658</t>
  </si>
  <si>
    <t>1.11</t>
  </si>
  <si>
    <t>0.99-1.25</t>
  </si>
  <si>
    <t>0.070144</t>
  </si>
  <si>
    <t>0.75</t>
  </si>
  <si>
    <t>0.48-1.16</t>
  </si>
  <si>
    <t>0.195065</t>
  </si>
  <si>
    <t>(0.84, 1.14)</t>
  </si>
  <si>
    <t>149</t>
  </si>
  <si>
    <t>finn-bC3_PROSTATE</t>
  </si>
  <si>
    <t>1.095</t>
  </si>
  <si>
    <t>1-1.2</t>
  </si>
  <si>
    <t>FinnGen</t>
  </si>
  <si>
    <t>0.058948</t>
  </si>
  <si>
    <t>0.96-1.17</t>
  </si>
  <si>
    <t>0.267503</t>
  </si>
  <si>
    <t>0.99-1.92</t>
  </si>
  <si>
    <t>0.060684</t>
  </si>
  <si>
    <t>(0.64, 16.62)</t>
  </si>
  <si>
    <t>0.904</t>
  </si>
  <si>
    <t>Barrett’s esophagus</t>
  </si>
  <si>
    <t>0.84-0.97</t>
  </si>
  <si>
    <t>0.007932</t>
  </si>
  <si>
    <t>0.9</t>
  </si>
  <si>
    <t>https://doi.org/10.1136/gutjnl-2020-323906</t>
  </si>
  <si>
    <t>0.83-0.99</t>
  </si>
  <si>
    <t>0.021526</t>
  </si>
  <si>
    <t>(1.20, 24.70)</t>
  </si>
  <si>
    <t>0.77-1.28</t>
  </si>
  <si>
    <t>0.957063</t>
  </si>
  <si>
    <t>Esophageal cancer consortium</t>
  </si>
  <si>
    <t>123</t>
  </si>
  <si>
    <t>0.11- 0.71</t>
  </si>
  <si>
    <t>0.900</t>
  </si>
  <si>
    <t>0.79-1.03</t>
  </si>
  <si>
    <t>0.118031</t>
  </si>
  <si>
    <t>0.07-0.76</t>
  </si>
  <si>
    <t>0.91</t>
  </si>
  <si>
    <t>7.67x10^-3- 4.61</t>
  </si>
  <si>
    <t>0.81-1.03</t>
  </si>
  <si>
    <t>0.151976</t>
  </si>
  <si>
    <t>0.97</t>
  </si>
  <si>
    <t>0.61-1.54</t>
  </si>
  <si>
    <t>0.905909</t>
  </si>
  <si>
    <t>(0.67, 2.85)</t>
  </si>
  <si>
    <t>-1.15</t>
  </si>
  <si>
    <t>-2.1--0.2</t>
  </si>
  <si>
    <t>0.017131</t>
  </si>
  <si>
    <t>1.39</t>
  </si>
  <si>
    <t>-4.02-6.8</t>
  </si>
  <si>
    <t>0.615381</t>
  </si>
  <si>
    <t>(0.97, 5.52)</t>
  </si>
  <si>
    <t>-0.22</t>
  </si>
  <si>
    <t>1.01-0.56</t>
  </si>
  <si>
    <t>0.57306</t>
  </si>
  <si>
    <t>ukb-b-16,576</t>
  </si>
  <si>
    <t>-2.61-4.51</t>
  </si>
  <si>
    <t>ebi-a-GCST90018120</t>
  </si>
  <si>
    <t>0.600069</t>
  </si>
  <si>
    <r>
      <rPr>
        <sz val="11"/>
        <color rgb="FF000000"/>
        <rFont val="Calibri"/>
      </rPr>
      <t>UK Biobank</t>
    </r>
  </si>
  <si>
    <t>1.001–1.006</t>
  </si>
  <si>
    <t>0.988–0.999??</t>
  </si>
  <si>
    <t>-0.97</t>
  </si>
  <si>
    <t>-1.61--0.34</t>
  </si>
  <si>
    <t>0.002622</t>
  </si>
  <si>
    <t>-2.06-4.08</t>
  </si>
  <si>
    <t>0.520324</t>
  </si>
  <si>
    <t>multi-site chronic pain (MCP)</t>
  </si>
  <si>
    <r>
      <rPr>
        <sz val="11"/>
        <color rgb="FF000000"/>
        <rFont val="Calibri"/>
      </rPr>
      <t>UK Biobank</t>
    </r>
  </si>
  <si>
    <t>CD</t>
  </si>
  <si>
    <t>0,11</t>
  </si>
  <si>
    <t>0,11(SE)</t>
  </si>
  <si>
    <t>0,294</t>
  </si>
  <si>
    <t>0.11(SE)</t>
  </si>
  <si>
    <t>-1.61</t>
  </si>
  <si>
    <t>-2.52--0.7</t>
  </si>
  <si>
    <t>0.000517</t>
  </si>
  <si>
    <t>-1.46</t>
  </si>
  <si>
    <t>-5.04-2.12</t>
  </si>
  <si>
    <t>0.424095</t>
  </si>
  <si>
    <r>
      <rPr>
        <sz val="11"/>
        <color rgb="FF000000"/>
        <rFont val="Calibri"/>
      </rPr>
      <t>UK Biobank</t>
    </r>
  </si>
  <si>
    <t xml:space="preserve">	−0,22		</t>
  </si>
  <si>
    <t>0,07(SE)</t>
  </si>
  <si>
    <t>0,001</t>
  </si>
  <si>
    <t>0.07 (SE)</t>
  </si>
  <si>
    <t>-0.46</t>
  </si>
  <si>
    <t>-0.99-0.07</t>
  </si>
  <si>
    <t>0.085755</t>
  </si>
  <si>
    <t>1.77</t>
  </si>
  <si>
    <t>-1.12-4.66</t>
  </si>
  <si>
    <t>0.229123</t>
  </si>
  <si>
    <t xml:space="preserve">Barrett’s esophagus (BE) </t>
  </si>
  <si>
    <r>
      <rPr>
        <sz val="11"/>
        <color rgb="FF000000"/>
        <rFont val="Calibri"/>
      </rPr>
      <t>UK Biobank</t>
    </r>
  </si>
  <si>
    <t xml:space="preserve">−0,17		</t>
  </si>
  <si>
    <t>0,017</t>
  </si>
  <si>
    <t xml:space="preserve">83.220
</t>
  </si>
  <si>
    <t>0.08 (SE)</t>
  </si>
  <si>
    <t>-0.49-0.46</t>
  </si>
  <si>
    <t>0.957479</t>
  </si>
  <si>
    <t>2.23</t>
  </si>
  <si>
    <t>-0.37-4.83</t>
  </si>
  <si>
    <t>0.093271</t>
  </si>
  <si>
    <t>46.20</t>
  </si>
  <si>
    <t xml:space="preserve"> (0.093 to 2.756)</t>
  </si>
  <si>
    <r>
      <rPr>
        <sz val="11"/>
        <color rgb="FF000000"/>
        <rFont val="Calibri"/>
      </rPr>
      <t>UK Biobank</t>
    </r>
  </si>
  <si>
    <t>(0.050 to 7.053)</t>
  </si>
  <si>
    <t xml:space="preserve">−0,16	</t>
  </si>
  <si>
    <t>-0.58</t>
  </si>
  <si>
    <t>-0.96--0.21</t>
  </si>
  <si>
    <t>0.002117</t>
  </si>
  <si>
    <t>0,158</t>
  </si>
  <si>
    <t xml:space="preserve"> (0.006 to 709.672)</t>
  </si>
  <si>
    <t>-0.11</t>
  </si>
  <si>
    <t xml:space="preserve">28.023
</t>
  </si>
  <si>
    <t>-1.73-1.52</t>
  </si>
  <si>
    <t>0.896697</t>
  </si>
  <si>
    <t>0.12 (SE)</t>
  </si>
  <si>
    <t>-0.93</t>
  </si>
  <si>
    <t>-1.46--0.39</t>
  </si>
  <si>
    <t>0.000653</t>
  </si>
  <si>
    <t>-0.45</t>
  </si>
  <si>
    <t>chronic back pain (BP)</t>
  </si>
  <si>
    <t>-2.7-1.81</t>
  </si>
  <si>
    <t>0.697456</t>
  </si>
  <si>
    <t>ukb-b-8463</t>
  </si>
  <si>
    <r>
      <rPr>
        <sz val="11"/>
        <color rgb="FF000000"/>
        <rFont val="Calibri"/>
      </rPr>
      <t>UK Biobank</t>
    </r>
  </si>
  <si>
    <r>
      <rPr>
        <sz val="11"/>
        <color rgb="FF000000"/>
        <rFont val="Calibri"/>
      </rPr>
      <t>UK Biobank</t>
    </r>
  </si>
  <si>
    <r>
      <rPr>
        <sz val="11"/>
        <color rgb="FF000000"/>
        <rFont val="Calibri"/>
      </rPr>
      <t>UK Biobank</t>
    </r>
  </si>
  <si>
    <t>serum total calcium</t>
  </si>
  <si>
    <t xml:space="preserve">0.06		</t>
  </si>
  <si>
    <t>0</t>
  </si>
  <si>
    <t>0.320788</t>
  </si>
  <si>
    <t>-0.02</t>
  </si>
  <si>
    <t>0.08(SE)</t>
  </si>
  <si>
    <t>-0.04-0.01</t>
  </si>
  <si>
    <t>0.145047</t>
  </si>
  <si>
    <r>
      <rPr>
        <sz val="11"/>
        <color rgb="FF000000"/>
        <rFont val="Calibri"/>
      </rPr>
      <t>UK Biobank</t>
    </r>
  </si>
  <si>
    <t>0.589292</t>
  </si>
  <si>
    <t>-0.02-0.01</t>
  </si>
  <si>
    <t>0.565442</t>
  </si>
  <si>
    <r>
      <rPr>
        <sz val="11"/>
        <color rgb="FF000000"/>
        <rFont val="Calibri"/>
      </rPr>
      <t>UK Biobank</t>
    </r>
  </si>
  <si>
    <r>
      <rPr>
        <sz val="11"/>
        <color rgb="FF000000"/>
        <rFont val="Calibri"/>
      </rPr>
      <t>UK Biobank</t>
    </r>
  </si>
  <si>
    <t xml:space="preserve">−0.05		</t>
  </si>
  <si>
    <t>0.03(SE)</t>
  </si>
  <si>
    <t>0.05(SE)</t>
  </si>
  <si>
    <t>0.06255</t>
  </si>
  <si>
    <t>-0.03-0</t>
  </si>
  <si>
    <t>0.043668</t>
  </si>
  <si>
    <r>
      <rPr>
        <sz val="11"/>
        <color rgb="FF000000"/>
        <rFont val="Calibri"/>
      </rPr>
      <t>UK Biobank</t>
    </r>
  </si>
  <si>
    <r>
      <rPr>
        <sz val="11"/>
        <color rgb="FF000000"/>
        <rFont val="Calibri"/>
      </rPr>
      <t>UK Biobank</t>
    </r>
  </si>
  <si>
    <r>
      <rPr>
        <sz val="11"/>
        <color rgb="FF000000"/>
        <rFont val="Calibri"/>
      </rPr>
      <t>UK Biobank</t>
    </r>
  </si>
  <si>
    <t xml:space="preserve">−0.04		</t>
  </si>
  <si>
    <t>-0.02--0.01</t>
  </si>
  <si>
    <t>6.44E-05</t>
  </si>
  <si>
    <t>-0.03-0.02</t>
  </si>
  <si>
    <t>0.594655</t>
  </si>
  <si>
    <t>IDN8</t>
  </si>
  <si>
    <r>
      <rPr>
        <sz val="11"/>
        <color rgb="FF000000"/>
        <rFont val="Calibri"/>
      </rPr>
      <t>UK Biobank</t>
    </r>
  </si>
  <si>
    <r>
      <rPr>
        <sz val="11"/>
        <color rgb="FF000000"/>
        <rFont val="Calibri"/>
      </rPr>
      <t>UK Biobank</t>
    </r>
  </si>
  <si>
    <t>Integrative Psychiatric Research (iPSYCH)</t>
  </si>
  <si>
    <t>fresh fruit intake</t>
  </si>
  <si>
    <t>ieu-b-5110</t>
  </si>
  <si>
    <t>MRC-IEU</t>
  </si>
  <si>
    <t>0,02</t>
  </si>
  <si>
    <t>PGC Bipolar Disorder Working Group of the Psychiatric Genomics Consortium</t>
  </si>
  <si>
    <t>0,06 (SE)</t>
  </si>
  <si>
    <t>1.323</t>
  </si>
  <si>
    <t>0,779</t>
  </si>
  <si>
    <t>0.83-2.12</t>
  </si>
  <si>
    <t>0.24295934</t>
  </si>
  <si>
    <t>0.09(SE)</t>
  </si>
  <si>
    <t>0.62-2.1</t>
  </si>
  <si>
    <t>0.663232</t>
  </si>
  <si>
    <t>36,96</t>
  </si>
  <si>
    <t>6.82</t>
  </si>
  <si>
    <t>0.86-54.06</t>
  </si>
  <si>
    <t>0.068947</t>
  </si>
  <si>
    <t>chronic headache (Headache)</t>
  </si>
  <si>
    <t>ukb-b-13092</t>
  </si>
  <si>
    <r>
      <rPr>
        <sz val="11"/>
        <color rgb="FF000000"/>
        <rFont val="Calibri"/>
      </rPr>
      <t>UK Biobank</t>
    </r>
  </si>
  <si>
    <r>
      <rPr>
        <sz val="11"/>
        <color rgb="FF000000"/>
        <rFont val="Calibri"/>
      </rPr>
      <t>UK Biobank</t>
    </r>
  </si>
  <si>
    <t>1.213</t>
  </si>
  <si>
    <t>0.07(SE)</t>
  </si>
  <si>
    <t>0.81-1.82</t>
  </si>
  <si>
    <t>0.34902171</t>
  </si>
  <si>
    <r>
      <rPr>
        <sz val="11"/>
        <color rgb="FF000000"/>
        <rFont val="Calibri"/>
      </rPr>
      <t>UK Biobank</t>
    </r>
  </si>
  <si>
    <t>0.8-2.4</t>
  </si>
  <si>
    <t>0.245941</t>
  </si>
  <si>
    <t>1.64</t>
  </si>
  <si>
    <t>0.36-7.45</t>
  </si>
  <si>
    <t>0.52507</t>
  </si>
  <si>
    <t>257</t>
  </si>
  <si>
    <r>
      <rPr>
        <sz val="11"/>
        <color rgb="FF000000"/>
        <rFont val="Calibri"/>
      </rPr>
      <t>UK Biobank</t>
    </r>
  </si>
  <si>
    <r>
      <rPr>
        <sz val="11"/>
        <color rgb="FF000000"/>
        <rFont val="Calibri"/>
      </rPr>
      <t>UK Biobank</t>
    </r>
  </si>
  <si>
    <t>0.872</t>
  </si>
  <si>
    <t>0.65-1.16</t>
  </si>
  <si>
    <t>0.35294298</t>
  </si>
  <si>
    <t>1.30</t>
  </si>
  <si>
    <t>0.87-1.95</t>
  </si>
  <si>
    <t>0.192488</t>
  </si>
  <si>
    <t>1.86</t>
  </si>
  <si>
    <t>0.66-5.19</t>
  </si>
  <si>
    <t>0.238458</t>
  </si>
  <si>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</si>
  <si>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</si>
  <si>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</si>
  <si>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</si>
  <si>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</si>
  <si>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</si>
  <si>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</si>
  <si>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</si>
  <si>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Times New Roman"/>
      </rPr>
      <t>NR</t>
    </r>
  </si>
  <si>
    <r>
      <rPr>
        <sz val="11"/>
        <color rgb="FF000000"/>
        <rFont val="Times New Roman"/>
      </rPr>
      <t>AQP4‑positive n</t>
    </r>
    <r>
      <rPr>
        <sz val="11"/>
        <color rgb="FF000000"/>
        <rFont val="Times New Roman"/>
      </rPr>
      <t>euromyelitis optica spectrum disorders</t>
    </r>
  </si>
  <si>
    <t xml:space="preserve">ukb-b-8906	</t>
  </si>
  <si>
    <r>
      <rPr>
        <sz val="11"/>
        <color rgb="FF000000"/>
        <rFont val="Calibri"/>
      </rPr>
      <t>UK Biobank</t>
    </r>
  </si>
  <si>
    <r>
      <rPr>
        <sz val="11"/>
        <color rgb="FF000000"/>
        <rFont val="Calibri"/>
      </rPr>
      <t>UK Biobank</t>
    </r>
  </si>
  <si>
    <t>Bladder cancer</t>
  </si>
  <si>
    <r>
      <rPr>
        <sz val="11"/>
        <color rgb="FF000000"/>
        <rFont val="Times New Roman"/>
      </rPr>
      <t>NR</t>
    </r>
  </si>
  <si>
    <t>0.11957359 - 4863.992.698</t>
  </si>
  <si>
    <t>ieu-b-4874</t>
  </si>
  <si>
    <t>0.9934-1.0027</t>
  </si>
  <si>
    <r>
      <rPr>
        <sz val="11"/>
        <color rgb="FF000000"/>
        <rFont val="Times New Roman"/>
      </rPr>
      <t>AQP4‑positive n</t>
    </r>
    <r>
      <rPr>
        <sz val="11"/>
        <color rgb="FF000000"/>
        <rFont val="Times New Roman"/>
      </rPr>
      <t>euromyelitis optica spectrum disorders</t>
    </r>
  </si>
  <si>
    <t>0.9922-1.0065</t>
  </si>
  <si>
    <r>
      <rPr>
        <sz val="11"/>
        <color rgb="FF000000"/>
        <rFont val="Times New Roman"/>
      </rPr>
      <t>NR</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</si>
  <si>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</si>
  <si>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</si>
  <si>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</si>
  <si>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</si>
  <si>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Times New Roman"/>
      </rPr>
      <t>AQP4‑positive n</t>
    </r>
    <r>
      <rPr>
        <sz val="11"/>
        <color rgb="FF000000"/>
        <rFont val="Times New Roman"/>
      </rPr>
      <t>euromyelitis optica spectrum disorders</t>
    </r>
  </si>
  <si>
    <r>
      <rPr>
        <sz val="11"/>
        <color rgb="FF000000"/>
        <rFont val="Times New Roman"/>
      </rPr>
      <t>NR</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</si>
  <si>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</si>
  <si>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</si>
  <si>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</si>
  <si>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</si>
  <si>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</si>
  <si>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</si>
  <si>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</si>
  <si>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</si>
  <si>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t>chronic neck/shoulder pain (NP)</t>
  </si>
  <si>
    <t>ukb-b-16118</t>
  </si>
  <si>
    <r>
      <rPr>
        <sz val="11"/>
        <color rgb="FF000000"/>
        <rFont val="Calibri"/>
      </rPr>
      <t>UK Biobank</t>
    </r>
  </si>
  <si>
    <r>
      <rPr>
        <sz val="11"/>
        <color rgb="FF000000"/>
        <rFont val="Calibri"/>
      </rPr>
      <t>UK Biobank</t>
    </r>
  </si>
  <si>
    <t xml:space="preserve">8.020
</t>
  </si>
  <si>
    <t>Brain cancer</t>
  </si>
  <si>
    <t>ieu-b-4875</t>
  </si>
  <si>
    <t>0.9922-1.0023</t>
  </si>
  <si>
    <r>
      <rPr>
        <sz val="11"/>
        <color rgb="FF000000"/>
        <rFont val="Calibri"/>
      </rPr>
      <t>UK Biobank</t>
    </r>
  </si>
  <si>
    <r>
      <rPr>
        <sz val="11"/>
        <color rgb="FF000000"/>
        <rFont val="Calibri"/>
      </rPr>
      <t>UK Biobank</t>
    </r>
  </si>
  <si>
    <t>0.9922-1.0003</t>
  </si>
  <si>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</si>
  <si>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</si>
  <si>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</si>
  <si>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</si>
  <si>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</si>
  <si>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</si>
  <si>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</si>
  <si>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</si>
  <si>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t>chronic hip pain (HP)</t>
  </si>
  <si>
    <t>ukb-b-133</t>
  </si>
  <si>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</si>
  <si>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</si>
  <si>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</si>
  <si>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</si>
  <si>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</si>
  <si>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</si>
  <si>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</si>
  <si>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</si>
  <si>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</si>
  <si>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</si>
  <si>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</si>
  <si>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</si>
  <si>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</si>
  <si>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</si>
  <si>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t>0.12(SE)</t>
  </si>
  <si>
    <t>Gastroesophageal reflux disease (GERD)</t>
  </si>
  <si>
    <t>42.07</t>
  </si>
  <si>
    <t>(0.467 to 1.004)</t>
  </si>
  <si>
    <t>(0.352 to 0.856)</t>
  </si>
  <si>
    <r>
      <rPr>
        <sz val="11"/>
        <color rgb="FF000000"/>
        <rFont val="Calibri"/>
      </rPr>
      <t>UK Biobank</t>
    </r>
  </si>
  <si>
    <t xml:space="preserve"> (0.051 to 1.567)</t>
  </si>
  <si>
    <r>
      <rPr>
        <sz val="11"/>
        <color rgb="FF000000"/>
        <rFont val="Calibri"/>
      </rPr>
      <t>UK Biobank</t>
    </r>
  </si>
  <si>
    <t>ebi-a-GCST90000514</t>
  </si>
  <si>
    <t>Gastroesophageal reflux disease</t>
  </si>
  <si>
    <t>(0.530 to 1.027)</t>
  </si>
  <si>
    <t>ieu-a-1168</t>
  </si>
  <si>
    <t>(0.501 to 1.348)</t>
  </si>
  <si>
    <t xml:space="preserve"> (0.342 to 3.350)</t>
  </si>
  <si>
    <t>0.4335-0.9733</t>
  </si>
  <si>
    <t>0.3575-1.0297</t>
  </si>
  <si>
    <t>38.40</t>
  </si>
  <si>
    <t xml:space="preserve"> (0.271 to 0.841)</t>
  </si>
  <si>
    <t xml:space="preserve"> (0.161 to 0.777)</t>
  </si>
  <si>
    <t>(0.021 to 4.052)</t>
  </si>
  <si>
    <r>
      <rPr>
        <sz val="11"/>
        <color rgb="FF000000"/>
        <rFont val="Calibri"/>
      </rPr>
      <t>UK Biobank</t>
    </r>
  </si>
  <si>
    <r>
      <rPr>
        <sz val="11"/>
        <color rgb="FF000000"/>
        <rFont val="Calibri"/>
      </rPr>
      <t>UK Biobank</t>
    </r>
  </si>
  <si>
    <t>37.63</t>
  </si>
  <si>
    <t>(1.090 to 3.352)</t>
  </si>
  <si>
    <t xml:space="preserve"> (0.866 to 3.534)</t>
  </si>
  <si>
    <t>(1.1E-05 to 0.520)</t>
  </si>
  <si>
    <t xml:space="preserve"> (0.289 to 4.003)</t>
  </si>
  <si>
    <t>(0.214 to 7.002)</t>
  </si>
  <si>
    <r>
      <rPr>
        <sz val="11"/>
        <color rgb="FF000000"/>
        <rFont val="Calibri"/>
      </rPr>
      <t>UK Biobank</t>
    </r>
  </si>
  <si>
    <t>(0.001 to 172.031)</t>
  </si>
  <si>
    <r>
      <rPr>
        <sz val="11"/>
        <color rgb="FF000000"/>
        <rFont val="Calibri"/>
      </rPr>
      <t>UK Biobank</t>
    </r>
  </si>
  <si>
    <r>
      <rPr>
        <sz val="11"/>
        <color rgb="FF000000"/>
        <rFont val="Calibri"/>
      </rPr>
      <t>UK Biobank</t>
    </r>
  </si>
  <si>
    <r>
      <rPr>
        <sz val="11"/>
        <color rgb="FF000000"/>
        <rFont val="Calibri"/>
      </rPr>
      <t>UK Biobank</t>
    </r>
  </si>
  <si>
    <t xml:space="preserve"> (0.019 to 4.419)</t>
  </si>
  <si>
    <t>(0.001 to 1.542)</t>
  </si>
  <si>
    <t>(6.7E-11 to 3.671)</t>
  </si>
  <si>
    <t>GCST004748</t>
  </si>
  <si>
    <t xml:space="preserve"> (0.013 to 3.625)</t>
  </si>
  <si>
    <t xml:space="preserve"> (0.001 to 0.690)</t>
  </si>
  <si>
    <t xml:space="preserve"> (2.3E-17 to 9.6E+10)</t>
  </si>
  <si>
    <t>Esophageal cancer (EC)</t>
  </si>
  <si>
    <t xml:space="preserve"> (0.011 to 0.701)</t>
  </si>
  <si>
    <t xml:space="preserve"> (0.011 to 2.633)</t>
  </si>
  <si>
    <t>(9.5E-06 to 1581.445)</t>
  </si>
  <si>
    <r>
      <rPr>
        <sz val="11"/>
        <color rgb="FF000000"/>
        <rFont val="Calibri"/>
      </rPr>
      <t>UK Biobank</t>
    </r>
  </si>
  <si>
    <r>
      <rPr>
        <sz val="11"/>
        <color rgb="FF000000"/>
        <rFont val="Calibri"/>
      </rPr>
      <t>UK Biobank</t>
    </r>
  </si>
  <si>
    <t xml:space="preserve"> (0.016 to 1.021)</t>
  </si>
  <si>
    <t>(0.003 to 1.539)</t>
  </si>
  <si>
    <t>(1.5E-04 to 247.035)</t>
  </si>
  <si>
    <t>(0.065 to 82.076)</t>
  </si>
  <si>
    <t>(0.081 to 1161.946)</t>
  </si>
  <si>
    <t xml:space="preserve"> (5.6E-07 to 1.4E+08)</t>
  </si>
  <si>
    <t xml:space="preserve"> (0.412 to 230.88)</t>
  </si>
  <si>
    <t>(0.844 to 5041.703)</t>
  </si>
  <si>
    <t>(1.387 to 1.6E+30)</t>
  </si>
  <si>
    <t xml:space="preserve">Salad intake </t>
  </si>
  <si>
    <t xml:space="preserve">Gallstone disease </t>
  </si>
  <si>
    <t>0.48 - 2.34</t>
  </si>
  <si>
    <t>GCST004744</t>
  </si>
  <si>
    <t>0.96 - 1.00</t>
  </si>
  <si>
    <t xml:space="preserve">Dung </t>
  </si>
  <si>
    <t>frozen shoulder</t>
  </si>
  <si>
    <t>ebi-a-GCST90000512</t>
  </si>
  <si>
    <t>0.34–0.80</t>
  </si>
  <si>
    <t>0.25–0.83</t>
  </si>
  <si>
    <t>0.05–2.95</t>
  </si>
  <si>
    <t xml:space="preserve">2.508	</t>
  </si>
  <si>
    <t>1.258 - 4.997</t>
  </si>
  <si>
    <t>1.222 - 7.295</t>
  </si>
  <si>
    <t>0 - 10224.5</t>
  </si>
  <si>
    <t>Vegetable consumption</t>
  </si>
  <si>
    <r>
      <rPr>
        <sz val="11"/>
        <color rgb="FF000000"/>
        <rFont val="Calibri"/>
      </rPr>
      <t>UK Biobank</t>
    </r>
  </si>
  <si>
    <r>
      <rPr>
        <sz val="11"/>
        <color rgb="FF000000"/>
        <rFont val="Calibri"/>
      </rPr>
      <t>UK Biobank</t>
    </r>
  </si>
  <si>
    <t>1.000 - 1.029</t>
  </si>
  <si>
    <t>1.000 - 1.038</t>
  </si>
  <si>
    <t>0.974 - 1.034</t>
  </si>
  <si>
    <t>Fruit consumption</t>
  </si>
  <si>
    <r>
      <rPr>
        <sz val="11"/>
        <color rgb="FF000000"/>
        <rFont val="Calibri"/>
      </rPr>
      <t>UK Biobank</t>
    </r>
  </si>
  <si>
    <r>
      <rPr>
        <sz val="11"/>
        <color rgb="FF000000"/>
        <rFont val="Calibri"/>
      </rPr>
      <t>UK Biobank</t>
    </r>
  </si>
  <si>
    <t>Bronchitis</t>
  </si>
  <si>
    <t>0.986 - 1.029</t>
  </si>
  <si>
    <t>0.984 - 1.055</t>
  </si>
  <si>
    <t>0.932 - 1.078</t>
  </si>
  <si>
    <t>0.77</t>
  </si>
  <si>
    <t>0.5-1.19</t>
  </si>
  <si>
    <t>0.243</t>
  </si>
  <si>
    <t>0.35</t>
  </si>
  <si>
    <t>0.08-1.54</t>
  </si>
  <si>
    <t>0.172</t>
  </si>
  <si>
    <t>17,65</t>
  </si>
  <si>
    <t>GCST004750</t>
  </si>
  <si>
    <t>0.287 - 2.284</t>
  </si>
  <si>
    <t>41,51</t>
  </si>
  <si>
    <t>0.767 - 6.683</t>
  </si>
  <si>
    <t>0.155 - 1824.858</t>
  </si>
  <si>
    <t>Low back pain (replication)</t>
  </si>
  <si>
    <t>ukb-d-M13_LOWBACKPAIN</t>
  </si>
  <si>
    <t>0.976-0.992</t>
  </si>
  <si>
    <t>5.704*10^-5</t>
  </si>
  <si>
    <t>0.974-0.996</t>
  </si>
  <si>
    <t>0.926-0.996</t>
  </si>
  <si>
    <t>Low back pain (discovery)</t>
  </si>
  <si>
    <t xml:space="preserve">ukb-b-3881	</t>
  </si>
  <si>
    <t>finn-b-M13-LOWBACKPAIN</t>
  </si>
  <si>
    <t>0.358-0.987</t>
  </si>
  <si>
    <t>Calculus of kidney and ureter</t>
  </si>
  <si>
    <t>0.258-0.848</t>
  </si>
  <si>
    <t>N14_CALCUKIDUR</t>
  </si>
  <si>
    <t>0.185 - 0.694</t>
  </si>
  <si>
    <t>≈14000</t>
  </si>
  <si>
    <t>0.134 - 0.650</t>
  </si>
  <si>
    <t>0.010 - 1.073</t>
  </si>
  <si>
    <t>0.9-1.11</t>
  </si>
  <si>
    <t>GCST004746</t>
  </si>
  <si>
    <t>7.43-54.96</t>
  </si>
  <si>
    <t>3.90*10^-9</t>
  </si>
  <si>
    <t>4.63-73.95</t>
  </si>
  <si>
    <t>3.69*10^-5</t>
  </si>
  <si>
    <t>6.79x10^-5-7.29x10^9</t>
  </si>
  <si>
    <t>0.02- 0.89</t>
  </si>
  <si>
    <t>0.03-1.68</t>
  </si>
  <si>
    <t>7.07x10^-6-5x10^4</t>
  </si>
  <si>
    <t>0.10-0.65</t>
  </si>
  <si>
    <t>0.14-1.51</t>
  </si>
  <si>
    <t>2.87*10^-5-792.81</t>
  </si>
  <si>
    <t>COPD</t>
  </si>
  <si>
    <t>finn-b-J10_COPD</t>
  </si>
  <si>
    <t>3.549E-01 - 2.369</t>
  </si>
  <si>
    <t>3.922E-01 - 5.507</t>
  </si>
  <si>
    <t>1.853E-07 - 234.547</t>
  </si>
  <si>
    <t>IPF</t>
  </si>
  <si>
    <t>finn-b-IPF</t>
  </si>
  <si>
    <t>0.136 - 36.957</t>
  </si>
  <si>
    <t>0.224 - 244.681</t>
  </si>
  <si>
    <t>3.413E-16 - 1.103E+12</t>
  </si>
  <si>
    <t>0.558 - 2.710</t>
  </si>
  <si>
    <t>0.403 - 2.414</t>
  </si>
  <si>
    <t>0.001 - 35769.624</t>
  </si>
  <si>
    <t>OSA</t>
  </si>
  <si>
    <t>finn-b-G6_SLEEPAPNO</t>
  </si>
  <si>
    <t xml:space="preserve">	201,194</t>
  </si>
  <si>
    <r>
      <rPr>
        <sz val="11"/>
        <color rgb="FF000000"/>
        <rFont val="Calibri"/>
      </rPr>
      <t>UK Biobank</t>
    </r>
  </si>
  <si>
    <r>
      <rPr>
        <sz val="11"/>
        <color rgb="FF000000"/>
        <rFont val="Calibri"/>
      </rPr>
      <t>UK Biobank</t>
    </r>
  </si>
  <si>
    <t>7.225E-01 - 1.306E+01</t>
  </si>
  <si>
    <t>5.129E^-01 - 3.872</t>
  </si>
  <si>
    <t>1.210E-07 - 2.242E+07</t>
  </si>
  <si>
    <t xml:space="preserve"> Raw vegetable intake</t>
  </si>
  <si>
    <t>0.109 - 2.506</t>
  </si>
  <si>
    <t>0.064 - 1.764</t>
  </si>
  <si>
    <t>0.009 - 31086.42</t>
  </si>
  <si>
    <r>
      <rPr>
        <sz val="11"/>
        <color rgb="FF000000"/>
        <rFont val="Calibri"/>
      </rPr>
      <t>UK Biobank</t>
    </r>
  </si>
  <si>
    <r>
      <rPr>
        <sz val="11"/>
        <color rgb="FF000000"/>
        <rFont val="Calibri"/>
      </rPr>
      <t>UK Biobank</t>
    </r>
  </si>
  <si>
    <t>0.099 - 16.468</t>
  </si>
  <si>
    <t>0.001 - 18.967</t>
  </si>
  <si>
    <t>2.254E-12 - 0.066</t>
  </si>
  <si>
    <t>finn-b-M13_LOWBACKPAIN</t>
  </si>
  <si>
    <t>finn-b-I9_HYPTENS</t>
  </si>
  <si>
    <t>0.287-0.659</t>
  </si>
  <si>
    <t>8.657*10^-5</t>
  </si>
  <si>
    <t>0.453 – 1.397</t>
  </si>
  <si>
    <t>0.325-0.967</t>
  </si>
  <si>
    <t xml:space="preserve"> 0.441–2.051	</t>
  </si>
  <si>
    <t>0.160 – 30.688</t>
  </si>
  <si>
    <t>0.013-0.479</t>
  </si>
  <si>
    <t>Circulatory system diseases</t>
  </si>
  <si>
    <t>0.267 - 1.143</t>
  </si>
  <si>
    <t>0.180 - 1.428</t>
  </si>
  <si>
    <t>0.053 - 171.588</t>
  </si>
  <si>
    <t>Finn-b-I9_hypertension</t>
  </si>
  <si>
    <t>0.37–0.90</t>
  </si>
  <si>
    <t>0.09,6.15</t>
  </si>
  <si>
    <t>0.45,1.35</t>
  </si>
  <si>
    <t>Calculus of lower urinary tract</t>
  </si>
  <si>
    <t>N14_CALCULOWER</t>
  </si>
  <si>
    <t>3.347E-01 - 5.523</t>
  </si>
  <si>
    <t>1.817E-01 - 7.329</t>
  </si>
  <si>
    <t>1.287E-05 - 2.839</t>
  </si>
  <si>
    <t>0.069 - 0.889</t>
  </si>
  <si>
    <t>0.019 - 0.857</t>
  </si>
  <si>
    <t>6.808E-05 - 0.594</t>
  </si>
  <si>
    <t>aa</t>
  </si>
  <si>
    <t>0.411 - 1.002</t>
  </si>
  <si>
    <t>0.370 - 1.086</t>
  </si>
  <si>
    <t>0.013 - 0.636</t>
  </si>
  <si>
    <t>0.203 - 1.157</t>
  </si>
  <si>
    <t>0.222 - 1.545</t>
  </si>
  <si>
    <t>0.049 - 19.456</t>
  </si>
  <si>
    <t>0.394 - 7.796</t>
  </si>
  <si>
    <t>0.664 - 60.230</t>
  </si>
  <si>
    <t>0.017 - 524.094</t>
  </si>
  <si>
    <t>0.610 - 2.113</t>
  </si>
  <si>
    <t>0.606 - 2.309</t>
  </si>
  <si>
    <t>0.204 - 14.718</t>
  </si>
  <si>
    <t>Cervical cancer</t>
  </si>
  <si>
    <r>
      <rPr>
        <sz val="11"/>
        <color rgb="FF000000"/>
        <rFont val="Calibri"/>
      </rPr>
      <t>ieu-b-4876</t>
    </r>
  </si>
  <si>
    <t>0.9919-1.0035</t>
  </si>
  <si>
    <t>0.9892-1.006</t>
  </si>
  <si>
    <t>0.615 – 3.561</t>
  </si>
  <si>
    <t>&lt;.0001</t>
  </si>
  <si>
    <t>0.703 – 2.679</t>
  </si>
  <si>
    <t>0.000102–45,688.468</t>
  </si>
  <si>
    <t>0.29-0.66</t>
  </si>
  <si>
    <t>0.32-0.99</t>
  </si>
  <si>
    <t>0.04666</t>
  </si>
  <si>
    <t>0.08</t>
  </si>
  <si>
    <t xml:space="preserve"> 0.01-0.48</t>
  </si>
  <si>
    <t>0.00872</t>
  </si>
  <si>
    <t>asthma</t>
  </si>
  <si>
    <t>0.357 - 0.815</t>
  </si>
  <si>
    <t>0.297 - 0.804</t>
  </si>
  <si>
    <t>0.030 - 1.223</t>
  </si>
  <si>
    <t>0.630 – 1.497</t>
  </si>
  <si>
    <t>0.694 – 1.896</t>
  </si>
  <si>
    <t>0.723–13.083</t>
  </si>
  <si>
    <t>0.392 - 3.407</t>
  </si>
  <si>
    <t>0.308 - 2.695</t>
  </si>
  <si>
    <t>0.000 - 1123597.731</t>
  </si>
  <si>
    <t>0.618 - 4.504</t>
  </si>
  <si>
    <t>P&gt;.05</t>
  </si>
  <si>
    <t>0.770 - 12.212</t>
  </si>
  <si>
    <t>0.000 - 2106.449</t>
  </si>
  <si>
    <t>1.342 - 3.501</t>
  </si>
  <si>
    <t>1.077 - 4.496</t>
  </si>
  <si>
    <t>0.140 - 25.044</t>
  </si>
  <si>
    <t>COVID-19 susceptibility</t>
  </si>
  <si>
    <t>https://www.covid19hg.org/results/r7/</t>
  </si>
  <si>
    <t>0.79 - 1.45</t>
  </si>
  <si>
    <t>0.625 - 1.45</t>
  </si>
  <si>
    <t>0.177 - 108.229</t>
  </si>
  <si>
    <t>Infectious diseases</t>
  </si>
  <si>
    <t>COVID-19 hospitalisation</t>
  </si>
  <si>
    <t>0.64 - 2.88</t>
  </si>
  <si>
    <t>0.388 - 2.515</t>
  </si>
  <si>
    <t>0.236 - 559021.473</t>
  </si>
  <si>
    <t>0.117 - 0.378</t>
  </si>
  <si>
    <t>0.096 - 0.399</t>
  </si>
  <si>
    <t>0.024 - 4.899</t>
  </si>
  <si>
    <t>COVID-19 severity</t>
  </si>
  <si>
    <t>0.41 - 4.61</t>
  </si>
  <si>
    <t>0.097 - 1.715</t>
  </si>
  <si>
    <t>0.000 - 134521.092</t>
  </si>
  <si>
    <t>0.45 - 1.99</t>
  </si>
  <si>
    <t>0.315 - 1.134</t>
  </si>
  <si>
    <t>0.003 - 128.375</t>
  </si>
  <si>
    <t>0.23 - 4.77</t>
  </si>
  <si>
    <t>0.293 - 3.546</t>
  </si>
  <si>
    <t>0.014 - 2742770.13</t>
  </si>
  <si>
    <r>
      <rPr>
        <sz val="11"/>
        <color rgb="FF000000"/>
        <rFont val="Times New Roman"/>
      </rPr>
      <t>UK Biobank</t>
    </r>
  </si>
  <si>
    <t>0.993-1.003</t>
  </si>
  <si>
    <t>0.991-1.007</t>
  </si>
  <si>
    <t>0.25 - 3.96</t>
  </si>
  <si>
    <t>0.977-1.016</t>
  </si>
  <si>
    <t>0.147 - 5.955</t>
  </si>
  <si>
    <t>0.003 - 111001.867</t>
  </si>
  <si>
    <t>finn-b-K11_CHOLELITH</t>
  </si>
  <si>
    <r>
      <rPr>
        <sz val="11"/>
        <color rgb="FF000000"/>
        <rFont val="Times New Roman"/>
      </rPr>
      <t>UK Biobank</t>
    </r>
  </si>
  <si>
    <t>cholelithiasis</t>
  </si>
  <si>
    <t>0.53-1.01</t>
  </si>
  <si>
    <t>0.98 - 1.49</t>
  </si>
  <si>
    <t>0.429-1.156</t>
  </si>
  <si>
    <t>0.138-1.546</t>
  </si>
  <si>
    <t>0.946 - 1.602</t>
  </si>
  <si>
    <t>0.314 - 3.629</t>
  </si>
  <si>
    <r>
      <rPr>
        <sz val="11"/>
        <color rgb="FF000000"/>
        <rFont val="Calibri"/>
      </rPr>
      <t>UK Biobank</t>
    </r>
  </si>
  <si>
    <r>
      <rPr>
        <sz val="11"/>
        <color rgb="FF000000"/>
        <rFont val="Calibri"/>
      </rPr>
      <t>UK Biobank</t>
    </r>
  </si>
  <si>
    <r>
      <rPr>
        <sz val="11"/>
        <color rgb="FF000000"/>
        <rFont val="Times New Roman"/>
      </rPr>
      <t>UK Biobank</t>
    </r>
  </si>
  <si>
    <t>1.37 - 3.15</t>
  </si>
  <si>
    <t>1.267 - 3.732</t>
  </si>
  <si>
    <t>0.145 - 18.171</t>
  </si>
  <si>
    <t>Chronic gingivitis</t>
  </si>
  <si>
    <t>finn-b-K11_GINGIVITIS_CHRONIC</t>
  </si>
  <si>
    <r>
      <rPr>
        <sz val="11"/>
        <color rgb="FF000000"/>
        <rFont val="Times New Roman"/>
      </rPr>
      <t>UK Biobank</t>
    </r>
  </si>
  <si>
    <t>0.04 - 0.91</t>
  </si>
  <si>
    <t>1.16 - 3.37</t>
  </si>
  <si>
    <t>0.768 - 3.474</t>
  </si>
  <si>
    <t>0.26 - 123.895</t>
  </si>
  <si>
    <r>
      <rPr>
        <sz val="11"/>
        <color rgb="FF000000"/>
        <rFont val="Times New Roman"/>
      </rPr>
      <t>UK Biobank</t>
    </r>
  </si>
  <si>
    <t>0.94 - 1.48</t>
  </si>
  <si>
    <r>
      <rPr>
        <sz val="11"/>
        <color rgb="FF000000"/>
        <rFont val="Times New Roman"/>
      </rPr>
      <t>UK Biobank</t>
    </r>
  </si>
  <si>
    <t>0.866 - 1.635</t>
  </si>
  <si>
    <t>0.570 - 3.124</t>
  </si>
  <si>
    <t>0.85 - 2.69</t>
  </si>
  <si>
    <t>0.643 - 2.659</t>
  </si>
  <si>
    <t>0.223 - 20.021</t>
  </si>
  <si>
    <r>
      <rPr>
        <sz val="11"/>
        <color rgb="FF000000"/>
        <rFont val="Times New Roman"/>
      </rPr>
      <t>UK Biobank</t>
    </r>
  </si>
  <si>
    <r>
      <rPr>
        <sz val="11"/>
        <color rgb="FF000000"/>
        <rFont val="Times New Roman"/>
      </rPr>
      <t>UK Biobank</t>
    </r>
  </si>
  <si>
    <t>0.58 - 3.26</t>
  </si>
  <si>
    <t>0.304 - 2.475</t>
  </si>
  <si>
    <t>0.230 - 347.176</t>
  </si>
  <si>
    <t>0.355 – 0.794</t>
  </si>
  <si>
    <t xml:space="preserve">0.00204	</t>
  </si>
  <si>
    <t>0.255 – 0.585</t>
  </si>
  <si>
    <t>0.0226–0.735</t>
  </si>
  <si>
    <r>
      <rPr>
        <sz val="11"/>
        <color rgb="FF000000"/>
        <rFont val="Times New Roman"/>
      </rPr>
      <t>UK Biobank</t>
    </r>
  </si>
  <si>
    <r>
      <rPr>
        <sz val="11"/>
        <color rgb="FF000000"/>
        <rFont val="Times New Roman"/>
      </rPr>
      <t>UK Biobank</t>
    </r>
  </si>
  <si>
    <r>
      <rPr>
        <sz val="11"/>
        <color rgb="FF000000"/>
        <rFont val="Calibri"/>
      </rPr>
      <t>UK Biobank</t>
    </r>
  </si>
  <si>
    <r>
      <rPr>
        <sz val="11"/>
        <color rgb="FF000000"/>
        <rFont val="Calibri"/>
      </rPr>
      <t>UK Biobank</t>
    </r>
  </si>
  <si>
    <t>0.40-1.06</t>
  </si>
  <si>
    <t>0.084</t>
  </si>
  <si>
    <t>0.64</t>
  </si>
  <si>
    <t>0.34- 1.26</t>
  </si>
  <si>
    <t>0.201</t>
  </si>
  <si>
    <t>3.33</t>
  </si>
  <si>
    <t>0.74- 15.06</t>
  </si>
  <si>
    <t>0.126</t>
  </si>
  <si>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</si>
  <si>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</si>
  <si>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</si>
  <si>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</si>
  <si>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t>Emphysema</t>
  </si>
  <si>
    <r>
      <rPr>
        <sz val="11"/>
        <color rgb="FF000000"/>
        <rFont val="Times New Roman"/>
      </rPr>
      <t>UK Biobank</t>
    </r>
  </si>
  <si>
    <r>
      <rPr>
        <sz val="11"/>
        <color rgb="FF000000"/>
        <rFont val="Times New Roman"/>
      </rPr>
      <t>UK Biobank</t>
    </r>
  </si>
  <si>
    <t>0.38</t>
  </si>
  <si>
    <t>0.12-1.22</t>
  </si>
  <si>
    <t>0.103</t>
  </si>
  <si>
    <t>0.39</t>
  </si>
  <si>
    <t>0.08-2.01</t>
  </si>
  <si>
    <t>0.262</t>
  </si>
  <si>
    <t>0.67</t>
  </si>
  <si>
    <t>0.01-35.98</t>
  </si>
  <si>
    <t>0.846</t>
  </si>
  <si>
    <r>
      <rPr>
        <sz val="11"/>
        <color rgb="FF000000"/>
        <rFont val="Calibri"/>
      </rPr>
      <t>UK Biobank</t>
    </r>
  </si>
  <si>
    <r>
      <rPr>
        <sz val="11"/>
        <color rgb="FF000000"/>
        <rFont val="Calibri"/>
      </rPr>
      <t>UK Biobank</t>
    </r>
  </si>
  <si>
    <r>
      <rPr>
        <sz val="11"/>
        <color rgb="FF000000"/>
        <rFont val="Times New Roman"/>
      </rPr>
      <t>UK Biobank</t>
    </r>
  </si>
  <si>
    <r>
      <rPr>
        <sz val="11"/>
        <color rgb="FF000000"/>
        <rFont val="Times New Roman"/>
      </rPr>
      <t>UK Biobank</t>
    </r>
  </si>
  <si>
    <t>0.59</t>
  </si>
  <si>
    <t>0.44-0.79</t>
  </si>
  <si>
    <t>0.42-0.95</t>
  </si>
  <si>
    <t>0.026</t>
  </si>
  <si>
    <t>0.30</t>
  </si>
  <si>
    <t>0.08-1.15</t>
  </si>
  <si>
    <t>0.089</t>
  </si>
  <si>
    <r>
      <rPr>
        <sz val="11"/>
        <color rgb="FF000000"/>
        <rFont val="Times New Roman"/>
      </rPr>
      <t>UK Biobank</t>
    </r>
  </si>
  <si>
    <r>
      <rPr>
        <sz val="11"/>
        <color rgb="FF000000"/>
        <rFont val="Times New Roman"/>
      </rPr>
      <t>UK Biobank</t>
    </r>
  </si>
  <si>
    <t>0.339 - 0.780</t>
  </si>
  <si>
    <t>0.290 - 0.788</t>
  </si>
  <si>
    <t>0.0263 - 1.153</t>
  </si>
  <si>
    <r>
      <rPr>
        <sz val="11"/>
        <color rgb="FF000000"/>
        <rFont val="Times New Roman"/>
      </rPr>
      <t>UK Biobank</t>
    </r>
  </si>
  <si>
    <r>
      <rPr>
        <sz val="11"/>
        <color rgb="FF000000"/>
        <rFont val="Times New Roman"/>
      </rPr>
      <t>UK Biobank</t>
    </r>
  </si>
  <si>
    <t>0.5</t>
  </si>
  <si>
    <t>0.35-0.73</t>
  </si>
  <si>
    <t>0.44</t>
  </si>
  <si>
    <t>0.25-0.75</t>
  </si>
  <si>
    <t>0.003</t>
  </si>
  <si>
    <t>0.13</t>
  </si>
  <si>
    <t>0.02-0.71</t>
  </si>
  <si>
    <t>0.025</t>
  </si>
  <si>
    <t>0.15</t>
  </si>
  <si>
    <r>
      <rPr>
        <sz val="11"/>
        <color rgb="FF000000"/>
        <rFont val="Times New Roman"/>
      </rPr>
      <t>UK Biobank</t>
    </r>
  </si>
  <si>
    <t>0.05-0.42</t>
  </si>
  <si>
    <t>0.12</t>
  </si>
  <si>
    <t>0.03-0.54</t>
  </si>
  <si>
    <t>0.05</t>
  </si>
  <si>
    <r>
      <rPr>
        <sz val="11"/>
        <color rgb="FF000000"/>
        <rFont val="Times New Roman"/>
      </rPr>
      <t>UK Biobank</t>
    </r>
  </si>
  <si>
    <t>&lt;0.01-6.99</t>
  </si>
  <si>
    <t>2.07 - 8.10</t>
  </si>
  <si>
    <t>&lt; 0.001</t>
  </si>
  <si>
    <t>1.05 - 6.87</t>
  </si>
  <si>
    <t>0.12 - 364.35</t>
  </si>
  <si>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</si>
  <si>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</si>
  <si>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</si>
  <si>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</si>
  <si>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t>0.313 - 3.063</t>
  </si>
  <si>
    <t>0.214 - 2.184</t>
  </si>
  <si>
    <t>3.056E-07 - 44167.981</t>
  </si>
  <si>
    <r>
      <rPr>
        <sz val="11"/>
        <color rgb="FF000000"/>
        <rFont val="Times New Roman"/>
      </rPr>
      <t>UK Biobank</t>
    </r>
  </si>
  <si>
    <r>
      <rPr>
        <sz val="11"/>
        <color rgb="FF000000"/>
        <rFont val="Times New Roman"/>
      </rPr>
      <t>UK Biobank</t>
    </r>
  </si>
  <si>
    <t>0.038 - 2.181</t>
  </si>
  <si>
    <t>0.008 - 2.352</t>
  </si>
  <si>
    <t>2.047E-10 - 3904356007</t>
  </si>
  <si>
    <t>0.271 - 3.611</t>
  </si>
  <si>
    <r>
      <rPr>
        <sz val="11"/>
        <color rgb="FF000000"/>
        <rFont val="Times New Roman"/>
      </rPr>
      <t>UK Biobank</t>
    </r>
  </si>
  <si>
    <r>
      <rPr>
        <sz val="11"/>
        <color rgb="FF000000"/>
        <rFont val="Times New Roman"/>
      </rPr>
      <t>UK Biobank</t>
    </r>
  </si>
  <si>
    <t>0.096 - 1.415</t>
  </si>
  <si>
    <t>0.005 - 761.768</t>
  </si>
  <si>
    <t xml:space="preserve">0.334 - 85.390 </t>
  </si>
  <si>
    <t>0.031 - 24.564</t>
  </si>
  <si>
    <t>9.138E-06 - 1475034.04</t>
  </si>
  <si>
    <r>
      <rPr>
        <sz val="11"/>
        <color rgb="FF000000"/>
        <rFont val="Times New Roman"/>
      </rPr>
      <t>UK Biobank</t>
    </r>
  </si>
  <si>
    <r>
      <rPr>
        <sz val="11"/>
        <color rgb="FF000000"/>
        <rFont val="Times New Roman"/>
      </rPr>
      <t>UK Biobank</t>
    </r>
  </si>
  <si>
    <t>0.424 - 1.227</t>
  </si>
  <si>
    <t>0.534 - 1.942</t>
  </si>
  <si>
    <t>0.006 - 0.603</t>
  </si>
  <si>
    <t>0.189 - 2.753</t>
  </si>
  <si>
    <r>
      <rPr>
        <sz val="11"/>
        <color rgb="FF000000"/>
        <rFont val="Times New Roman"/>
      </rPr>
      <t>UK Biobank</t>
    </r>
  </si>
  <si>
    <r>
      <rPr>
        <sz val="11"/>
        <color rgb="FF000000"/>
        <rFont val="Times New Roman"/>
      </rPr>
      <t>UK Biobank</t>
    </r>
  </si>
  <si>
    <t>0.148 - 4.173</t>
  </si>
  <si>
    <t>1.058E-05 - 1.604</t>
  </si>
  <si>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</si>
  <si>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</si>
  <si>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</si>
  <si>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</si>
  <si>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Calibri"/>
      </rPr>
      <t>UK Biobank</t>
    </r>
  </si>
  <si>
    <r>
      <rPr>
        <sz val="11"/>
        <color rgb="FF000000"/>
        <rFont val="Calibri"/>
      </rPr>
      <t>UK Biobank</t>
    </r>
  </si>
  <si>
    <t>bb</t>
  </si>
  <si>
    <r>
      <rPr>
        <sz val="11"/>
        <color rgb="FF000000"/>
        <rFont val="Times New Roman"/>
      </rPr>
      <t>UK Biobank</t>
    </r>
  </si>
  <si>
    <r>
      <rPr>
        <sz val="11"/>
        <color rgb="FF000000"/>
        <rFont val="Times New Roman"/>
      </rPr>
      <t>UK Biobank</t>
    </r>
  </si>
  <si>
    <t>chronic pancreatitis (CP)</t>
  </si>
  <si>
    <t>0.90-3.68</t>
  </si>
  <si>
    <t>0.86-5.70</t>
  </si>
  <si>
    <t>0.22-733602.71</t>
  </si>
  <si>
    <t>0.465</t>
  </si>
  <si>
    <t>0.168 - 1.287</t>
  </si>
  <si>
    <t>1.040</t>
  </si>
  <si>
    <t>0.284 - 3.805</t>
  </si>
  <si>
    <r>
      <rPr>
        <sz val="11"/>
        <color rgb="FF000000"/>
        <rFont val="Times New Roman"/>
      </rPr>
      <t>UK Biobank</t>
    </r>
  </si>
  <si>
    <r>
      <rPr>
        <sz val="11"/>
        <color rgb="FF000000"/>
        <rFont val="Times New Roman"/>
      </rPr>
      <t>UK Biobank</t>
    </r>
  </si>
  <si>
    <t>9.551</t>
  </si>
  <si>
    <t>0.293 to 311.707</t>
  </si>
  <si>
    <t>0.29-1.89</t>
  </si>
  <si>
    <t>0.35-3.07</t>
  </si>
  <si>
    <t>0.01-87.11</t>
  </si>
  <si>
    <t>Chronic periodontitis</t>
  </si>
  <si>
    <t>finn-b-K11_PERIODON_CHRON</t>
  </si>
  <si>
    <t>0.67 - 3.81</t>
  </si>
  <si>
    <t>0.29</t>
  </si>
  <si>
    <t>0.983-0.997</t>
  </si>
  <si>
    <t>0.977-0.998</t>
  </si>
  <si>
    <t>0.908-1.069</t>
  </si>
  <si>
    <t>ebi-a-GCST012876</t>
  </si>
  <si>
    <t>0.273-0.964</t>
  </si>
  <si>
    <t>0.182-1.236</t>
  </si>
  <si>
    <t>0.897-1.007</t>
  </si>
  <si>
    <t>0.054-5.399</t>
  </si>
  <si>
    <t>0.982-1.008</t>
  </si>
  <si>
    <t>0.939-1.113</t>
  </si>
  <si>
    <t>0.987-0.997</t>
  </si>
  <si>
    <t>0.985-0.998</t>
  </si>
  <si>
    <t>0.966-1.035</t>
  </si>
  <si>
    <t>ebi-a-GCST007090</t>
  </si>
  <si>
    <t>0.84-2.68</t>
  </si>
  <si>
    <t>9.17</t>
  </si>
  <si>
    <t>0.42</t>
  </si>
  <si>
    <t>1.36</t>
  </si>
  <si>
    <t>0.61-3.04</t>
  </si>
  <si>
    <t>0.450</t>
  </si>
  <si>
    <t>0.01-1817.85</t>
  </si>
  <si>
    <t>0.632</t>
  </si>
  <si>
    <t>0.61-1.38</t>
  </si>
  <si>
    <t>0.684</t>
  </si>
  <si>
    <t xml:space="preserve">56.42 </t>
  </si>
  <si>
    <t>0.06</t>
  </si>
  <si>
    <t>0.82</t>
  </si>
  <si>
    <t>0.47-1.43</t>
  </si>
  <si>
    <t>0.484</t>
  </si>
  <si>
    <t>0.18-3.01</t>
  </si>
  <si>
    <t>0.664</t>
  </si>
  <si>
    <t>0.34-1.49</t>
  </si>
  <si>
    <t>0.365</t>
  </si>
  <si>
    <t>19.57</t>
  </si>
  <si>
    <t>0.80</t>
  </si>
  <si>
    <t>0.32-2.02</t>
  </si>
  <si>
    <t>0.00-4.67</t>
  </si>
  <si>
    <t>0.287</t>
  </si>
  <si>
    <t>0.32</t>
  </si>
  <si>
    <t>0.22-0.48</t>
  </si>
  <si>
    <t>0.22-0.66</t>
  </si>
  <si>
    <t>0.001</t>
  </si>
  <si>
    <t>0.05-2.29</t>
  </si>
  <si>
    <t>0.282</t>
  </si>
  <si>
    <t>0.3-0.71</t>
  </si>
  <si>
    <t>53.74</t>
  </si>
  <si>
    <t>.002</t>
  </si>
  <si>
    <t>0.26-0.73</t>
  </si>
  <si>
    <t>0.06-4.04</t>
  </si>
  <si>
    <t xml:space="preserve">Cooked vegetable intake
</t>
  </si>
  <si>
    <t>0.349</t>
  </si>
  <si>
    <t>0.075 - 1.629</t>
  </si>
  <si>
    <t>0.167</t>
  </si>
  <si>
    <t>0.024 - 1.145</t>
  </si>
  <si>
    <t>0.031</t>
  </si>
  <si>
    <t>9.024×10-10 to 1.048×10^6</t>
  </si>
  <si>
    <t xml:space="preserve">Dried fruit intake
</t>
  </si>
  <si>
    <t>0.361</t>
  </si>
  <si>
    <t>0.167 - 0.776</t>
  </si>
  <si>
    <t>0.263</t>
  </si>
  <si>
    <t>0.089 - 0.777</t>
  </si>
  <si>
    <t>0.051</t>
  </si>
  <si>
    <t>0.002 to 1.609</t>
  </si>
  <si>
    <t>0.237</t>
  </si>
  <si>
    <t>0.038 - 1.463</t>
  </si>
  <si>
    <t>0.370</t>
  </si>
  <si>
    <t>0.034 - 4.069</t>
  </si>
  <si>
    <t>12.30</t>
  </si>
  <si>
    <t>0.003 to 5.713×10^4</t>
  </si>
  <si>
    <t>0.373</t>
  </si>
  <si>
    <t>0.100 - 1.393</t>
  </si>
  <si>
    <t>0.234</t>
  </si>
  <si>
    <t>0.054 - 1.016</t>
  </si>
  <si>
    <t>3.841</t>
  </si>
  <si>
    <t>0.789 to 1.870×10^11</t>
  </si>
  <si>
    <t>0.280</t>
  </si>
  <si>
    <t>0.156 - 0.502</t>
  </si>
  <si>
    <t>&lt;.001</t>
  </si>
  <si>
    <t>0.238</t>
  </si>
  <si>
    <t>0.102 - 0.555</t>
  </si>
  <si>
    <t>0.131</t>
  </si>
  <si>
    <t>0.009 to 1.849</t>
  </si>
  <si>
    <t>0.319</t>
  </si>
  <si>
    <t>0.064 - 1.575</t>
  </si>
  <si>
    <t>0.554</t>
  </si>
  <si>
    <t>0.084 - 3.655</t>
  </si>
  <si>
    <t>2.254</t>
  </si>
  <si>
    <t>0.001 to 4374.189</t>
  </si>
  <si>
    <t>urolithiasis</t>
  </si>
  <si>
    <t>N14_UROLITHIASIS</t>
  </si>
  <si>
    <t>0.464</t>
  </si>
  <si>
    <t>0.219-0.983</t>
  </si>
  <si>
    <t>0.045</t>
  </si>
  <si>
    <t>62.77</t>
  </si>
  <si>
    <r>
      <rPr>
        <sz val="11"/>
        <color rgb="FF000000"/>
        <rFont val="Times New Roman"/>
      </rPr>
      <t>UK Biobank</t>
    </r>
  </si>
  <si>
    <r>
      <rPr>
        <sz val="11"/>
        <color rgb="FF000000"/>
        <rFont val="Times New Roman"/>
      </rPr>
      <t>UK Biobank</t>
    </r>
  </si>
  <si>
    <t>0.466</t>
  </si>
  <si>
    <t>0.172-1.264</t>
  </si>
  <si>
    <t>0.151</t>
  </si>
  <si>
    <t>0.005-0.776</t>
  </si>
  <si>
    <t>0.036</t>
  </si>
  <si>
    <t>Vegetable intake</t>
  </si>
  <si>
    <t>finn-b-K11_ULCER</t>
  </si>
  <si>
    <t>0.561 - 5.415</t>
  </si>
  <si>
    <r>
      <rPr>
        <sz val="11"/>
        <color rgb="FF000000"/>
        <rFont val="Times New Roman"/>
      </rPr>
      <t>UK Biobank</t>
    </r>
  </si>
  <si>
    <t>0.231 - 5.512</t>
  </si>
  <si>
    <r>
      <rPr>
        <sz val="11"/>
        <color rgb="FF000000"/>
        <rFont val="Times New Roman"/>
      </rPr>
      <t>UK Biobank</t>
    </r>
  </si>
  <si>
    <t>0.000 - 4.953</t>
  </si>
  <si>
    <t>0.261 - 0.915</t>
  </si>
  <si>
    <t>0.294 - 1.829</t>
  </si>
  <si>
    <t>0.013 - 7.353</t>
  </si>
  <si>
    <t>0.465 - 2.054</t>
  </si>
  <si>
    <t>0.250 - 2.345</t>
  </si>
  <si>
    <t>0.015 - 2.406</t>
  </si>
  <si>
    <t>Cutaneous melanoma</t>
  </si>
  <si>
    <t>Ukb-b-3881</t>
  </si>
  <si>
    <t>Ieu-b-4969</t>
  </si>
  <si>
    <t>UKB</t>
  </si>
  <si>
    <t>0.996-1.012</t>
  </si>
  <si>
    <t>0.71 - 1.44</t>
  </si>
  <si>
    <t>0.59,1.5</t>
  </si>
  <si>
    <t>0,7.67</t>
  </si>
  <si>
    <t>0.37–0.70</t>
  </si>
  <si>
    <t>0.32,0.66</t>
  </si>
  <si>
    <t xml:space="preserve">	2.36E-05</t>
  </si>
  <si>
    <t>0.04,0.58</t>
  </si>
  <si>
    <t>breast</t>
  </si>
  <si>
    <t>(1.28, 2.75)</t>
  </si>
  <si>
    <t>(0.95, 2.55)</t>
  </si>
  <si>
    <t>(0.01, 64.25)</t>
  </si>
  <si>
    <t>(0.60, 1.18)</t>
  </si>
  <si>
    <t>(0.57, 1.42)</t>
  </si>
  <si>
    <t>(0.42, 13.44)</t>
  </si>
  <si>
    <t>(0.56, 1.11)</t>
  </si>
  <si>
    <t>(0.60, 1.27)</t>
  </si>
  <si>
    <t>(0.46, 5.88)</t>
  </si>
  <si>
    <t>(0.27, 0.50)</t>
  </si>
  <si>
    <t>(0.30, 0.61)</t>
  </si>
  <si>
    <t>(0.02, 0.86)</t>
  </si>
  <si>
    <t>Fruits intake</t>
  </si>
  <si>
    <t>Diabetes Mellitus UKB Cohort</t>
  </si>
  <si>
    <t>https://journals.plos.org/plosgenetics/article?id=10.1371/journal.pgen.1010162</t>
  </si>
  <si>
    <t xml:space="preserve">
NA</t>
  </si>
  <si>
    <t>(0.90 - 0.94)</t>
  </si>
  <si>
    <t>&lt;0.001*</t>
  </si>
  <si>
    <t>Endocrine and metabolic diseases</t>
  </si>
  <si>
    <t>(0.95 - 1.01)</t>
  </si>
  <si>
    <t>Diabetes Mellitus FinnGen cohort</t>
  </si>
  <si>
    <t>(0.15 - 0.53)</t>
  </si>
  <si>
    <t>(0.63 - 2.42)</t>
  </si>
  <si>
    <t>0. 461</t>
  </si>
  <si>
    <t>0,4615872 -	3,545593</t>
  </si>
  <si>
    <t>25. 89323</t>
  </si>
  <si>
    <t>0. 0555492</t>
  </si>
  <si>
    <t>0,6268397	- 7,003529</t>
  </si>
  <si>
    <t>4,26312E-06 -	41508,15716</t>
  </si>
  <si>
    <t>0,4663084	- 2,182224</t>
  </si>
  <si>
    <t>1,02E-05</t>
  </si>
  <si>
    <t>0,3325872 -        1,938989</t>
  </si>
  <si>
    <t>0,1794807        - 36,08822</t>
  </si>
  <si>
    <t>0,4534835	- 5,3665197</t>
  </si>
  <si>
    <t>0,5534476	- 9,8291343</t>
  </si>
  <si>
    <t>2,76922E-05	- 0,7464006</t>
  </si>
  <si>
    <t>0,286251678	- 0,9922805</t>
  </si>
  <si>
    <t>0,298253605 -	1,2240821</t>
  </si>
  <si>
    <t>0,002629615 -	0,561274</t>
  </si>
  <si>
    <t>1.85</t>
  </si>
  <si>
    <t>0.02 - 174.51</t>
  </si>
  <si>
    <t>19.22</t>
  </si>
  <si>
    <t>0.23 - 1627.95</t>
  </si>
  <si>
    <t>0.19</t>
  </si>
  <si>
    <t>Endometrial cancer</t>
  </si>
  <si>
    <t>ebi-a-GCST006464</t>
  </si>
  <si>
    <t>0.41</t>
  </si>
  <si>
    <t>0.03 - 5.93</t>
  </si>
  <si>
    <t>0.51</t>
  </si>
  <si>
    <t>0.6613-2.05</t>
  </si>
  <si>
    <t>0.4586-2.2658</t>
  </si>
  <si>
    <t>0.11 - 1.50</t>
  </si>
  <si>
    <t>0.17</t>
  </si>
  <si>
    <t>0.11 - 5.84</t>
  </si>
  <si>
    <t>0.84</t>
  </si>
  <si>
    <t>0.30 - 1.33</t>
  </si>
  <si>
    <t>0.22</t>
  </si>
  <si>
    <t>0.00 - 918.82</t>
  </si>
  <si>
    <t>0.00 - 980.61</t>
  </si>
  <si>
    <t>0.00 - 0.42</t>
  </si>
  <si>
    <t>0.04 - 5.61</t>
  </si>
  <si>
    <t>Female infertility</t>
  </si>
  <si>
    <t>finn- b-N14_FEMALEINFERT</t>
  </si>
  <si>
    <t>0.10 - 26.13</t>
  </si>
  <si>
    <t>0.4842–1.8744</t>
  </si>
  <si>
    <t>0.8884</t>
  </si>
  <si>
    <t>0.2871–1.8454</t>
  </si>
  <si>
    <t>0.0626–6.6559</t>
  </si>
  <si>
    <t>0.18 - 2.94</t>
  </si>
  <si>
    <t>Parkinson’s disease</t>
  </si>
  <si>
    <t>ieu-b-7</t>
  </si>
  <si>
    <t>International Parkinson's Disease Genomics Consortium</t>
  </si>
  <si>
    <t>2,019</t>
  </si>
  <si>
    <t>(1,052-3,875)</t>
  </si>
  <si>
    <t>0.035</t>
  </si>
  <si>
    <t>0.019</t>
  </si>
  <si>
    <t>1,371</t>
  </si>
  <si>
    <t>(0,606-3,106)</t>
  </si>
  <si>
    <t>0,449</t>
  </si>
  <si>
    <t>0.923</t>
  </si>
  <si>
    <t>(0,048-17,782)</t>
  </si>
  <si>
    <t>0,958</t>
  </si>
  <si>
    <t>1,025</t>
  </si>
  <si>
    <t>(0,526-1,997)</t>
  </si>
  <si>
    <t xml:space="preserve">0,943 </t>
  </si>
  <si>
    <t>0.246</t>
  </si>
  <si>
    <t>0,674</t>
  </si>
  <si>
    <t>(0,255-1,781)</t>
  </si>
  <si>
    <t>0,426</t>
  </si>
  <si>
    <t>1,46</t>
  </si>
  <si>
    <t>(0,145-14,644)</t>
  </si>
  <si>
    <t>0,749</t>
  </si>
  <si>
    <t>0.271-1.667</t>
  </si>
  <si>
    <t>0.217-2.788</t>
  </si>
  <si>
    <t>0.000-1635.243</t>
  </si>
  <si>
    <t>0.127-1.227</t>
  </si>
  <si>
    <t>0.168-2.724</t>
  </si>
  <si>
    <t>0.013-1388.484</t>
  </si>
  <si>
    <t>0.311-0.875</t>
  </si>
  <si>
    <t>0.262-1.113</t>
  </si>
  <si>
    <t>0.088-10.052</t>
  </si>
  <si>
    <t>Male infertility</t>
  </si>
  <si>
    <t>finn- b-N14_MALEINFERT</t>
  </si>
  <si>
    <t>2.9011–1030.5500</t>
  </si>
  <si>
    <t>0.0076</t>
  </si>
  <si>
    <t>4.3359e-01–8.9093e+02</t>
  </si>
  <si>
    <t>2.8819e-19–4.7086e+09</t>
  </si>
  <si>
    <t>0.0713–1.5293</t>
  </si>
  <si>
    <t>0.1565</t>
  </si>
  <si>
    <t>0.0228–1.8185</t>
  </si>
  <si>
    <t>0.0002–244.3569</t>
  </si>
  <si>
    <t>2.8242e-01–11.2832</t>
  </si>
  <si>
    <t>0.5378</t>
  </si>
  <si>
    <t>1.4207e-01–32.0928</t>
  </si>
  <si>
    <t>3.0119e-03–1031.1969</t>
  </si>
  <si>
    <t>2.0480e-02–9.2391</t>
  </si>
  <si>
    <t>0.5934</t>
  </si>
  <si>
    <t>4.1913e-03–24.0910</t>
  </si>
  <si>
    <t>1.2831e-09–5405.5296</t>
  </si>
  <si>
    <t>3.7006e-01–2.4586</t>
  </si>
  <si>
    <t>0.9221</t>
  </si>
  <si>
    <t>1.5626e-01–2.1549</t>
  </si>
  <si>
    <t>6.4177e-08–70.4846</t>
  </si>
  <si>
    <t>0.3911–1.2516</t>
  </si>
  <si>
    <t>0.2287</t>
  </si>
  <si>
    <t>0.3898–1.8123</t>
  </si>
  <si>
    <t>0.2475–44.3537</t>
  </si>
  <si>
    <t>1 sample</t>
  </si>
  <si>
    <t>fruit consumption</t>
  </si>
  <si>
    <t>Crohn’s disease (CD)</t>
  </si>
  <si>
    <t>Binary (high-low)</t>
  </si>
  <si>
    <t>0.75-0.91</t>
  </si>
  <si>
    <t>0.3338–2.6718</t>
  </si>
  <si>
    <t>0.9141</t>
  </si>
  <si>
    <t>0.3630–6.0502</t>
  </si>
  <si>
    <t>0.0099–202.6562</t>
  </si>
  <si>
    <t xml:space="preserve"> type 2 diabetes</t>
  </si>
  <si>
    <t>ebi-a-GCST006867</t>
  </si>
  <si>
    <t xml:space="preserve">IEU GWAS </t>
  </si>
  <si>
    <t>0.241-0.636</t>
  </si>
  <si>
    <t xml:space="preserve">7.840342e − 16 </t>
  </si>
  <si>
    <t>0.306-0.717</t>
  </si>
  <si>
    <t xml:space="preserve">	
0.481</t>
  </si>
  <si>
    <t xml:space="preserve"> 0.048-4.852</t>
  </si>
  <si>
    <t>Salad/raw vegetable intakeukb-b-1996</t>
  </si>
  <si>
    <t xml:space="preserve"> 0.8085–2.6779</t>
  </si>
  <si>
    <t xml:space="preserve"> 0.5395–2.8489</t>
  </si>
  <si>
    <t>(0.0218–9.6890)</t>
  </si>
  <si>
    <t>0.3811–2.4243</t>
  </si>
  <si>
    <t xml:space="preserve"> 0.2366–1.5213</t>
  </si>
  <si>
    <t>0.0003–221802.5666</t>
  </si>
  <si>
    <t>0.6056–1.4542</t>
  </si>
  <si>
    <t xml:space="preserve"> 0.7697–2.1715</t>
  </si>
  <si>
    <t>0.5112–27.9437</t>
  </si>
  <si>
    <t>Vegetables consumption (excluding legumes)</t>
  </si>
  <si>
    <t>Rheumatoid arthritis (RA)</t>
  </si>
  <si>
    <t>0.92-1.17</t>
  </si>
  <si>
    <t>&gt;0.05</t>
  </si>
  <si>
    <t>psoriatic arthritis (PsA)</t>
  </si>
  <si>
    <t>0.76-1.11</t>
  </si>
  <si>
    <t>psoriasis (PS)</t>
  </si>
  <si>
    <t>0.84-1.03</t>
  </si>
  <si>
    <t>systemic lupus erythematosus (SLE)</t>
  </si>
  <si>
    <t>0.92-1.11</t>
  </si>
  <si>
    <t>0.65-0.8</t>
  </si>
  <si>
    <t>&lt;0.0001</t>
  </si>
  <si>
    <t>ulcerative colitis (UC)</t>
  </si>
  <si>
    <t>0.89-1.09</t>
  </si>
  <si>
    <t>0.96-1.2</t>
  </si>
  <si>
    <t>0.82-1.16</t>
  </si>
  <si>
    <t>0.82-0.98</t>
  </si>
  <si>
    <t>&lt;0.05</t>
  </si>
  <si>
    <t>0.94-1.13</t>
  </si>
  <si>
    <t>0.99-1.22</t>
  </si>
  <si>
    <t>Oral cavity/pharyngeal cancer</t>
  </si>
  <si>
    <t>ieu-b-90</t>
  </si>
  <si>
    <t>0.0433-0.6922</t>
  </si>
  <si>
    <t>0.0379-1.8616</t>
  </si>
  <si>
    <t>ieu-a-966</t>
  </si>
  <si>
    <t>0.1695-0.6420</t>
  </si>
  <si>
    <t>0.1585-0.8160</t>
  </si>
  <si>
    <t>Squamous cell lung cancer</t>
  </si>
  <si>
    <t>ieu-a-967</t>
  </si>
  <si>
    <t>0.0884–0.5986</t>
  </si>
  <si>
    <t>0.0550-0.5848</t>
  </si>
  <si>
    <t>Inguinal hernal</t>
  </si>
  <si>
    <t>finn-b-K11_HERING</t>
  </si>
  <si>
    <t>finngen</t>
  </si>
  <si>
    <t>0.422-1.028</t>
  </si>
  <si>
    <t>0.427-1.604</t>
  </si>
  <si>
    <t>0.0580-1.180</t>
  </si>
  <si>
    <t>0.3261–0.6753</t>
  </si>
  <si>
    <t>4.62 × 10^–5</t>
  </si>
  <si>
    <t>0.2247-0.5512</t>
  </si>
  <si>
    <t>5.04*10^-6</t>
  </si>
  <si>
    <t>Ovarian cancer</t>
  </si>
  <si>
    <t>ieu-a-1120</t>
  </si>
  <si>
    <t>0.3960–0.9177</t>
  </si>
  <si>
    <t>0.4363-1.3153</t>
  </si>
  <si>
    <t>Pancreatic cancer</t>
  </si>
  <si>
    <t>ieu-a-822</t>
  </si>
  <si>
    <t>0.0011–0.6784</t>
  </si>
  <si>
    <t>0.0002-0.9969</t>
  </si>
  <si>
    <r>
      <rPr>
        <sz val="11"/>
        <color rgb="FF000000"/>
        <rFont val="Calibri"/>
      </rPr>
      <t>ieu-b-4876</t>
    </r>
  </si>
  <si>
    <t>0.9897–0.9998</t>
  </si>
  <si>
    <t>0.1731-1.7297</t>
  </si>
  <si>
    <t>ieu-a-965</t>
  </si>
  <si>
    <t>0.2976-1.6831</t>
  </si>
  <si>
    <t>0.6510-2.5385</t>
  </si>
  <si>
    <t>0.5679-1.6180</t>
  </si>
  <si>
    <t>3.32*10^-5, 699.9797</t>
  </si>
  <si>
    <t>Thyroid cancer</t>
  </si>
  <si>
    <t>ieu-a-1082</t>
  </si>
  <si>
    <t>0.0001-195.8003</t>
  </si>
  <si>
    <t>0.9383-1.9048</t>
  </si>
  <si>
    <t>Prostate cancer</t>
  </si>
  <si>
    <t>ebi-a-GCST006085</t>
  </si>
  <si>
    <t>0.7498-1.7406</t>
  </si>
  <si>
    <t>5.57*10*E-12</t>
  </si>
  <si>
    <t>0.9956-1.0050</t>
  </si>
  <si>
    <t>0.9953-1.0073</t>
  </si>
  <si>
    <t>0.9972-1.0035</t>
  </si>
  <si>
    <t>0.9961-1.0045</t>
  </si>
  <si>
    <t>ieu-b-4962</t>
  </si>
  <si>
    <t>Replication sample</t>
  </si>
  <si>
    <t>0.9951-1.0016</t>
  </si>
  <si>
    <t>0.9947-1.0044</t>
  </si>
  <si>
    <t>Keratinocyte skin cancer</t>
  </si>
  <si>
    <t>Ieu-b-4959</t>
  </si>
  <si>
    <t>0.977-1.026</t>
  </si>
  <si>
    <t>0.0847-0.6323</t>
  </si>
  <si>
    <t>0.0748-1.3657</t>
  </si>
  <si>
    <t>0.0082-0.5773</t>
  </si>
  <si>
    <t>0.0029-1.152</t>
  </si>
  <si>
    <t>0.3307-0.9067</t>
  </si>
  <si>
    <t>0.3221-1.3011</t>
  </si>
  <si>
    <t>0.1327-4.9790</t>
  </si>
  <si>
    <t>0.236-2.9751</t>
  </si>
  <si>
    <t>0.4851-7.5655</t>
  </si>
  <si>
    <t>0.2336-12.3168</t>
  </si>
  <si>
    <t>0.026-16.2665</t>
  </si>
  <si>
    <t>0.0059-61.48813</t>
  </si>
  <si>
    <t>0.0999-3.0602</t>
  </si>
  <si>
    <t>0.0866-7.6296</t>
  </si>
  <si>
    <t>ukb-b-13545</t>
  </si>
  <si>
    <t>0.9951-1.0037</t>
  </si>
  <si>
    <t>0.9931-1.0055</t>
  </si>
  <si>
    <t>0.1274-1.8348</t>
  </si>
  <si>
    <t>0.0732-3.0965</t>
  </si>
  <si>
    <t>0.6443-2.0656</t>
  </si>
  <si>
    <t>0.4737-2.2431</t>
  </si>
  <si>
    <t>0.1475-2.0055</t>
  </si>
  <si>
    <t>0.2166-1.5830</t>
  </si>
  <si>
    <t>0.067-17.419</t>
  </si>
  <si>
    <t>0.1002-4.3881</t>
  </si>
  <si>
    <t>0.9821-12.425</t>
  </si>
  <si>
    <t>2.63E×10-21</t>
  </si>
  <si>
    <t>0.6435-4.1755</t>
  </si>
  <si>
    <t>0.4622-1.939</t>
  </si>
  <si>
    <t>0.5327-3.2192</t>
  </si>
  <si>
    <t>0.1563-1.5221</t>
  </si>
  <si>
    <t>0.2392-3.8943</t>
  </si>
  <si>
    <t>0.3534-1.09</t>
  </si>
  <si>
    <t>0.3215-1.3091</t>
  </si>
  <si>
    <t>0.0002-1.4808</t>
  </si>
  <si>
    <t>0.0002-8.3871</t>
  </si>
  <si>
    <r>
      <rPr>
        <sz val="11"/>
        <color rgb="FF000000"/>
        <rFont val="Calibri"/>
      </rPr>
      <t>ieu-b-4876</t>
    </r>
  </si>
  <si>
    <t>0.4964-3.4904</t>
  </si>
  <si>
    <t>0.392-6.7997</t>
  </si>
  <si>
    <t>0.0005-340.6397</t>
  </si>
  <si>
    <t>0.000001-140.9718</t>
  </si>
  <si>
    <t>0.8887-1.8958</t>
  </si>
  <si>
    <t>1.90E×10-5</t>
  </si>
  <si>
    <t>0.9041-2.1035</t>
  </si>
  <si>
    <t>Angina pectoris</t>
  </si>
  <si>
    <t>ukb-a-532</t>
  </si>
  <si>
    <r>
      <rPr>
        <sz val="11"/>
        <color rgb="FF000000"/>
        <rFont val="Calibri"/>
      </rPr>
      <t>UK Biobank</t>
    </r>
  </si>
  <si>
    <r>
      <rPr>
        <sz val="11"/>
        <color rgb="FF000000"/>
        <rFont val="Calibri"/>
      </rPr>
      <t>UK Biobank</t>
    </r>
  </si>
  <si>
    <t>0.98~1.02</t>
  </si>
  <si>
    <t>0.99~1.04</t>
  </si>
  <si>
    <t>0.98~1.19</t>
  </si>
  <si>
    <t>Acute myocardial infarction</t>
  </si>
  <si>
    <t>ukb-a-533</t>
  </si>
  <si>
    <r>
      <rPr>
        <sz val="11"/>
        <color rgb="FF000000"/>
        <rFont val="Calibri"/>
      </rPr>
      <t>UK Biobank</t>
    </r>
  </si>
  <si>
    <r>
      <rPr>
        <sz val="11"/>
        <color rgb="FF000000"/>
        <rFont val="Calibri"/>
      </rPr>
      <t>UK Biobank</t>
    </r>
  </si>
  <si>
    <t>0.98~1.01</t>
  </si>
  <si>
    <t>0.96~1.00</t>
  </si>
  <si>
    <t>0.97~1.13</t>
  </si>
  <si>
    <t>Chronic ischaemic heart disease</t>
  </si>
  <si>
    <t>ukb-a-534</t>
  </si>
  <si>
    <r>
      <rPr>
        <sz val="11"/>
        <color rgb="FF000000"/>
        <rFont val="Calibri"/>
      </rPr>
      <t>UK Biobank</t>
    </r>
  </si>
  <si>
    <r>
      <rPr>
        <sz val="11"/>
        <color rgb="FF000000"/>
        <rFont val="Calibri"/>
      </rPr>
      <t>UK Biobank</t>
    </r>
  </si>
  <si>
    <t>0.97~1.03</t>
  </si>
  <si>
    <t>0.96~1.02</t>
  </si>
  <si>
    <t>1.04~1.33</t>
  </si>
  <si>
    <t>Cerebral infarction</t>
  </si>
  <si>
    <t>ukb-d-I63</t>
  </si>
  <si>
    <r>
      <rPr>
        <sz val="11"/>
        <color rgb="FF000000"/>
        <rFont val="Calibri"/>
      </rPr>
      <t>UK Biobank</t>
    </r>
  </si>
  <si>
    <r>
      <rPr>
        <sz val="11"/>
        <color rgb="FF000000"/>
        <rFont val="Calibri"/>
      </rPr>
      <t>UK Biobank</t>
    </r>
  </si>
  <si>
    <t>0.99~1.02</t>
  </si>
  <si>
    <t>0.90~1.03</t>
  </si>
  <si>
    <t>Unstable angina</t>
  </si>
  <si>
    <t>ukb-b-12047</t>
  </si>
  <si>
    <r>
      <rPr>
        <sz val="11"/>
        <color rgb="FF000000"/>
        <rFont val="Calibri"/>
      </rPr>
      <t>UK Biobank</t>
    </r>
  </si>
  <si>
    <r>
      <rPr>
        <sz val="11"/>
        <color rgb="FF000000"/>
        <rFont val="Calibri"/>
      </rPr>
      <t>UK Biobank</t>
    </r>
  </si>
  <si>
    <t>0.97~1.00</t>
  </si>
  <si>
    <t>0.90~1.09</t>
  </si>
  <si>
    <t>Atherosclerotic heart disease</t>
  </si>
  <si>
    <t>ukb-b-1668</t>
  </si>
  <si>
    <r>
      <rPr>
        <sz val="11"/>
        <color rgb="FF000000"/>
        <rFont val="Calibri"/>
      </rPr>
      <t>UK Biobank</t>
    </r>
  </si>
  <si>
    <r>
      <rPr>
        <sz val="11"/>
        <color rgb="FF000000"/>
        <rFont val="Calibri"/>
      </rPr>
      <t>UK Biobank</t>
    </r>
  </si>
  <si>
    <t>0.97~1.02</t>
  </si>
  <si>
    <t>0.96~1.01</t>
  </si>
  <si>
    <t>1.00~1.25</t>
  </si>
  <si>
    <r>
      <rPr>
        <sz val="11"/>
        <color rgb="FF000000"/>
        <rFont val="Calibri"/>
      </rPr>
      <t>UK Biobank</t>
    </r>
  </si>
  <si>
    <r>
      <rPr>
        <sz val="11"/>
        <color rgb="FF000000"/>
        <rFont val="Calibri"/>
      </rPr>
      <t>UK Biobank</t>
    </r>
  </si>
  <si>
    <t>0.99~1.03</t>
  </si>
  <si>
    <t>0.92~1.30</t>
  </si>
  <si>
    <r>
      <rPr>
        <sz val="11"/>
        <color rgb="FF000000"/>
        <rFont val="Calibri"/>
      </rPr>
      <t>UK Biobank</t>
    </r>
  </si>
  <si>
    <r>
      <rPr>
        <sz val="11"/>
        <color rgb="FF000000"/>
        <rFont val="Calibri"/>
      </rPr>
      <t>UK Biobank</t>
    </r>
  </si>
  <si>
    <t>0.91~1.38</t>
  </si>
  <si>
    <r>
      <rPr>
        <sz val="11"/>
        <color rgb="FF000000"/>
        <rFont val="Calibri"/>
      </rPr>
      <t>UK Biobank</t>
    </r>
  </si>
  <si>
    <r>
      <rPr>
        <sz val="11"/>
        <color rgb="FF000000"/>
        <rFont val="Calibri"/>
      </rPr>
      <t>UK Biobank</t>
    </r>
  </si>
  <si>
    <t>0.91~1.60</t>
  </si>
  <si>
    <r>
      <rPr>
        <sz val="11"/>
        <color rgb="FF000000"/>
        <rFont val="Calibri"/>
      </rPr>
      <t>UK Biobank</t>
    </r>
  </si>
  <si>
    <r>
      <rPr>
        <sz val="11"/>
        <color rgb="FF000000"/>
        <rFont val="Calibri"/>
      </rPr>
      <t>UK Biobank</t>
    </r>
  </si>
  <si>
    <t>0.99~1.01</t>
  </si>
  <si>
    <t>0.85~1.05</t>
  </si>
  <si>
    <r>
      <rPr>
        <sz val="11"/>
        <color rgb="FF000000"/>
        <rFont val="Calibri"/>
      </rPr>
      <t>UK Biobank</t>
    </r>
  </si>
  <si>
    <r>
      <rPr>
        <sz val="11"/>
        <color rgb="FF000000"/>
        <rFont val="Calibri"/>
      </rPr>
      <t>UK Biobank</t>
    </r>
  </si>
  <si>
    <t>0.93~1.14</t>
  </si>
  <si>
    <r>
      <rPr>
        <sz val="11"/>
        <color rgb="FF000000"/>
        <rFont val="Calibri"/>
      </rPr>
      <t>UK Biobank</t>
    </r>
  </si>
  <si>
    <r>
      <rPr>
        <sz val="11"/>
        <color rgb="FF000000"/>
        <rFont val="Calibri"/>
      </rPr>
      <t>UK Biobank</t>
    </r>
  </si>
  <si>
    <t>0.98~1.03</t>
  </si>
  <si>
    <t>0.86~1.39</t>
  </si>
  <si>
    <t>Coronary heart disease</t>
  </si>
  <si>
    <r>
      <rPr>
        <sz val="11"/>
        <color rgb="FF000000"/>
        <rFont val="Calibri"/>
      </rPr>
      <t>UK Biobank</t>
    </r>
  </si>
  <si>
    <r>
      <rPr>
        <sz val="11"/>
        <color rgb="FF000000"/>
        <rFont val="Calibri"/>
      </rPr>
      <t>UK Biobank</t>
    </r>
  </si>
  <si>
    <t>0.68-1.74</t>
  </si>
  <si>
    <t>Stroke</t>
  </si>
  <si>
    <r>
      <rPr>
        <sz val="11"/>
        <color rgb="FF000000"/>
        <rFont val="Calibri"/>
      </rPr>
      <t>UK Biobank</t>
    </r>
  </si>
  <si>
    <r>
      <rPr>
        <sz val="11"/>
        <color rgb="FF000000"/>
        <rFont val="Calibri"/>
      </rPr>
      <t>UK Biobank</t>
    </r>
  </si>
  <si>
    <t>0.24-1.43</t>
  </si>
  <si>
    <t>Ischaemic stroke</t>
  </si>
  <si>
    <r>
      <rPr>
        <sz val="11"/>
        <color rgb="FF000000"/>
        <rFont val="Calibri"/>
      </rPr>
      <t>UK Biobank</t>
    </r>
  </si>
  <si>
    <r>
      <rPr>
        <sz val="11"/>
        <color rgb="FF000000"/>
        <rFont val="Calibri"/>
      </rPr>
      <t>UK Biobank</t>
    </r>
  </si>
  <si>
    <t>0.25-1.91</t>
  </si>
  <si>
    <t>Heart failure</t>
  </si>
  <si>
    <r>
      <rPr>
        <sz val="11"/>
        <color rgb="FF000000"/>
        <rFont val="Calibri"/>
      </rPr>
      <t>UK Biobank</t>
    </r>
  </si>
  <si>
    <r>
      <rPr>
        <sz val="11"/>
        <color rgb="FF000000"/>
        <rFont val="Calibri"/>
      </rPr>
      <t>UK Biobank</t>
    </r>
  </si>
  <si>
    <t>0.34-1.75</t>
  </si>
  <si>
    <t>Atrial fibrillation</t>
  </si>
  <si>
    <r>
      <rPr>
        <sz val="11"/>
        <color rgb="FF000000"/>
        <rFont val="Calibri"/>
      </rPr>
      <t>UK Biobank</t>
    </r>
  </si>
  <si>
    <r>
      <rPr>
        <sz val="11"/>
        <color rgb="FF000000"/>
        <rFont val="Calibri"/>
      </rPr>
      <t>UK Biobank</t>
    </r>
  </si>
  <si>
    <t>0.42-1.33</t>
  </si>
  <si>
    <r>
      <rPr>
        <sz val="11"/>
        <color rgb="FF000000"/>
        <rFont val="Calibri"/>
      </rPr>
      <t>UK Biobank</t>
    </r>
  </si>
  <si>
    <r>
      <rPr>
        <sz val="11"/>
        <color rgb="FF000000"/>
        <rFont val="Calibri"/>
      </rPr>
      <t>UK Biobank</t>
    </r>
  </si>
  <si>
    <t>0.71-1.06</t>
  </si>
  <si>
    <r>
      <rPr>
        <sz val="11"/>
        <color rgb="FF000000"/>
        <rFont val="Calibri"/>
      </rPr>
      <t>UK Biobank</t>
    </r>
  </si>
  <si>
    <r>
      <rPr>
        <sz val="11"/>
        <color rgb="FF000000"/>
        <rFont val="Calibri"/>
      </rPr>
      <t>UK Biobank</t>
    </r>
  </si>
  <si>
    <t>0.64-1.32</t>
  </si>
  <si>
    <r>
      <rPr>
        <sz val="11"/>
        <color rgb="FF000000"/>
        <rFont val="Calibri"/>
      </rPr>
      <t>UK Biobank</t>
    </r>
  </si>
  <si>
    <r>
      <rPr>
        <sz val="11"/>
        <color rgb="FF000000"/>
        <rFont val="Calibri"/>
      </rPr>
      <t>UK Biobank</t>
    </r>
  </si>
  <si>
    <t>0.58-1.31</t>
  </si>
  <si>
    <t>0,4663084        - 2,182224</t>
  </si>
  <si>
    <r>
      <rPr>
        <sz val="11"/>
        <color rgb="FF000000"/>
        <rFont val="Calibri"/>
      </rPr>
      <t>UK Biobank</t>
    </r>
  </si>
  <si>
    <r>
      <rPr>
        <sz val="11"/>
        <color rgb="FF000000"/>
        <rFont val="Calibri"/>
      </rPr>
      <t>UK Biobank</t>
    </r>
  </si>
  <si>
    <t>0.60-1.15</t>
  </si>
  <si>
    <t>2,76922E-05        - 0,7464006</t>
  </si>
  <si>
    <r>
      <rPr>
        <sz val="11"/>
        <color rgb="FF000000"/>
        <rFont val="Calibri"/>
      </rPr>
      <t>UK Biobank</t>
    </r>
  </si>
  <si>
    <r>
      <rPr>
        <sz val="11"/>
        <color rgb="FF000000"/>
        <rFont val="Calibri"/>
      </rPr>
      <t>UK Biobank</t>
    </r>
  </si>
  <si>
    <t>0.66-1.03</t>
  </si>
  <si>
    <r>
      <rPr>
        <sz val="11"/>
        <color rgb="FF000000"/>
        <rFont val="Calibri"/>
      </rPr>
      <t>UK Biobank</t>
    </r>
  </si>
  <si>
    <t>0.69-1.68</t>
  </si>
  <si>
    <t>0.55 - 1.66</t>
  </si>
  <si>
    <t>0.09- 3.40</t>
  </si>
  <si>
    <r>
      <rPr>
        <sz val="11"/>
        <color rgb="FF000000"/>
        <rFont val="Calibri"/>
      </rPr>
      <t>ieu-b-4876</t>
    </r>
  </si>
  <si>
    <r>
      <rPr>
        <sz val="11"/>
        <color rgb="FF000000"/>
        <rFont val="Calibri"/>
      </rPr>
      <t>UK Biobank</t>
    </r>
  </si>
  <si>
    <t>0.62-1.73</t>
  </si>
  <si>
    <t>0.47- 1.54</t>
  </si>
  <si>
    <t>0.66, 32.77</t>
  </si>
  <si>
    <r>
      <rPr>
        <sz val="11"/>
        <color rgb="FF000000"/>
        <rFont val="Calibri"/>
      </rPr>
      <t>UK Biobank</t>
    </r>
  </si>
  <si>
    <t>0.51- 1.53</t>
  </si>
  <si>
    <t>0.45- 1.63</t>
  </si>
  <si>
    <t>0.81-44.05</t>
  </si>
  <si>
    <r>
      <rPr>
        <sz val="11"/>
        <color rgb="FF000000"/>
        <rFont val="Calibri"/>
      </rPr>
      <t>UK Biobank</t>
    </r>
  </si>
  <si>
    <t>0.75- 1.48</t>
  </si>
  <si>
    <t>0.75- 1.83</t>
  </si>
  <si>
    <t>0.98- 12.89</t>
  </si>
  <si>
    <r>
      <rPr>
        <sz val="11"/>
        <color rgb="FF000000"/>
        <rFont val="Calibri"/>
      </rPr>
      <t>UK Biobank</t>
    </r>
  </si>
  <si>
    <t>0.61- 2.47</t>
  </si>
  <si>
    <t>0.51- 1.90</t>
  </si>
  <si>
    <t>0.28- 75.65</t>
  </si>
  <si>
    <r>
      <rPr>
        <sz val="11"/>
        <color rgb="FF000000"/>
        <rFont val="Calibri"/>
      </rPr>
      <t>UK Biobank</t>
    </r>
  </si>
  <si>
    <t>0.83 - 1.35</t>
  </si>
  <si>
    <t>0.78, 1.57</t>
  </si>
  <si>
    <t>0.14 - 4.36</t>
  </si>
  <si>
    <r>
      <rPr>
        <sz val="11"/>
        <color rgb="FF000000"/>
        <rFont val="Calibri"/>
      </rPr>
      <t>UK Biobank</t>
    </r>
  </si>
  <si>
    <t>0.65-1.12</t>
  </si>
  <si>
    <t>0.55-1.14</t>
  </si>
  <si>
    <t>0.13- 6.17</t>
  </si>
  <si>
    <r>
      <rPr>
        <sz val="11"/>
        <color rgb="FF000000"/>
        <rFont val="Calibri"/>
      </rPr>
      <t>UK Biobank</t>
    </r>
  </si>
  <si>
    <t>0.62- 1.08</t>
  </si>
  <si>
    <t>0.57- 1.24</t>
  </si>
  <si>
    <t>0.13- 6.32</t>
  </si>
  <si>
    <r>
      <rPr>
        <sz val="11"/>
        <color rgb="FF000000"/>
        <rFont val="Calibri"/>
      </rPr>
      <t>UK Biobank</t>
    </r>
  </si>
  <si>
    <t>0.93- 1.40</t>
  </si>
  <si>
    <t>0.94- 1.68</t>
  </si>
  <si>
    <t>0.19- 3.34</t>
  </si>
  <si>
    <r>
      <rPr>
        <sz val="11"/>
        <color rgb="FF000000"/>
        <rFont val="Calibri"/>
      </rPr>
      <t>UK Biobank</t>
    </r>
  </si>
  <si>
    <t>0.61- 1.37</t>
  </si>
  <si>
    <t>0.64- 1.50</t>
  </si>
  <si>
    <t>0.00- 0.45</t>
  </si>
  <si>
    <r>
      <rPr>
        <sz val="11"/>
        <color rgb="FF000000"/>
        <rFont val="Calibri"/>
      </rPr>
      <t>UK Biobank</t>
    </r>
  </si>
  <si>
    <t>CARDIoGRAMplusC4D</t>
  </si>
  <si>
    <t>0.80 - 1.48</t>
  </si>
  <si>
    <t>0.95 - 2.08</t>
  </si>
  <si>
    <t>0.23 - 2.84</t>
  </si>
  <si>
    <r>
      <rPr>
        <sz val="11"/>
        <color rgb="FF000000"/>
        <rFont val="Calibri"/>
      </rPr>
      <t>UK Biobank</t>
    </r>
  </si>
  <si>
    <t>MEGASTROKE</t>
  </si>
  <si>
    <t>0.74- 1.34</t>
  </si>
  <si>
    <t>0.50- 1.07</t>
  </si>
  <si>
    <t>0.19- 2.12</t>
  </si>
  <si>
    <r>
      <rPr>
        <sz val="11"/>
        <color rgb="FF000000"/>
        <rFont val="Calibri"/>
      </rPr>
      <t>UK Biobank</t>
    </r>
  </si>
  <si>
    <t>0.68-1.36</t>
  </si>
  <si>
    <t>0.50- 1.14</t>
  </si>
  <si>
    <t>0.10- 1.46</t>
  </si>
  <si>
    <r>
      <rPr>
        <sz val="11"/>
        <color rgb="FF000000"/>
        <rFont val="Calibri"/>
      </rPr>
      <t>UK Biobank</t>
    </r>
  </si>
  <si>
    <t>HERMES</t>
  </si>
  <si>
    <t>1.06- 1.80</t>
  </si>
  <si>
    <t>1.15- 2.28</t>
  </si>
  <si>
    <t>0.50- 4.16</t>
  </si>
  <si>
    <r>
      <rPr>
        <sz val="11"/>
        <color rgb="FF000000"/>
        <rFont val="Calibri"/>
      </rPr>
      <t>UK Biobank</t>
    </r>
  </si>
  <si>
    <t>Nielson</t>
  </si>
  <si>
    <t>0.79- 1.21</t>
  </si>
  <si>
    <t>0.67- 1.13</t>
  </si>
  <si>
    <t>0.35- 1.97</t>
  </si>
  <si>
    <r>
      <rPr>
        <sz val="11"/>
        <color rgb="FF000000"/>
        <rFont val="Calibri"/>
      </rPr>
      <t>UK Biobank</t>
    </r>
  </si>
  <si>
    <t>0.72 - 1.08</t>
  </si>
  <si>
    <t>0.64 - 1.06</t>
  </si>
  <si>
    <t>0.20 - 3.40</t>
  </si>
  <si>
    <r>
      <rPr>
        <sz val="11"/>
        <color rgb="FF000000"/>
        <rFont val="Calibri"/>
      </rPr>
      <t>UK Biobank</t>
    </r>
  </si>
  <si>
    <t>0.77- 1.07</t>
  </si>
  <si>
    <t>0.72- 1.14</t>
  </si>
  <si>
    <t>0.20- 1.85</t>
  </si>
  <si>
    <r>
      <rPr>
        <sz val="11"/>
        <color rgb="FF000000"/>
        <rFont val="Calibri"/>
      </rPr>
      <t>UK Biobank</t>
    </r>
  </si>
  <si>
    <t>0.79- 1.13</t>
  </si>
  <si>
    <t>0.87- 1.44</t>
  </si>
  <si>
    <t>0.20- 2.24</t>
  </si>
  <si>
    <r>
      <rPr>
        <sz val="11"/>
        <color rgb="FF000000"/>
        <rFont val="Calibri"/>
      </rPr>
      <t>UK Biobank</t>
    </r>
  </si>
  <si>
    <t>0.94- 1.27</t>
  </si>
  <si>
    <t>0.90- 1.35</t>
  </si>
  <si>
    <t>0.29- 2.18</t>
  </si>
  <si>
    <r>
      <rPr>
        <sz val="11"/>
        <color rgb="FF000000"/>
        <rFont val="Calibri"/>
      </rPr>
      <t>UK Biobank</t>
    </r>
  </si>
  <si>
    <t>Nielson 2018</t>
  </si>
  <si>
    <t>0.83- 1.29</t>
  </si>
  <si>
    <t>1.02- 1.55</t>
  </si>
  <si>
    <t>0.16- 3.54</t>
  </si>
  <si>
    <t>0.990-1.013</t>
  </si>
  <si>
    <t>Ukb-b-1996</t>
  </si>
  <si>
    <t>0.984-1.009</t>
  </si>
  <si>
    <t>Ukb-b-16576</t>
  </si>
  <si>
    <t>0.998-1.012</t>
  </si>
  <si>
    <t>0.961-1.046</t>
  </si>
  <si>
    <t>0.918-0.987</t>
  </si>
  <si>
    <t>0.992-1.030</t>
  </si>
  <si>
    <r>
      <rPr>
        <sz val="11"/>
        <color rgb="FF000000"/>
        <rFont val="Calibri"/>
      </rPr>
      <t>UK Biobank</t>
    </r>
  </si>
  <si>
    <t>0.16-23.62</t>
  </si>
  <si>
    <t>0.09-665.65</t>
  </si>
  <si>
    <t>2.13-4240.41</t>
  </si>
  <si>
    <t>0.47-1.55</t>
  </si>
  <si>
    <t>0.335-1.597</t>
  </si>
  <si>
    <t>0.001-3.373</t>
  </si>
  <si>
    <t>0.72-2.24</t>
  </si>
  <si>
    <t>0.864-4.049</t>
  </si>
  <si>
    <t>0.069-12.281</t>
  </si>
  <si>
    <t>type 2 diabetes</t>
  </si>
  <si>
    <t>0.41-0.80</t>
  </si>
  <si>
    <t>0.391-0.907</t>
  </si>
  <si>
    <t>0.047-1.423</t>
  </si>
  <si>
    <t>Umbilical hernia</t>
  </si>
  <si>
    <t>finn-b-K11_UMBHER</t>
  </si>
  <si>
    <t>0.756-7.577</t>
  </si>
  <si>
    <t>1.021-24.857</t>
  </si>
  <si>
    <t>2.278e-09-219.772</t>
  </si>
  <si>
    <t>0.361-1.751</t>
  </si>
  <si>
    <t>0.144-1.662</t>
  </si>
  <si>
    <t>0.00316-0.559</t>
  </si>
  <si>
    <t>0.111-5.726</t>
  </si>
  <si>
    <t>0.000258-11819.805</t>
  </si>
  <si>
    <t>0.346-2.066</t>
  </si>
  <si>
    <t>0.418-3.544</t>
  </si>
  <si>
    <t>0.000196-0.322</t>
  </si>
  <si>
    <t>Ventral hernia</t>
  </si>
  <si>
    <t>finn-b-K11_VENTHER</t>
  </si>
  <si>
    <t>Nr</t>
  </si>
  <si>
    <t>1.087-18.427</t>
  </si>
  <si>
    <t>1.058-29.152</t>
  </si>
  <si>
    <t>7.560e-06-5.910e+08</t>
  </si>
  <si>
    <r>
      <rPr>
        <sz val="11"/>
        <color rgb="FF000000"/>
        <rFont val="Calibri"/>
      </rPr>
      <t>UK Biobank</t>
    </r>
  </si>
  <si>
    <r>
      <rPr>
        <sz val="11"/>
        <color rgb="FF000000"/>
        <rFont val="Calibri"/>
      </rPr>
      <t>UK Biobank</t>
    </r>
  </si>
  <si>
    <t>0.304-1.517</t>
  </si>
  <si>
    <t>0.291-3.160</t>
  </si>
  <si>
    <t>0.113-26.588</t>
  </si>
  <si>
    <r>
      <rPr>
        <sz val="11"/>
        <color rgb="FF000000"/>
        <rFont val="Calibri"/>
      </rPr>
      <t>UK Biobank</t>
    </r>
  </si>
  <si>
    <t>0.113-7.060</t>
  </si>
  <si>
    <r>
      <rPr>
        <sz val="11"/>
        <color rgb="FF000000"/>
        <rFont val="Calibri"/>
      </rPr>
      <t>UK Biobank</t>
    </r>
  </si>
  <si>
    <t>0.0370-2.331</t>
  </si>
  <si>
    <t>0.00107-3.050e+05</t>
  </si>
  <si>
    <t>0.141-0.735</t>
  </si>
  <si>
    <t>0.0794-0.717</t>
  </si>
  <si>
    <r>
      <rPr>
        <sz val="11"/>
        <color rgb="FF000000"/>
        <rFont val="Calibri"/>
      </rPr>
      <t>UK Biobank</t>
    </r>
  </si>
  <si>
    <r>
      <rPr>
        <sz val="11"/>
        <color rgb="FF000000"/>
        <rFont val="Calibri"/>
      </rPr>
      <t>UK Biobank</t>
    </r>
  </si>
  <si>
    <t>0.0104-17.422</t>
  </si>
  <si>
    <t>0.384-2.020</t>
  </si>
  <si>
    <t>0.259-1.844</t>
  </si>
  <si>
    <t>0.00365-3.712e+05</t>
  </si>
  <si>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</si>
  <si>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</si>
  <si>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</si>
  <si>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</si>
  <si>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t>0.598-3.629</t>
  </si>
  <si>
    <t>0.311-2.406</t>
  </si>
  <si>
    <t>0.00728-36.237</t>
  </si>
  <si>
    <r>
      <rPr>
        <sz val="11"/>
        <color rgb="FF000000"/>
        <rFont val="Calibri"/>
      </rPr>
      <t>UK Biobank</t>
    </r>
  </si>
  <si>
    <r>
      <rPr>
        <sz val="11"/>
        <color rgb="FF000000"/>
        <rFont val="Calibri"/>
      </rPr>
      <t>UK Biobank</t>
    </r>
  </si>
  <si>
    <t>0.726-1.853</t>
  </si>
  <si>
    <t>0.560-1.853</t>
  </si>
  <si>
    <t>0.301-19.610</t>
  </si>
  <si>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</si>
  <si>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</si>
  <si>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</si>
  <si>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</si>
  <si>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</si>
  <si>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</si>
  <si>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t>cooked vegetable intake</t>
  </si>
  <si>
    <t>32,21</t>
  </si>
  <si>
    <r>
      <rPr>
        <sz val="11"/>
        <color rgb="FF000000"/>
        <rFont val="Calibri"/>
      </rPr>
      <t>UK Biobank</t>
    </r>
  </si>
  <si>
    <r>
      <rPr>
        <sz val="11"/>
        <color rgb="FF000000"/>
        <rFont val="Calibri"/>
      </rPr>
      <t>UK Biobank</t>
    </r>
  </si>
  <si>
    <t>salad raw vegetable intake</t>
  </si>
  <si>
    <t>34,14</t>
  </si>
  <si>
    <r>
      <rPr>
        <sz val="11"/>
        <color rgb="FF000000"/>
        <rFont val="Calibri"/>
      </rPr>
      <t>UK Biobank</t>
    </r>
  </si>
  <si>
    <r>
      <rPr>
        <sz val="11"/>
        <color rgb="FF000000"/>
        <rFont val="Calibri"/>
      </rPr>
      <t>UK Biobank</t>
    </r>
  </si>
  <si>
    <t>IDN9</t>
  </si>
  <si>
    <t>ebi-a-GCST90038686</t>
  </si>
  <si>
    <t>0.963–0.999</t>
  </si>
  <si>
    <t>57,81</t>
  </si>
  <si>
    <t>0.951–0.997</t>
  </si>
  <si>
    <t>0,98</t>
  </si>
  <si>
    <t>0.900–1.066</t>
  </si>
  <si>
    <t>0,64</t>
  </si>
  <si>
    <r>
      <rPr>
        <sz val="11"/>
        <color rgb="FF000000"/>
        <rFont val="Calibri"/>
      </rPr>
      <t>UK Biobank</t>
    </r>
  </si>
  <si>
    <r>
      <rPr>
        <sz val="11"/>
        <color rgb="FF000000"/>
        <rFont val="Calibri"/>
      </rPr>
      <t>UK Biobank</t>
    </r>
  </si>
  <si>
    <t>0.403 - 2.416</t>
  </si>
  <si>
    <t>0.000627 - 35769.624</t>
  </si>
  <si>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</si>
  <si>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</si>
  <si>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</si>
  <si>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</si>
  <si>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</si>
  <si>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</si>
  <si>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</si>
  <si>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</si>
  <si>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t>Coronary artery disease</t>
  </si>
  <si>
    <t>0,68</t>
  </si>
  <si>
    <t>0.44 - 1.05</t>
  </si>
  <si>
    <r>
      <rPr>
        <sz val="11"/>
        <color rgb="FF000000"/>
        <rFont val="Calibri"/>
      </rPr>
      <t>UK Biobank</t>
    </r>
  </si>
  <si>
    <r>
      <rPr>
        <sz val="11"/>
        <color rgb="FF000000"/>
        <rFont val="Calibri"/>
      </rPr>
      <t>UK Biobank</t>
    </r>
  </si>
  <si>
    <t>Myocardial infarction</t>
  </si>
  <si>
    <t>0.40 - 1.15</t>
  </si>
  <si>
    <r>
      <rPr>
        <sz val="11"/>
        <color rgb="FF000000"/>
        <rFont val="Calibri"/>
      </rPr>
      <t>UK Biobank</t>
    </r>
  </si>
  <si>
    <r>
      <rPr>
        <sz val="11"/>
        <color rgb="FF000000"/>
        <rFont val="Calibri"/>
      </rPr>
      <t>UK Biobank</t>
    </r>
  </si>
  <si>
    <t>0,60</t>
  </si>
  <si>
    <t>0.42 - 0.85</t>
  </si>
  <si>
    <t>0.4841 - 1.1899</t>
  </si>
  <si>
    <t>0.0634 - 2.6905</t>
  </si>
  <si>
    <t>ieu-b-4876</t>
  </si>
  <si>
    <t>Ischemic stroke</t>
  </si>
  <si>
    <r>
      <rPr>
        <sz val="11"/>
        <color rgb="FF000000"/>
        <rFont val="Calibri"/>
      </rPr>
      <t>UK Biobank</t>
    </r>
  </si>
  <si>
    <r>
      <rPr>
        <sz val="11"/>
        <color rgb="FF000000"/>
        <rFont val="Calibri"/>
      </rPr>
      <t>UK Biobank</t>
    </r>
  </si>
  <si>
    <t>0,45</t>
  </si>
  <si>
    <t>0.29 - 0.70</t>
  </si>
  <si>
    <t>0.3406 - 1.0643</t>
  </si>
  <si>
    <t>0.0322 - 3.4754</t>
  </si>
  <si>
    <r>
      <rPr>
        <sz val="11"/>
        <color rgb="FF000000"/>
        <rFont val="Calibri"/>
      </rPr>
      <t>UK Biobank</t>
    </r>
  </si>
  <si>
    <r>
      <rPr>
        <sz val="11"/>
        <color rgb="FF000000"/>
        <rFont val="Calibri"/>
      </rPr>
      <t>UK Biobank</t>
    </r>
  </si>
  <si>
    <t>Large artery stroke</t>
  </si>
  <si>
    <t>0,41</t>
  </si>
  <si>
    <t>0.16 - 1.07</t>
  </si>
  <si>
    <t>Small vessel stroke</t>
  </si>
  <si>
    <r>
      <rPr>
        <sz val="11"/>
        <color rgb="FF000000"/>
        <rFont val="Calibri"/>
      </rPr>
      <t>UK Biobank</t>
    </r>
  </si>
  <si>
    <r>
      <rPr>
        <sz val="11"/>
        <color rgb="FF000000"/>
        <rFont val="Calibri"/>
      </rPr>
      <t>UK Biobank</t>
    </r>
  </si>
  <si>
    <t>0,35</t>
  </si>
  <si>
    <t>0.15 - 0.83</t>
  </si>
  <si>
    <t>0.1023 - 1.2244</t>
  </si>
  <si>
    <t>0.0008 - 9.1473</t>
  </si>
  <si>
    <t>Cardioembolic stroke</t>
  </si>
  <si>
    <r>
      <rPr>
        <sz val="11"/>
        <color rgb="FF000000"/>
        <rFont val="Calibri"/>
      </rPr>
      <t>UK Biobank</t>
    </r>
  </si>
  <si>
    <r>
      <rPr>
        <sz val="11"/>
        <color rgb="FF000000"/>
        <rFont val="Calibri"/>
      </rPr>
      <t>UK Biobank</t>
    </r>
  </si>
  <si>
    <t>0,85</t>
  </si>
  <si>
    <t>0.41 - 1.74</t>
  </si>
  <si>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</si>
  <si>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</si>
  <si>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</si>
  <si>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</si>
  <si>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</si>
  <si>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</si>
  <si>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</si>
  <si>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</si>
  <si>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</si>
  <si>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</si>
  <si>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</si>
  <si>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</si>
  <si>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</si>
  <si>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</si>
  <si>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</si>
  <si>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</si>
  <si>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</si>
  <si>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</si>
  <si>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</si>
  <si>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Calibri"/>
      </rPr>
      <t>UK Biobank</t>
    </r>
  </si>
  <si>
    <r>
      <rPr>
        <sz val="11"/>
        <color rgb="FF000000"/>
        <rFont val="Times New Roman"/>
      </rPr>
      <t>ieu-b-4876</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</si>
  <si>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</si>
  <si>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</si>
  <si>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</si>
  <si>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</si>
  <si>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</si>
  <si>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</si>
  <si>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</si>
  <si>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</si>
  <si>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</si>
  <si>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</si>
  <si>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</si>
  <si>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</si>
  <si>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</si>
  <si>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</si>
  <si>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</si>
  <si>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</si>
  <si>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</si>
  <si>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</si>
  <si>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</si>
  <si>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</si>
  <si>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</si>
  <si>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</si>
  <si>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</si>
  <si>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</si>
  <si>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</si>
  <si>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</si>
  <si>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</si>
  <si>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</si>
  <si>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</si>
  <si>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</si>
  <si>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</si>
  <si>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</si>
  <si>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</si>
  <si>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</si>
  <si>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</si>
  <si>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</si>
  <si>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</si>
  <si>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</si>
  <si>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</si>
  <si>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</si>
  <si>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</si>
  <si>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</si>
  <si>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</si>
  <si>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</si>
  <si>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</si>
  <si>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</si>
  <si>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</si>
  <si>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</si>
  <si>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</si>
  <si>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</si>
  <si>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</si>
  <si>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</si>
  <si>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</si>
  <si>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</si>
  <si>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t>Any ischemic stroke</t>
  </si>
  <si>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</si>
  <si>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</si>
  <si>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</si>
  <si>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</si>
  <si>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</si>
  <si>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</si>
  <si>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</si>
  <si>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</si>
  <si>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</si>
  <si>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r>
      <rPr>
        <sz val="11"/>
        <color rgb="FF000000"/>
        <rFont val="Times New Roman"/>
      </rPr>
      <t>UK Biobank</t>
    </r>
  </si>
  <si>
    <t>0.002838845 (b)</t>
  </si>
  <si>
    <t>-0.013658623-0.019336313</t>
  </si>
  <si>
    <t>-0.151105247-0.11308261</t>
  </si>
  <si>
    <t>-0.009452424 (b)</t>
  </si>
  <si>
    <t>-0.026021255-0.007116408</t>
  </si>
  <si>
    <t>-0.068315534-0.05193335</t>
  </si>
  <si>
    <t>0.000930332 (b)</t>
  </si>
  <si>
    <t>-0.011204423-0.013065086</t>
  </si>
  <si>
    <t>-0.045987787-0.007009679</t>
  </si>
  <si>
    <t>0.003510772 (b)</t>
  </si>
  <si>
    <t>-0.006310055-0.0133316</t>
  </si>
  <si>
    <t>-0.038159554-0.021427205</t>
  </si>
  <si>
    <t>0.00974825 (b)</t>
  </si>
  <si>
    <t>-0.03510381-0.05460031</t>
  </si>
  <si>
    <t>-0.378836682-0.605988237</t>
  </si>
  <si>
    <t>-0.051648292 (b)</t>
  </si>
  <si>
    <t>-0.094017281--0.009279303</t>
  </si>
  <si>
    <t>-0.247834885-0.100541469</t>
  </si>
  <si>
    <t>-0.001544919 (b)</t>
  </si>
  <si>
    <t>-0.030473656-0.027383819</t>
  </si>
  <si>
    <t>-0.14560547-0.015582236</t>
  </si>
  <si>
    <t>0.011403829 (b)</t>
  </si>
  <si>
    <t>-0.011891748-0.034699406</t>
  </si>
  <si>
    <t>-0.135125832-0.026782963</t>
  </si>
  <si>
    <t>GCST90018819</t>
  </si>
  <si>
    <t>0.46-1.54</t>
  </si>
  <si>
    <t>0.52-1.01</t>
  </si>
  <si>
    <t>Inguinal hernia</t>
  </si>
  <si>
    <t>Fresh_fruit_intake</t>
  </si>
  <si>
    <t>0.398214765 (SE)</t>
  </si>
  <si>
    <t>0.400118856 (SE)</t>
  </si>
  <si>
    <t>1.136055473 (SE)</t>
  </si>
  <si>
    <t>Dried_fruit_intake</t>
  </si>
  <si>
    <t>0.35556336 (SE)</t>
  </si>
  <si>
    <t>0.352264907 (SE)</t>
  </si>
  <si>
    <t>1.467513337 (SE)</t>
  </si>
  <si>
    <t>Apple_intake</t>
  </si>
  <si>
    <t>ukb-b-4070</t>
  </si>
  <si>
    <t>ieu-b-5112</t>
  </si>
  <si>
    <t>Psychiatric Genomics Consortium</t>
  </si>
  <si>
    <t>Banana_intake</t>
  </si>
  <si>
    <t>ukb-b-5362</t>
  </si>
  <si>
    <t>ieu-b-5113</t>
  </si>
  <si>
    <t>Berry_intake</t>
  </si>
  <si>
    <t>ukb-b-8887</t>
  </si>
  <si>
    <t>ieu-b-5114</t>
  </si>
  <si>
    <t>Cooked_vegetable_intake</t>
  </si>
  <si>
    <t>0.488408519818641 (SE)</t>
  </si>
  <si>
    <t>0.590971310317246 (SE)</t>
  </si>
  <si>
    <t>6.33253026494208 (SE)</t>
  </si>
  <si>
    <t>Salad_raw_vegetable_intake</t>
  </si>
  <si>
    <t>1.111054415 (SE)</t>
  </si>
  <si>
    <t>0.679864615 (SE)</t>
  </si>
  <si>
    <t>4.324647562 (SE)</t>
  </si>
  <si>
    <t>0,558-2,71</t>
  </si>
  <si>
    <t>0,403-2.416</t>
  </si>
  <si>
    <t>0,00006-35769,624</t>
  </si>
  <si>
    <t>0,32-0,748</t>
  </si>
  <si>
    <t>0,255-0,838</t>
  </si>
  <si>
    <t>0,229-4,122</t>
  </si>
  <si>
    <t>0,287-2,284</t>
  </si>
  <si>
    <t>0,767-6,683</t>
  </si>
  <si>
    <t>0,155-1824,858</t>
  </si>
  <si>
    <t>0.339-0.780</t>
  </si>
  <si>
    <t>0,29-0,788</t>
  </si>
  <si>
    <t>0,026-1,153</t>
  </si>
  <si>
    <t>0.46-1.01</t>
  </si>
  <si>
    <t xml:space="preserve">Updated search, July 18th </t>
  </si>
  <si>
    <t>Z. Bu, X. Wang, X. Wang, Z. Huang, Z. Feng, X. Huang, P. Wang, N. Jiang, F. Xu, J. Liu and Z. Liu</t>
  </si>
  <si>
    <t>https://doi.org/10.6133/apjcn.202406_33(2).0010</t>
  </si>
  <si>
    <t>Dried fruit intake can lower the risk of ulcerative colitis: evidence from a Mendelian randomization study</t>
  </si>
  <si>
    <t>BACKGROUND AND OBJECTIVES: This study aims to examine the causal relationship between dietary factors and ulcerative colitis (UC). METHODS AND STUDY DESIGN: The analysis utilized data from genome-wide association studies (GWAS). Dried fruit, vegetables, processed meat, fresh fruit, and cereal intake were examined as exposure factors. UC was considered the outcome. Two-sample Mendelian randomization (TSMR) analysis was performed using methods. Heterogeneity and horizontal pleiotropy assessments were conducted to ensure the robustness of our findings. Additionally, we applied False Discovery Rate (FDR) corrections for multiple tests. RESULTS: The analysis revealed a significant inverse causal relationship between dried fruit intake and UC risk (odds ratio [OR]: 0.488, 95% confidence interval [CI]: 0.261 to 0.915, p = 0.025). No significant association was observed between vegetable intake (OR: 1.742, 95% CI: 0.561 to 5.415, p = 0.337), processed meat intake (OR: 1.136, 95% CI: 0.552 to 2.339, p = 0.729), fresh fruit intake (OR: 0.977, 95% CI: 0.465 to 2.054, p = 0.952), cereal intake (OR: 1.195, 95% CI: 0.669 to 2.134, p = 0.547). The low heterogeneity observed across analyses and the confirmation of stability through leave-one-out analysis reinforce the reliability of these results. Moreover, after adjusting for multiple tests, none of the dietary factors reached a p-value below the conventional significance threshold of 0.05. CONCLUSIONS: This study provides evidence of a potential association between dried fruit intake and a reduced risk of UC. Further MR studies incorporating larger GWAS datasets are needed to confirm these findings.</t>
  </si>
  <si>
    <t>Included</t>
  </si>
  <si>
    <t>J. Cai, X. Sun, M. Li, R. Luo, W. Wang, Z. Wang, M. A. Akkaif and H. Liu</t>
  </si>
  <si>
    <t>https://doi.org/10.1186/s41043-024-00575-7</t>
  </si>
  <si>
    <t>Dietary factors in relation to hypertension: a mendelian randomization study</t>
  </si>
  <si>
    <t>BACKGROUND: Observational studies have elucidated the associations between dietary factors and hypertension. Nevertheless, the exploration of these relationships using Mendelian randomization remains scarce currently. METHODS: The Mendelian randomization approach investigated the potential causal relationships between 16 dietary factors and hypertension. To achieve this, we identified genetic variants associated with these dietary factors by utilizing data from European-descent genome-wide association studies with a stringent significance threshold (P &lt; 5 × 10 - 8). Subsequently, we obtained genetic associations with hypertension from the extensive FinnGen Study, encompassing 92,462 cases and 265,626 controls. Our primary analytical method was the inverse variance weighted method, and we also conducted assessments for heterogeneity and pleiotropy to ensure the robustness and reliability of our findings. RESULTS: The study revealed significant associations with hypertension risk for various dietary factors. Specifically, higher weekly alcohol consumption (OR: 1.53, 95% CI: 1.19-1.96) and more frequent alcohol intake (OR: 1.20, 95% CI: 1.08-1.33) were positively correlated with an increased risk of hypertension. Likewise, increased poultry intake (OR: 3.25, 95% CI: 1.83-5.78) and beef intake (OR: 1.80, 95% CI: 1.09-2.97) were also linked to a higher risk of hypertension. Conversely, there were protective factors associated with a decreased risk of hypertension. These included consuming salad and raw vegetables, dried fruits, cheese, and cereals. It is important to note that no evidence of pleiotropy was detected, underscoring the robustness of these findings. CONCLUSIONS: This study uncovered causal relationships between various dietary factors and hypertension risk. Specifically, alcohol consumption in terms of drinks per week and intake frequency, as well as poultry and beef intake, were causally associated with an elevated risk of hypertension. In contrast, consuming salad/raw vegetables, dried fruits, cheese, and cereals demonstrated an inverse causal association with hypertension, suggesting a potential protective effect.</t>
  </si>
  <si>
    <t>X. Chen, C. Ren, C. Wu and X. Liu</t>
  </si>
  <si>
    <t>https://doi.org/10.3389/fendo.2024.1376800</t>
  </si>
  <si>
    <t>Mendelian randomization reveals the impact of diet on infertility in men and women</t>
  </si>
  <si>
    <t>BACKGROUND: Although studies on the effects of diet on fertility has progressed, some cumulative evidence has piled against popular hypotheses. The aim of our study was to investigate the effects of 31 diets including 23 individual dietary intakes and 8 dietary habits on infertility in men and women. METHODS: The datas of diets and infertility were collected from genome-wide association studies (GWAS). Mendelian randomization (MR) methods were used to analyze causal relationships. Multivariate MR (MVMR) adjusted for the effects of other exposures on causality. And MR-Egger, Cochran's Q, radial MR, and MR-PRESSO tests were employed to assess heterogeneity and horizontal pleiotropy. RESULTS: Our study found that coffee intake (OR, 3.6967; 95% CI, 1.0348 - 13.2065; P = 0.0442) and cooked vegetable intakes (OR, 54.7865; 95% CI, 2.9011 - 1030.5500; P = 0.0076) increased the risk of male infertility. For women, beer was a risk factor for infertility (OR, 4.0932; 95% CI, 1.8728 - 8.9461; P = 0.0004); but processed meat was negatively associated with infertility (OR, 0.5148; 95% CI, 0.2730 - 0.9705; P = 0.0401). MVMR demonstrated selenium as a protective factor against female infertility (OR, 7.4474e-12; 95% CI, 5.4780e-22 - 1.0125e-01; P = 0.0314). CONCLUSION: We found the causal relationships between four diets and infertility. We look forward to more high-quality epidemiologic studies to prove our conclusions.</t>
  </si>
  <si>
    <t>J. Guan, T. Liu, K. Yang and H. Chen</t>
  </si>
  <si>
    <t>https://doi.org/10.1186/s12986-024-00813-z</t>
  </si>
  <si>
    <t>Dried fruit intake and lower risk of type 2 diabetes: a two-sample mendelian randomization study</t>
  </si>
  <si>
    <t>BACKGROUND: Previous studies have shown controversy about whether dried fruit intake is associated with type 2 diabetes. This study aimed to examine the potential causal effect of dried fruit intake on type 2 diabetes by conducting a two-sample Mendelian randomization study. METHODS: We used genome-wide association study (GWAS) summary statistics for MR analysis to explore the causal association of dried fruit intake with T2D. The inverse-variance weighted (IVW) method was used as the main analytical method for MR analysis. In addition, the MR-Egger method and the weighted median method were applied to supplement the IVW method. Furthermore, Cochrane's Q test, MR-Egger intercept test, and leave-one-out analysis were used to perform sensitivity analysis. The funnel plot was used to assess publication bias. RESULTS: The results from the IVW analysis indicated that dried fruit intake could reduce the risk of T2D [odds ratio (OR) = 0.392, 95% confidence interval (CI): 0.241-0.636, p-value = 0.0001]. In addition, the result of additional method Weighted median is parallel to the effects estimated by IVW. Furthermore, the sensitivity analysis illustrates that our MR analysis was unaffected by heterogeneity and horizontal pleiotropy. Finally, the results of the leave-one-out method showed the robustness of our MR results. And the funnel plot shows a symmetrical distribution. CONCLUSION: Our study provides evidence for the benefits of dried fruit intake on T2D. Therefore, a reasonable consumption of dried fruit may provide primary prevention.</t>
  </si>
  <si>
    <t>Z. Jing, X. Qi and J. Teng</t>
  </si>
  <si>
    <t>https://doi.org/10.1097/md.0000000000038473</t>
  </si>
  <si>
    <t>Dietary factors and risk for amyotrophic lateral sclerosis: A two sample mendelian randomization study</t>
  </si>
  <si>
    <t>Correlations between dietary factors and amyotrophic lateral sclerosis (ALS) have been found in previous observational studies. However, no further studies have used Mendelian randomization to further explore the causal relationship between dietary factors and ALS. Clarifying these relationships is a crucial part of developing nutritional recommendations for ALS prevention. The exposure and outcome datasets employed in this study were extracted from the IEU Open GWAS project (https://gwas.mrcieu.ac.uk/). The exposure datasets involved in our Mendelian analyses consisted of meat intake (processed meat intake, poultry intake, beef intake, pork intake, non-oily fish intake, and oily fish intake), staple foods intake (bread intake and cereal intake), vegetable intake (cooked vegetable intake, salad/raw vegetable intake), fruit intake (fresh fruit intake and dried fruit intake), and beverage intake (coffee intake and tea intake). The weighted median, MR-Egger, Inverse Variance Weighted, Simple mode and Weighted mode methods were all utilized. And we applied Inverse Variance Weighted method as the main judgement criterion for Mendelian randomization analysis. Heterogeneity and pleiotropy analyses were conducted to confirm the validity of the outcomes. Genetically predicted that oily fish intake (OR: 0.7648; 95% CI: 0.5905-0.9904; P = .0420), coffee intake (OR: 0.7385; 95% CI: 0.5660-0.9637; P = .0256), and fresh fruit intake (OR: 0.6165; 95% CI: 0.4007-0.9487; P = .0278) were causally associated with a decreased risk of ALS. Negative results (P &gt; .05) were received for all other dietary factors. This study found that oily fish intake, coffee intake and fresh fruit intake reduced the risk of developing ALS. Additionally, other factors were not associated with ALS.</t>
  </si>
  <si>
    <t>J. Li, R. Hu, H. Luo, Y. Guo, Z. Zhang, Q. Luo and P. Xia</t>
  </si>
  <si>
    <t>https://doi.org/10.3389/fpsyt.2024.1388316</t>
  </si>
  <si>
    <t>Associations between dietary habits and bipolar disorder: a diet-wide mendelian randomization study</t>
  </si>
  <si>
    <t>BACKGROUND: Diet/nutrition is critically important in the pathogenesis, progression, and treatment outcomes of various mental disorders. Current research predominantly focuses on the role of diet in the development and treatment of depression, with less attention given to the relationship between diet and Bipolar Disorder (BD). METHOD: We employed Mendelian Randomization (MR) to investigate the relationship between 28 dietary habits and BD. An analysis was conducted using publicly available genome-wide association study data from the UK Biobank dataset. Various dietary habits were analyzed as exposures with BD as the outcome, mainly using the Inverse Variance Weighted (IVW) method. RESULTS: Intake of non-oily fish and sponge pudding both have a positive association with BD. Oily fish, dried fruit, apples, salt, and cooked vegetables intake also appeared potentially risky for BD, although the possibility of false positives cannot be ruled out. Sensitivity analysis further confirmed the robustness of these findings. CONCLUSION: Our research provides evidence of a relationship between various dietary habits and BD. It underscores the need for careful dietary management and balance to reduce the risk of BD, suggesting caution with dietary preferences for fish and sponge pudding. Furthermore, more detailed studies are needed to further understand the potential impacts of high-sugar and high-protein diets on BD development.</t>
  </si>
  <si>
    <t>R. Liang, W. Zhong, S. Ze, Y. Qiao and L. Yuan</t>
  </si>
  <si>
    <t>https://doi.org/10.1097/md.0000000000037710</t>
  </si>
  <si>
    <t>Causal association between dried fruit intake and risk of osteoarthritis: A Mendelian randomization study</t>
  </si>
  <si>
    <t>This study aimed to examine whether dried fruit intake is causally associated with Osteoarthritis (OA). A two-sample Mendelian randomization (MR) analysis using the inverse-variance weighted (IVW), weighted median (WM), and MR-Egger regression methods was performed. We used the publicly available summary statistics data sets of genome-wide association studies (GWAS) meta-analyses for dried fruit intake in individuals included in the UK Biobank (n = 421,764; MRC-IEU consortium) as the exposure and a GWAS publicly available in PubMed for OA (total n = 484,598; case = 39,515, control = 445,083) as the outcome. We selected 41 single nucleotide polymorphisms at genome-wide significance from GWASs on dried fruit intake as the instrumental variables. The IVW method showed evidence to support a causal association between dried fruit intake and OA (beta = -0.020, SE = 0.009, P = .039). MR-Egger regression indicated no directional pleiotropy (intercept = 1E-05; P = .984), but it showed no causal association between dried fruit intake and OA (beta = -0.020, SE = 0.043, P = .610). However, the WM approach yielded evidence of a causal association between dried fruit intake and OA (beta = -0.026, SE = 0.012, P = .026). Cochran's Q test showed the existence of heterogeneity, but the statistics of I2 showed low heterogeneity. The results of MR analysis support that dried fruit intake may be causally associated with a decreased risk of OA.</t>
  </si>
  <si>
    <t>Y. X. Liu, W. T. Yang and Y. Li</t>
  </si>
  <si>
    <t>https://doi.org/10.12998/wjcc.v12.i14.2370</t>
  </si>
  <si>
    <t>Different effects of 24 dietary intakes on gastroesophageal reflux disease: A mendelian randomization</t>
  </si>
  <si>
    <t>BACKGROUND: In observational studies, dietary intakes are associated with gastroesophageal reflux disease (GERD). AIM: To conduct a two-sample mendelian randomization (MR) analysis to determine whether those associations are causal. METHODS: To explore the relationship between dietary intake and the risk of GERD, we extracted appropriate single nucleotide polymorphisms from genome-wide association study data on 24 dietary intakes. Three methods were adopted for data analysis: Inverse variance weighting, weighted median methods, and MR-Egger's method. The odds ratio (OR) and 95% confidence interval (CI) were used to evaluate the causal association between dietary intake and GERD. RESULTS: Our univariate Mendelian randomization (UVMR) results showed significant evidence that pork intake (OR, 2.83; 95%CI: 1.76-4.55; P = 1.84 × 10(-5)), beer intake (OR, 2.70, 95%CI: 2.00-3.64; P = 6.54 × 10(-11)), non-oily fish intake (OR, 2.41; 95%CI: 1.49-3.91; P = 3.59 × 10(-4)) have a protective effect on GERD. In addition, dried fruit intake (OR, 0.37; 95%CI: 0.27-0.50; 6.27 × 10(-11)), red wine intake (OR, 0.34; 95%CI: 0.25-0.47; P = 1.90 × 10(-11)), cheese intake (OR, 0.46; 95%CI: 0.39-0.55; P =3.73 × 10(-19)), bread intake (OR, 0.72; 95%CI: 0.56-0.92; P = 0.0009) and cereal intake (OR, 0.45; 95%CI: 0.36-0.57; P = 2.07 × 10(-11)) were negatively associated with the risk of GERD. There was a suggestive association for genetically predicted coffee intake (OR per one SD increase, 1.22, 95%CI: 1.03-1.44; P = 0.019). Multivariate Mendelian randomization further confirmed that dried fruit intake, red wine intake, cheese intake, and cereal intake directly affected GERD. In contrast, the impact of pork intake, beer intake, non-oily fish intake, and bread intake on GERD was partly driven by the common risk factors for GERD. However, after adjusting for all four elements, there was no longer a suggestive association between coffee intake and GERD. CONCLUSION: This study provides MR evidence to support the causal relationship between a broad range of dietary intake and GERD, providing new insights for the treatment and prevention of GERD.</t>
  </si>
  <si>
    <t>M. A. Muaddi</t>
  </si>
  <si>
    <t>https://doi.org/10.7759/cureus.59034</t>
  </si>
  <si>
    <t>Exploring the Causal Relationship Between Modifiable Exposures and Diabetes Mellitus: A Two-Sample Mendelian Randomization Analysis</t>
  </si>
  <si>
    <t>Background Observational studies link lifestyle factors to diabetes, but confounding limits causal inference. This study employed Mendelian randomization (MR) to investigate the potential causal effects of major dietary, obesity, smoking, and physical activity exposures on diabetes risk. Methods A two-sample MR framework integrated FinnGen and United Kingdom Biobank (UKB) data. Genetic instruments for diet (fruits, vegetables, cheese), smoking (initiation, intensity, maternal), body mass index (BMI), and physical activity came from various consortia (n=64, 949-632, 802). Associations with diabetes odds were assessed using inverse-variance weighted analysis. Results Fruit and cheese intake and physical activity per standard deviation increase causally reduced diabetes risk in both cohorts. Conversely, smoking initiation, maternal smoking around birth, and BMI per standard deviation increase causally increased diabetes risk in both cohorts. Coffee increased diabetes risk only in FinnGen, whereas smoking intensity increased diabetes risk only in UKB. Conclusion This study provides robust evidence that modifiable lifestyle factors may have causal effects on diabetes risk. Fruit, cheese, and physical activity may protect against diabetes, whereas smoking, maternal smoking, and higher BMI appear to increase risk. Findings support public health interventions targeting diet, physical activity, smoking cessation, and healthy weight to combat the global diabetes epidemic.</t>
  </si>
  <si>
    <t>G. Ou, J. Wu, S. Wang, Y. Jiang, Y. Chen, J. Kong, H. Xu, L. Deng, H. Zhao, X. Chen and L. Xu</t>
  </si>
  <si>
    <t>https://doi.org/10.3390/foods13081269</t>
  </si>
  <si>
    <t>Dietary Factors and Risk of Gout: A Two-Sample Mendelian Randomization Study</t>
  </si>
  <si>
    <t>BACKGROUND: Dietary intervention is the preferred approach for the prevention and clinical management of gout. Nevertheless, the existing evidence regarding the influence of specific foods on gout is insufficient. METHODS: We used two-sample Mendelian randomization for genetic prediction to analyze the relationship between the intake of more than a dozen daily food items, such as pork, beef, cheese, and poultry, and dietary macronutrient intake (fat, protein, carbohydrates, and sugar) and the risk of developing gout and elevating the serum uric acid level. Inverse-variance weighted MR analyses were used as the main evaluation method, and the reliability of the results was tested by a sensitivity analysis. RESULTS: Cheese intake was associated with lower serum uric acid levels, and tea intake (OR = 0.523, [95%CI: 0.348~0.784], p = 0.002), coffee intake (OR = 0.449, [95%CI: 0.229~0.882], p = 0.020), and dried fruit intake (OR = 0.533, [95%CI: 0.286~0.992], p = 0.047) showed a preventive effect on the risk of gouty attacks. In contrast, non-oily fish intake (β = 1.08, [95%CI: 0.24~1.92], p = 0.012) and sugar intake (β = 0.34, [95%CI: 0.03~0.64], p = 0.030) were risk factors for elevated serum uric acid levels, and alcohol intake frequency (OR = 1.422, [95%CI: 1.079~1.873], p = 0.012) was a risk factors for gout predisposition. CONCLUSIONS: These results will significantly contribute to the formulation and refinement of nutritional strategies tailored to patients afflicted with gout.</t>
  </si>
  <si>
    <t>N13</t>
  </si>
  <si>
    <t>H. Ou, H. Huang, X. Ye, H. Lin and X. Wang</t>
  </si>
  <si>
    <t>https://doi.org/10.2174/0109298673314174240614091415</t>
  </si>
  <si>
    <t>The Relationship between Dietary Habits and Gastroesophageal Reflux Disease: A Two-Sample Mendelian Randomization Study</t>
  </si>
  <si>
    <t>PURPOSE: This study aimed to explore the potential causal relationship between dietary habits and Gastroesophageal Reflux Disease (GERD). METHODS: Using the inverse-variance weighted method, a two-sample Mendelian randomization (MR) analysis was performed to investigate the causal relationship between 22 dietary habits and GERD. The stability and reliability of the results were assessed using leave-one-out analysis, heterogeneity tests, and tests for horizontal pleiotropy based on the effect measure odds ratio (OR) and 95% confidence interval (CI). RESULTS: The results of the MR analysis indicated a positive association between alcohol drinking (OR=1.472; 95% CI, 1.331 to 1.629; p&lt;1.0×10-3) and salt added to food (OR=1.270; 95% CI, 1.117 to 1.443; p&lt;1.0×10-3) with the risk of GERD. Conversely, bread intake (OR=0.613; 95% CI, 0.477 to 0.790; p&lt;1.0×10-3), cereal intake (OR=0.613; 95% CI, 0.391 to 0.677; p&lt;1.0×10-3), cheese intake (OR=0.709; 95% CI, 0.593 to 0.846; p&lt;1.0×10-3), dried fruit intake (OR=0.535; 95% CI, 0.404 to 0.709; p&lt;1.0×10-3), fresh fruit intake (OR=0.415; 95% CI, 0.278 to 0.619; p&lt;1.0×10-3), and oily fish intake (OR=0.746; 95% CI, 0.633 to 0.879; p&lt;1.0×10-3) were negatively associated with the risk of GERD. Sensitivity analysis showed no evidence of reverse causation, pleiotropy, or heterogeneity. CONCLUSION: Alcohol and salt added to food raised GERD risk, while bread intake, cereal intake, cheese intake, intake of certain dried fruits and certain fresh fruits, and oily fish lowered it. Our study affirms the potential causal link between these diets and GERD, offering insights into targeted prevention strategies.</t>
  </si>
  <si>
    <t>Q. Wang, Z. Qiu, L. Cheng, S. Xu, H. Li, J. Guo and X. Zhang</t>
  </si>
  <si>
    <t>https://doi.org/10.1007/s00403-024-03103-z</t>
  </si>
  <si>
    <t>Is diet related to skin condition? A Mendelian randomization study</t>
  </si>
  <si>
    <t>Observational studies have revealed associations between various dietary factors and skin conditions. However, the causal relationship between diet and skin condition is still unknown. Data on 17 dietary factors were obtained from the UK Biobank. Data on four skin conditions were derived from the UK Biobank and another large-scale GWAS study. Genetic predictions suggested that the intake of oily fish was associated with a lower risk of skin aging (OR: 0.962, P = 0.036) and skin pigmentation (OR: 0.973, P = 0.033); Tea intake was associated with a lower risk of skin pigmentation (OR: 0.972, P = 0.024); Salad/raw vegetables intake was associated with a lower risk of keratinocyte skin cancer (OR: 0.952, P = 0.007). Coffee intake was associated with increased risk of skin aging (OR: 1.040, P = 0.028); Pork intake was associated with increased risk of skin aging (OR: 1.134, P = 0.020); Beef intake was associated with increased risk of cutaneous melanoma (OR: 1.013, P = 0.016); Champagne plus white wine intake was associated with increased risk of cutaneous melanoma (OR: 1.033, P = 0.004); Bread intake was associated with increased risk of keratinocyte skin cancer (OR: 1.026, P = 0.013). Our study results indicate causal relationships between genetically predicted intake of oily fish, tea, salad/raw vegetables, coffee, pork, beef, champagne plus white wine, and bread and skin conditions.</t>
  </si>
  <si>
    <t>J. W. Xie, Y. F. Guo, M. Wang, M. L. Tong, X. Z. Zhu and L. R. Lin</t>
  </si>
  <si>
    <t>https://doi.org/10.1016/j.ypmed.2024.108033</t>
  </si>
  <si>
    <t>Syphilis susceptibility factors atlas: A wide-angled Mendelian randomization study</t>
  </si>
  <si>
    <t>OBJECTIVE: The pathogenic mechanisms of syphilis and the host defense mechanisms against syphilis remain poorly understood. Exploration of the susceptibility factors of syphilis may provide crucial clues for unraveling its underlying mechanisms. METHODS: A two-sample Mendelian Randomization framework was utilized, and the inverse-variance weighted method was used as the main analysis. All data was sourced from Genome-wide association studies datasets from 2015 to 2022 in Europe, and all participants were of European descent. Only summary-level statistics were used. Sensitivity analyses were conducted to evaluate the heterogeneity and pleiotropy of the datasets. RESULTS: Our study established 18 exposure factors (12 risk factors and 6 protective factors) for syphilis susceptibility. Twelve factors encompassing body mass index, waist circumference, darker natural skin, cooked vegetable intake, processed meat intake, diabetes mellitus, glucose regulation disorders, gout, autoimmune diseases, rheumatoid arthritis, diverticulitis, and longer menstrual cycles were found to increase susceptibility to syphilis. In contrast, 6 factors including easier skin tanning, blonde natural hair color, irritability, higher neuroticism scores, extended sleep duration, and delayed age at first sexual intercourse were connected to a reduced risk of syphilis infection (all P &lt; 0.05). CONCLUSIONS: This study identified 18 influencing factors of syphilis susceptibility. These findings offered novel insights for further probing into the underlying pathogenic mechanisms of syphilis and underscored the importance of multifaceted prevention strategies against syphilis.</t>
  </si>
  <si>
    <t>L. Xie, M. Xu, Y. Lei, J. Li and J. Xie</t>
  </si>
  <si>
    <t>https://doi.org/10.3389/fnut.2024.1377631</t>
  </si>
  <si>
    <t>The causal relationship between diet habits and cholelithiasis: a comprehensive Mendelian randomization (MR) study</t>
  </si>
  <si>
    <t>BACKGROUND: Epidemiological studies show dietary habits can have an impact on the risk of cholelithiasis, but the relationship is still unclear. We used a comprehensive Mendelian randomization (MR) study to explore the relationship between dietary habits and cholelithiasis. METHODS: The 18 dietary habits were divided into six categories: meat foods, cereals, vegetables, fruits, dairy products, beverages, and condiments. Cholelithiasis data came from a GWAS meta-analysis and the FinnGen consortium. The inverse variance weighted (IVW), the weighted median (WM), and MR-Egger approaches were used as the main MR analysis methods. In addition, multiple sensitivity analysis and meta-analysis were performed to verify the robustness of the results. RESULTS: Dried fruit intake [odds ratio (OR) = 0.568; 95% confidence interval (CI), 0.405-0.797; p = 0.001] was discovered to reduce the risk of cholelithiasis. The sensitivity analysis and meta-analysis showed reliable results for the relationship between dried fruit intake and cholelithiasis. CONCLUSION: Our study found that dried fruit intake is a protective factor in the development of cholelithiasis. However, the mechanisms of action need to be further explored.</t>
  </si>
  <si>
    <t>Y. Yang, B. Han and W. Yang</t>
  </si>
  <si>
    <t>https://doi.org/10.3389/fnut.2024.1265920</t>
  </si>
  <si>
    <t>Diet and risk for hernia: a Mendelian randomization analysis</t>
  </si>
  <si>
    <t>BACKGROUND: The relationship between dietary factors and hernias is currently unclear. METHODS: The UK Biobank was used to extract dietary factors that were used as exposures, including intake of alcohol, non-oily fish, beef, fresh fruit, oily fish, salad/raw vegetables, dried fruit, coffee, cereal, salt, tea, water, cooked vegetables, cheese, Lamb/mutton, pork, poultry, processed meat, and bread. The FinnGen biobank was used to obtain GWAS data on hernias as outcomes. The main analysis of this study was performed using the weighted median, MR-Egger, and IVW methods. Cochran's Q test was utilized to assess heterogeneity. To find potential outliers, the MR-PRESSO method was used. Leave-one-out analysis was employed to assess the IVW method's robustness. RESULTS: Alcoholic consumption per week (OR: 0.614; p = 0.00614) reduced the risk of inguinal hernia. Alcohol intake frequency (OR: 1.309; p = 0.0477) increased the risk of ventral hernia (mainly including incisional hernia and parastomal hernia). The intake of non-oily fish (OR: 2.945; p = 0.0214) increased the risk of inguinal hernia. Salt added to food (OR: 1.841; p = 0.00267) increased the risk of umbilical hernia. Cheese intake (OR: 0.434; p = 0.000536) and dried fruit intake (OR: 0.322; p = 0.00716) decreased the risk of ventral hernia, while cooked vegetable intake (OR: 4.475; p = 0.0380) increased the risk of ventral hernia. No causal relationships were found with hernias from other dietary factors. CONCLUSION: Inguinal, umbilical, and ventral hernias are all related to dietary factors.</t>
  </si>
  <si>
    <t>X. X. Ying, Y. Hou, X. Zheng, J. X. Ma, M. L. Wu, M. Liu, X. Y. Liu and K. L. Zhang</t>
  </si>
  <si>
    <t>https://doi.org/10.1177/23800844241247485</t>
  </si>
  <si>
    <t>Exploring Putative Causal Associations between Diet and Periodontal Disease Susceptibility</t>
  </si>
  <si>
    <t>S. Zeng, A. Yusufujiang, C. Zhang, C. Yang and H. Li</t>
  </si>
  <si>
    <t>https://doi.org/10.3389/fnut.2024.1273874</t>
  </si>
  <si>
    <t>Correlation between dietary factors and Parkinson's disease revealed by the analysis of Mendelian randomization</t>
  </si>
  <si>
    <t>BACKGROUND: The intricate interplay between dietary habits and the development of Parkinson's Disease (PD) has long been a subject of scientific inquiry. Mendelian Randomization (MR) emerges as a potent tool, harnessing genetic variants to infer causality in observational data. While evidence links diet to Parkinson's Disease (PD) etiology, a thorough MR exploration of dietary impacts on PD, particularly involving gut microbiota, is still emerging. METHODS: This research leverages the IEU Open GWAS project's vast GWAS database to address the knowledge gap in understanding diet's influence on PD, employing a diverse range of dietary variables. Our holistic dataset includes various foods like processed fava beans, bap, red wine, to cheese, reflecting a commitment to untangling dietary complexities in PD etiology. Advancing from initial dietary-PD associations, we innovatively explore the gut microbiota, focusing on Parabacteroides goldsteinii, in relation to bap intake and PD, employing MR. Utilizing weighted median, MR-Egger, and inverse variance weighting methods, we ensure rigorous causality assessments, meticulously mitigating pleiotropy and heterogeneity biases to uphold finding validity. RESULTS: Our findings indicate red wine (OR: 1.031; 95% CI 1.001-1.062; p = 0.044) and dried fruit consumption (OR: 2.019; 95% CI 1.052-3.875; p = 0.035) correlate with increased PD risk, whereas broad beans (OR: 0.967; 95% CI 0.939-0.996; p = 0.024) and bap intake (OR: 0.922; 95% CI 0.860-0.989; p = 0.023) show protective effects against PD. Employing MR, specifically the IVW method, revealed a significant inverse association between bap intake and gut microbiota, marked by an 8.010-fold decrease in Parabacteroides goldsteinii per standard deviation increase in bap intake (95% CI 1.005-63.818, p = 0.049). Furthermore, a connection between PD and Parabacteroides goldsteinii was observed (OR: 0.810; 95% CI 0.768-0.999; p = 0.049), suggesting a potential microbiota-mediated pathway in PD etiology. CONCLUSION: Our study links dietary habits to PD risk, showing higher PD risk with red wine and dried fruit consumption, and a protective effect from broad beans and bap. Using MR, we found bap intake inversely correlates with Parabacteroides goldsteinii in the gut, suggesting bap influences microbiota. Further, higher Parabacteroides goldsteinii levels correlate with lower PD risk, highlighting a complex interplay of diet, gut microbiome, and neurological health. These insights shed light on potential dietary interventions for PD.</t>
  </si>
  <si>
    <t>X. Zhang, Z. Wu, X. Wang, B. Xin, P. Hu, Y. Yin, S. He and M. Ren</t>
  </si>
  <si>
    <t>https://doi.org/10.3389/fnut.2024.1388732</t>
  </si>
  <si>
    <t>Causal associations between dietary factors and colorectal cancer risk: a Mendelian randomization study</t>
  </si>
  <si>
    <t>BACKGROUND: Previous epidemiological studies have found a link between colorectal cancer (CRC) and human dietary habits. However, the inherent limitations and inevitable confounding factors of the observational studies may lead to the inaccurate and doubtful results. The causality of dietary factors to CRC remains elusive. METHODS: We conducted two-sample Mendelian randomization (MR) analyses utilizing the data sets from the IEU Open GWAS project. The exposure datasets included alcoholic drinks per week, processed meat intake, beef intake, poultry intake, oily fish intake, non-oily fish intake, lamb/mutton intake, pork intake, cheese intake, bread intake, tea intake, coffee intake, cooked vegetable intake, cereal intake, fresh fruit intake, salad/raw vegetable intake, and dried fruit intake. In our MR analyses, the inverse variance weighted (IVW) method was employed as the primary analytical approach. The weighted median, MR-Egger, weighted mode, and simple mode were also applied to quality control. Heterogeneity and pleiotropic analyses were implemented to replenish the accuracy of the results. RESULTS: MR consequences revealed that alcoholic drinks per week [odds ratio (OR): 1.565, 95% confidence interval (CI): 1.068-2.293, p = 0.022], non-oily fish intake (OR: 0.286; 95% CI: 0.095-0.860; p = 0.026), fresh fruit intake (OR: 0.513; 95% CI: 0.273-0.964; p = 0.038), cereal intake (OR: 0.435; 95% CI: 0.253-0.476; p = 0.003) and dried fruit intake (OR: 0.522; 95% CI: 0.311-0.875; p = 0.014) was causally correlated with the risk of CRC. No other significant relationships were obtained. The sensitivity analyses proposed the absence of heterogeneity or pleiotropy, demonstrating the reliability of the MR results. CONCLUSION: This study indicated that alcoholic drinks were associated with an increased risk of CRC, while non-oily fish intake, fresh fruit intake, cereal intake, and dried fruit were associated with a decreased risk of CRC. This study also indicated that other dietary factors included in this research were not associated with CRC. The current study is the first to establish the link between comprehensive diet-related factors and CRC at the genetic level, offering novel clues for interpreting the genetic etiology of CRC and replenishing new perspectives for the clinical practice of gastrointestinal disease prevention.</t>
  </si>
  <si>
    <t>ID</t>
  </si>
  <si>
    <t>Authors</t>
  </si>
  <si>
    <t>Link (if appear)</t>
  </si>
  <si>
    <t>Publication year</t>
  </si>
  <si>
    <t>Title</t>
  </si>
  <si>
    <t>Abstract</t>
  </si>
  <si>
    <t>Decision</t>
  </si>
  <si>
    <t>Reasons for exclusion</t>
  </si>
  <si>
    <t>K. O. Alyahyawi, M. A. Jareebi, O. A. Iskander, J. A. Othman, A. A. Alagsam, W. S. Borik, M. Y. Qaarie and I. M. Gosadi</t>
  </si>
  <si>
    <t>Exploration of the Causal Association Between Behavioral Risk Factors and Gallstone Disease Development in Two European Ancestry Populations</t>
  </si>
  <si>
    <t>Introduction Risk factors for developing gallstones are related to disturbances in either cholesterol or bilirubin metabolism in the biliary tract. The risk of forming gallstones can be associated with chronic illnesses, dietary habits, reduced gallbladder motility, and medications. Our study aims to explore the causal relationship between multiple risk factors, including nutritional habits (cheese intake, salad intake, processed meat intake, coffee drinking), smoking behavior, overall obesity measured by body mass index (BMI), lipid biomarkers, total bilirubin and maternal diabetes mellitus (DM) and the development of gallstone disease in two different populations of European ancestry (United Kingdom Biobank (UKB) and FinnGen). Materials and methods Using publicly available genome-wide association studies (GWAS) data, we performed a two-sample Mendelian randomization (MR) to examine the association between risk factors and gallstone development. Exposures used in this study included age of smoking initiation, smoking intensity, coffee intake, cheese intake, salad intake, processed meat intake, BMI, and lipid biomarkers (cholesterol, low-density lipoproteins (LDL), triglycerides (TG), and high-density lipoproteins (HDL)). Current analyses were based on 93 single nucleotide polymorphisms (SNPs) for smoking initiation, four SNPs for smoking intensity, 65 SNPs for cheese intake, three SNPs for coffee intake, 22 SNPs for salad intake, 23 SNPs for processed meat intake, 79 SNPs for BMI, 26 SNPs for maternal DM, 89 SNPs for total bilirubin, 46 SNPs for cholesterol, 41 SNPs for LDL, 55 SNPs for TG, and 89 SNPs for HDL. The outcome in this study is gallstones/cholelithiasis. To evaluate the causal relationships between these risk factors and gallstones, two -sample MR methods were used. TwoSampleMR package in R software version 4.0.5 (R Foundation for Statistical Computing, Vienna, Austria) was used to obtain MR analyses and sensitivity analyses. Results In the UKB, genetic predispositions to smoking initiation, BMI, and total bilirubin were significantly associated with an increased risk of gallstones. The odds of gallstones would increase per 1-SD increase of genetically estimated smoking initiation (OR: 1.004, P=0.008), BMI (OR: 1.02, P&lt;0.001), and total bilirubin (OR: 1.0001, P=0.025). Conversely, genetic predispositions to cheese intake, coffee intake, cholesterol, LDL, and TG were statistically significantly associated with a decreased risk of gallstones (OR=0.99, P=0.014; OR=0.97, P=0.009; OR=0.99, P=0.006; OR=0.99, P=0.01; and OR=0.99, P&lt;0.001, respectively). In FinnGen, genetic predispositions to BMI and total bilirubin were significantly associated with an increased risk of gallstones. The odds of gallstones would increase per 1-SD increase of genetically estimated BMI (OR: 1.7, P&lt;0.001) and total bilirubin (OR: 1.02, P=0.002). Conversely, genetic predispositions to cheese intake, coffee intake, cholesterol, LDL, and TG were statistically significantly associated with a decreased risk of gallstones (OR=0.23, P=0.006; OR=0.42, P=0.041; OR=0.77, P=0.034; OR=0.88, P=0.008; and OR=0.70, P=0.005, respectively). Conclusion Genetically estimated BMI and total bilirubin levels were associated with increased risk of gallstones among the two populations while genetically estimated cheese intake, coffee intake, and cholesterol, LDL, and TG levels factors were consistently associated with reduced risk of gallstones among the two populations.</t>
  </si>
  <si>
    <t>G. H. Deng</t>
  </si>
  <si>
    <t>Causal relationship between dried fruit intake and frozen shoulder: Two-sample Mendelian randomization</t>
  </si>
  <si>
    <t>To investigate the causal relationship between dried fruit intake and frozen shoulder using Mendelian randomization (MR). Genome wide association studies were conducted to pool data and select genetic loci independently associated with dried fruit intake and frozen shoulder in people of European ancestry as instrumental variables. Three MR analyses, inverse variance weighting, weighted median and MR-Egger, were used to investigate the causal relationship between dried fruit intake and frozen shoulder. Heterogeneity and multiplicity tests were used, and sensitivity analyses were conducted using the leave-one-out method to explore the robustness of the results. The inverse variance weighting results showed an OR (95 % CI) of 0.52 (0.34-0.80), P = .003, suggesting that there is a causal relationship between dried fruit intake and frozen shoulder. And no heterogeneity and multiplicity were found by the test and sensitivity analysis also showed robust results. The present study used a two-sample MR analysis, and by analyzing and exploring the genetic data, the study showed that too little intake of dry fruits is a risk factor for developing frozen shoulder.</t>
  </si>
  <si>
    <t>Q. Feng, A. J. Grant, Q. Yang, S. Burgess, J. Bešević, M. Conroy, W. Omiyale, Y. Sun, N. Allen and B. Lacey</t>
  </si>
  <si>
    <t>Genetically Predicted Vegetable Intake and Cardiovascular Diseases and Risk Factors: An Investigation with Mendelian Randomization</t>
  </si>
  <si>
    <t>BACKGROUND: The associations between vegetable intake and cardiovascular diseases have been demonstrated in observational studies, but less sufficiently in randomized trials. Mendelian randomization has been considered a promising alternative in causal inference. The separate effects of cooked and raw vegetable intake remain unclear. This study aimed to investigate the associations between cooked and raw vegetable intake with cardiovascular outcomes using MR. METHODS: We identified 15 and 28 genetic variants statistically and biologically associated with cooked and raw vegetable intake, respectively, from previous genome-wide association studies, which were used as instrumental variables to estimate associations with coronary heart disease (CHD), stroke, heart failure (HF), and atrial fibrillation (AF). The independent effects of genetically predicted cooked and raw vegetable intake were examined using multivariable MR analysis. We performed one-sample and two-sample MR analyses and combined their results using meta-analysis. Bonferroni correction was applied for multiple comparisons. We performed two-sample MR analysis for cardiometabolic risk factors (serum lipids, blood pressure, body mass index, and glycemic traits) to explore the potential mechanisms. RESULTS: In the MR meta-analysis of 1.2 million participants, we found null evidence for associations between genetically predicted cooked and raw vegetable intake with CHD, HF, or AF. Raw vegetable intake was nominally associated with stroke (odds ratio [95% confidence interval] 0.82 [0.69-0.98] per 1 daily serving increase, p = 0.03), but this association did not pass the corrected significance level. We found consistently null evidence for associations with serum lipids, blood pressure, body mass index, or glycemic traits. CONCLUSIONS: We found null evidence for associations between genetically predicted vegetable intake with CHD, AF, HF, or cardiometabolic risk factors in this MR study. Raw vegetable intake may reduce risk of stroke, but this warrants more research. True associations between vegetable intake and CVDs cannot be completely ruled out, and future investigations are required for causal inference in nutritional research.</t>
  </si>
  <si>
    <t>S. Guo, W. Zhu, L. Yu, L. Jie, D. Tian, T. Zhao, B. Zhao and B. Zhang</t>
  </si>
  <si>
    <t>The potential causal relationship between various lifestyles and depression: a univariable and multivariable Mendelian randomization study</t>
  </si>
  <si>
    <t>BACKGROUND: Previous studies have shown that lifestyle was associated with depression. Thus, the aim of this study was to examine the causality between multiple lifestyles and depression by Mendelian randomization (MR) analysis. METHODS: The single-nucleotide polymorphisms (SNPs) of depression, alcoholic drinks per week, sleeplessness or insomnia, body mass index (BMI), mood swings, weekly usage of mobile phone in the last 3 months, beef intake, cooked vegetable intake, and "smoking status: never" were acquired from the Integrative Epidemiology Unit Open genome-wide association study database. Causal effects of eight exposure factors and depression were investigated using MR-Egger, weighted median, inverse variance weighted (IVW), simple mode, and weighted mode, and results were primarily referred to IVW. Subsequently, univariable MR (UVMR) analysis was performed on eight exposure factors and depression, separately. In addition, sensitivity analysis, including heterogeneity test, horizontal pleiotropy, and leave-one-out (LOO) methods, was conducted to evaluate the stability of MR results. Furthermore, multivariable MR (MVMR) analysis was carried out. RESULTS: UVMR analysis revealed that all eight exposure factors were causally associated with depression; alcoholic drinks per week, sleeplessness or insomnia, BMI, mood swings, weekly usage of mobile phone in the last 3 months, and cooked vegetable intake were risk factors, and beef intake and "smoking status: never" were protection factors. Heterogeneity tests revealed no heterogeneity for alcoholic drinks per week, sleeplessness or insomnia, mood swings, weekly usage of mobile phone in the last 3 months, and cooked vegetable intake. Meanwhile, there was no horizontal pleiotropy in UVMR, and LOO analysis verified that univariable analysis results were reliable. Moreover, MVMR analysis indicated that mood swings and weekly usage of mobile phone in the last 3 months were risk factors, and beef intake was a protection factor for depression when multiple factors occurred at the same time. CONCLUSION: Alcoholic drinks per week, sleeplessness or insomnia, BMI, mood swings, weekly usage of mobile phone in the last 3 months, and cooked vegetable intake were risk factors, and beef intake and "smoking status: never" were protection factors. In addition, mood swings, weekly usage of mobile phone in the last 3 months, and beef intake had a direct effect on depression when multiple factors occurred simultaneously.</t>
  </si>
  <si>
    <t>M. He, L. Huan, X. Wang, Y. Fan and J. Huang</t>
  </si>
  <si>
    <t>Nine dietary habits and risk of colorectal cancer: a Mendelian randomization study</t>
  </si>
  <si>
    <t>BACKGROUND: Epidemiological studies have provided evidence that there is an association between diet and colorectal cancer. However, the causal relationship between dietary habits and colorectal cancer remains unknown. METHODS: The UK Biobank provided summary-level genome-wide association study data for nine dietary habits, including alcohol consumption (n = 549,703), instant coffee consumption (n = 250,308), fruit consumption (n = 210,947), meat consumption (n = 210,947), full cream milk consumption (n = 41,306), sweets consumption (n = 25,521), tea consumption (n = 501,494), vegetable consumption (n = 210,947), and yogurt/ice cream consumption (n = 210,947). Additionally, data on colorectal cancer were collected, consisting of 5,567 cases and 372,016 controls. The MR analysis employed inverse variance weighted, weighted median, MR-Egger regression, and MR multivariate residuals tests. RESULTS: In the predominantly European population, a positive association was observed between vegetables (OR = 1.014, 95% CI = 1.000-1.029, p = 0.048) and an increased risk of colorectal cancer. The results for vegetable did not survive correction for multiple comparisons. However, no strong evidence was found for other dietary factors, such as alcohol (OR = 1.012, 95% CI = 0.974-1.051, p = 0.556), fruit (OR = 1.007, 95% CI = 0.986-1.029, p = 0.512), meat (OR = 1.000, 95% CI = 0.987-1.026, p = 0.968), full cream milk (OR = 1.019, 95% CI = 0.979-1.061, p = 0.357), sweets (OR = 0.998, 95% CI = 0.991-1.004, p = 0.524), and tea (OR = 1.002, 95% CI = 0.994-1.009, p = 0.672), with regards to colorectal cancer risk in the European population. CONCLUSIONS: Our study highlights the need for a more nuanced approach to dietary recommendations for CRC prevention, with greater emphasis adherence to the Mediterranean dietary pattern.</t>
  </si>
  <si>
    <t>J. Huang, Z. He, M. Xu, J. Du and Y. T. Zhao</t>
  </si>
  <si>
    <t>Socioeconomic status may affect association of vegetable intake with risk of ischemic cardio-cerebral vascular disease: a Mendelian randomization study</t>
  </si>
  <si>
    <t>BACKGROUND: Previous studies found that increasing vegetable intake benefits are reduced after adjustment for socioeconomic factors. Using genetic variation as an instrumental variable for vegetable intake and socioeconomic status, we investigated the relationship between vegetable intake and ischemic cardio-cerebral vascular diseases and focused on whether socioeconomic status was a possible confounder. METHODS: From three independent genome-wide association studies, we extracted instrumental variables reflecting raw and cooked vegetable intake, which were used to perform Mendelian randomization analysis. To evaluate the effects of socioeconomic factors on vegetable intake, univariate and multivariate Mendelian randomization analyses were performed using single nucleotide polymorphisms representing education attainment and household income reported in the literature. We also performed outlier assessment and a series of sensitivity analyses to confirm the results. RESULTS: Genetically predicted raw and cooked vegetable intake were not associated with any ischemic cardio-cerebral vascular diseases and lipid components after Bonferroni correction. Univariate Mendelian randomized analysis revealed that raw vegetable intake was positively correlated with education attainment (β = 0.04, p = 0.029) and household income (β = 0.07, p &lt; 0.001). Multivariate Mendelian randomized model showed a positive correlation between household income and raw vegetable intake (β = 0.06, p = 0.004). Socioeconomic status was closely associated with eating habits and lifestyle related to the risk of cardiovascular diseases. CONCLUSION: Genetically determined raw and cooked vegetable intake was not associated with significant benefits in terms of ischemic cardio-cerebral vascular diseases while genetically determined socioeconomic status may have an impact on vegetable intake. Socioeconomic status, which was closely associated with other eating habits and lifestyle, may affect the association between vegetable intake and ischemic cardio-cerebral vascular diseases.</t>
  </si>
  <si>
    <t>J. Huang and Z. F. Xie</t>
  </si>
  <si>
    <t>Dried fruit intake causally protects against low back pain: A Mendelian randomization study</t>
  </si>
  <si>
    <t>BackgroundLow back pain is the leading cause of years lived with disability worldwide. The aim of this study was to evaluate whether dried fruit intake causally protects against low back pain using two-sample Mendelian randomization (MR). MethodsWe obtained summary-level data for dried fruit intake (N = 421,764) from the IEU Open GWAS Project. Forty-one independent genetic variants proxied dried fruit intake. The corresponding data for low back pain were derived from the FinnGen project (13,178 cases and 164,682 controls; discovery data) and the Neale lab (5,423 cases and 355,771 controls; replication data). We conducted univariable and multivariable MR analyses. ResultsIn the univariable MR analysis, the inverse variance weighted estimate showed that greater dried fruit intake was associated with decreased risk of low back pain [odds ratio (OR) = 0.435, 95% confidence interval (CI): 0.287-0.659, P = 8.657 x 10(-5)]. Sensitivity analyses using the MR-Egger (OR = 0.078, 95% CI: 0.013-0.479, P = 0.009), maximum likelihood (OR = 0.433, 95% CI: 0.295-0.635, P = 1.801 x 10(-5)), weighted median (OR = 0.561, 95% CI: 0.325-0.967, P = 0.038) and Mendelian Randomization Pleiotropy RESidual Sum and Outlier (MR-PRESSO) (OR = 0.454, 95% CI: 0.302-0.683, P = 4.535 x 10(-4)) methods showed consistent results. No evidence of directional pleiotropy was identified according to the Egger intercept (intercept P-value = 0.065) or applying the MR-PRESSO method (global test P-value = 0.164). The replication analysis yielded similar results. The multivariable MR revealed that the inverse association between dried fruit intake and low back pain was consistent after adjustment for fresh fruit intake, body mass index, current tobacco smoking, alcohol intake frequency, total body bone mineral density, serum 25-hydroxyvitamin D levels, and vigorous physical activity. ConclusionThis MR study provides evidence to support that dried fruit intake causally protects against low back pain.</t>
  </si>
  <si>
    <t>M. A. Jareebi, D. M. Lyall, N. F. Gharawi, M. O. Shami, N. Dahas, R. F. Alfaifi, A. Hakami, M. A. Darraj, F. A. Hakami, M. H. Hakami, H. M. Almalki, Z. T. Hakami, A. Alessa and A. A. Alhazmi</t>
  </si>
  <si>
    <t>Causal Associations of Modifiable Risk Factors With Migraine: Evidence From Mendelian Randomization Analysis</t>
  </si>
  <si>
    <t>Background and objectives The exact etiology of migraine is unknown; however, it is likely a mixture of genetic and non -genetic factors including lifestyle variables like smoking and diet. This study aims to assess the causal effect of modifiable risk factors on the risk of migraine using two -sample Mendelian randomization. Materials and methods The study used publicly available genome-wide significant single nucleotide polymorphisms (SNPs). The study evaluated a diverse smoking exposure, encompassing age at smoking initiation, smoking intensity, and maternal smoking, alongside other pertinent risk factors, namely key dietary aspects, coffee consumption, BMI, and physical activity. Self -reported migraine was the outcome of the study. The genetic data for migraine were obtained from the FinnGen (Finland) and the UK Biobank (United Kingdom) cohorts. Results With sample sizes ranging from 64,949 to 632,802 for each risk factor collected from several consorts, the study included a total of 282 SNPs for all risk factors. The findings demonstrated that in the FinnGen consortium, genetically estimated dietary factors as well as BMI, were significantly associated with the risk of migraine (OR 0.765 per single unit of BMI, p = 0.011; OR 0.468 per one SD higher cheese intake, p = 0.012; OR 0.286 per one SD higher salad intake, p = 0.004, and 0.625 per one SD higher coffee consumption, p = 0.003, respectively). The results also showed that in the UK Biobank specifically, a genetically estimated history of maternal smoking was significantly associated with an elevated risk of migraine (OR=1.02, p=0.004). Conclusions The latest study implies a connection between maternal smoking and a heightened risk of migraines, whereas cheese intake, salad intake, coffee consumption, BMI, and physical activity are associated with a lower risk of migraine development.</t>
  </si>
  <si>
    <t>C. Jin, R. Li, T. Deng, Z. Lin, H. Li, Y. Yang, Q. Su, J. Wang, Y. Yang, J. Wang, G. Chen and Y. Wang</t>
  </si>
  <si>
    <t>Association between dried fruit intake and pan-cancers incidence risk: A two-sample Mendelian randomization study</t>
  </si>
  <si>
    <t>BACKGROUND: Observational studies have revealed that dried fruit intake may be associated with cancer incidence; however, confounding factors make the results prone to be disturbed. Therefore, we conducted a two-sample Mendelian randomization (MR) study to explore the causal relationship between dried fruit intake and 11 site-specific cancers. MATERIALS AND METHODS: Forty-three single nucleoside polymers (SNPs) with robust genome-wide association study (GWAS) evidence, strongly correlated with dried fruit intake, were used as instrumental variables (IVs) in this study. The summary-level genetic datasets of site-specific cancers were obtained from the Oncoarray oral cavity and oropharyngeal cancer consortium, International Lung Cancer Consortium, Breast Cancer Association Consortium (BCAC), Ovarian Cancer Association Consortium, PanScan1, and GWAS of other scholars. We analyzed the causality between dried fruit intake and 11 site-specific cancers using the inverse-variance-weighted (IVW) and weighted median (WM) methods. For the results of the MR analysis, Cochran's Q test was used to check for heterogeneity, and multiplicative random effects were used to evaluate the heterogeneity further. Gene pleiotropy was tested using MR-Egger regression and MR-PRESSO methods. In addition, the main results of this study were validated by using the summary statistical data from the FinnGen and UK Biobank databases, and adjusted body mass index (BMI), years of education, fresh fruit intake, and vitamin C using multivariable MR analysis to ensure the stability of the research results. RESULTS: The evidence from IVW analyses showed that each increase of dried fruit intake by one standard deviation was statistically significantly associated with 82.68% decrease of oral cavity/pharyngeal cancer incidence risk (P = 0.0131), 67.01% decrease of lung cancer incidence risk (P = 0.0011), 77% decrease of squamous cell lung cancer incidence risk (P = 0.0026), 53.07% decrease of breast cancer incidence risk (P = 4.62 × 10(-5)), 39.72% decrease of ovarian cancer incidence risk (P = 0.0183), 97.26% decrease of pancreatic cancer incidence risk (P = 0.0280), 0.53% decrease of cervical cancer incidence risk (P = 0.0482); however, there was no significant effect on lung adenocarcinoma (P = 0.4343), endometrial cancer (P = 0.8742), thyroid cancer (P = 0.6352), prostate cancer (P = 0.5354), bladder cancer (P = 0.8996), and brain cancer (P = 0.8164). In the validation part of the study results, the causal relationship between dried fruit intake and lung cancer (P = 0.0043), squamous cell lung cancer (P = 0.0136), and breast cancer (P = 0.0192) was determined. After adjusting for the potential impact of confounders, the causal relationship between dried fruit intake and lung cancer (P = 0.0034), squamous cell lung cancer (P = 0.046), and breast cancer (P = 0.0001) remained. The sensitivity analysis showed that our results were stable and reliable. CONCLUSION: The intake of dried fruits may have a protective effect against some site-specific cancers. Therefore, health education and a reasonable adjustment of dietary proportions may help in the primary prevention of cancer.</t>
  </si>
  <si>
    <t>A. Julià, S. H. Martínez-Mateu, E. Domènech, J. D. Cañete, C. Ferrándiz, J. Tornero, J. P. Gisbert, A. Fernández-Nebro, E. Daudén, M. Barreiro-de Acosta, C. Pérez, R. Queiró, F. J. López-Longo, J. L. S. Carazo, J. L. Mendoza, M. Alpéri, C. Montilla, J. J. P. Venegas, F. Muñoz, S. Castañeda, A. Aterido, M. L. Lasanta, S. Marsal, E. Fonseca, J. Rodríguez, P. Carreira, V. García, J. A. Pinto-Tasende, L. Puig, E. Ricart, F. Blanco, J. Gratacós, R. Blanco, V. M. Taboada, E. Fernández, P. Unamuno, I. González, F. G. García, R. Sanmartí, A. Gutiérrez, A. Olivé, J. L. L. Estebaranz, E. García-Planella, J. C. Torre-Alonso, J. L. Andreu, D. M. Ramírez, B. Fernandez, M. A. A. Zamorano, P. de la Cueva, P. N. Mateu, P. Vela, F. Vanaclocha, H. Coromines, S. Muñoz, J. M. Nolla, E. Herrera, C. Gonzalez, J. L. M. de la Fuente, M. Vera, A. Erra, D. Roig, A. Zea, M. E. Comas, C. Tomàs, P. Zarco, J. M. Pego, C. Saro, A. Gonzalez, M. Freire, A. García, E. Díez, G. Salvador, C. Díaz, S. Sanchez, A. W. Dominguez, J. A. Mosquera, J. Ramírez, E. R. Almaraz, N. Palau, R. Tortosa, M. López, A. Pluma, A. Aterido and I. Consortium</t>
  </si>
  <si>
    <t>Food groups associated with immune-mediated inflammatory diseases: a Mendelian randomization and disease severity study</t>
  </si>
  <si>
    <t>Background/Objectives Immune-mediated inflammatory diseases (IMIDs) are prevalent diseases. There is, however, a lack of understanding of the link between diet and IMIDs, how much dietary patterns vary between them and if there are food groups associated with a worsening of the disease. Subjects/Methods To answer these questions we analyzed a nation-wide cohort of n = 11,308 patients from six prevalent IMIDs and 2050 healthy controls. We compared their weekly intake of the major food categories, and used a Mendelian randomization approach to determine which dietary changes are caused by disease. Within each IMID, we analyzed the association between food frequency and disease severity. Results After quality control, n = 11,230 recruited individuals were used in this study. We found that diet is profoundly altered in all IMIDs: at least three food categories are significantly altered in each disease (P &lt; 0.05). Inflammatory bowel diseases showed the largest differences compared to controls (n &gt;= 8 categories, P &lt; 0.05). Mendelian randomization analysis supported that some of these dietary changes, like vegetable reduction in Crohn's Disease (P = 2.5 x 10(-10), OR(95% CI) = 0.73(0.65, 0.80)), are caused by the disease. Except for Psoriatic Arthritis and Systemic Lupus Erythematosus, we have found &gt;= 2 food groups significantly associated with disease severity in the other IMIDs (P &lt; 0.05). Conclusions This cross-disease study demonstrates that prevalent IMIDs are associated to a significant change in the normal dietary patterns. This variation is highly disease-specific and, in some cases, it is caused by the disease itself. Severity in IMIDs is also associated with specific food groups. The results of this study underscore the importance of studying diet in IMIDs.</t>
  </si>
  <si>
    <t>Z. Junhai, Z. Suqi, D. Beiying, T. Zongbiao, L. Chuan, W. Yanrui and D. Weiguo</t>
  </si>
  <si>
    <t>Causal relationships between dietary habits and Barrett's esophagus risk: a univariable and multivariable Mendelian randomization study</t>
  </si>
  <si>
    <t>Aims: Dietary habits are reported to be associated with Barrett's esophagus (BE) risk; however, whether there is a causal relationship remains controversial. Here, we systematically examined the causal effects of genetically predicted dietary habits on BE risk through a Mendelian randomization (MR) analysis approach. Methods: Data for exposures were obtained from the UK Biobank (UKB), while the summary-level data for outcomes were obtained from a large sample-size GWAS meta-analysis. Genetic variants associated with 17 ordinary dietary habits at the genome-wide significance level were regarded as instrumental variables (IVs). Univariable and multivariable MR analyses were conducted to explore the causal relationships between dietary habits and BE risk. Sensitivity analyses were implemented to evaluate robustness of the results and determine the potential pleiotropy bias. Results: Univariable MR (UVMR) analysis showed that genetic predisposition to alcohol intake frequency, cooked vegetable intake, beef intake, bread intake, fresh fruit intake, salad/raw vegetable intake, and dried fruit intake were associated with BE risk, with all P values &lt;0.05. After adjusting confounders, the effects of four dietary habits on BE risk persisted; multivariable MR (MVMR) analysis revealed that alcohol intake frequency (adjusted odds ratio (OR) = 1.74 (1.34, 2.27); P = 3.42 × 10(-5)) was causally associated with higher BE risk, the cooked vegetable intake (adjusted OR = 2.64 (1.16, 5.97); P = 0.02) had suggestively increased BE risk, while higher consumption of bread (adjusted OR = 0.54 (0.32-0.91); P = 0.02) and fresh fruit (adjusted OR = 0.34 (0.15, 0.77); P = 0.01) were suggestively associated with lower BE risk. Conclusions: These MR analyses demonstrate evidence of causal relationships between dietary habits and BE risk. These findings provide new insights into targeted dietary intervention strategies for BE prevention.</t>
  </si>
  <si>
    <t>W. Lai, G. Li, D. Peng, N. Li and W. Wang</t>
  </si>
  <si>
    <t>Mendelian randomization study reveals the relationship between dietary factors and respiratory diseases</t>
  </si>
  <si>
    <t>The existence of causal relationship between dietary factors and respiratory diseases is uncertain. We comprehensively investigated the association between dietary factors and respiratory diseases by using Mendelian randomization (MR). Genetic variants linked to dietary factors were selected as instrumental variables with genome-wide significance. These instrumental variables were obtained from large GWAS databases. These databases include Biobank, the FinnGen study, and other large consortia. We used multivariate MR analyses to control the effects of smoking and education. Median analysis was conducted to evaluate whether body mass index (BMI) played a role in dietary factors in respiratory diseases. Dried fruit intake was found to be associated with a decreased risk of chronic obstructive pulmonary disease (COPD) (OR: 0.211; 95% CI 0.117-0.378; P &lt; 0.001) and asthma (OR: 0.539; 95% CI 0.357-0.815; P = 0.003). Conversely, pork intake was associated with an increased risk of international pharmaceutical federation (IPF) (OR: 1.051*10(2), 95% CI 4.354-2.56*10(3), P = 0.004). However, no significant associations were observed between the 20 dietary factors and obstructive sleep apnea (OSA). In addition, multivariate MR analyses showed that the above results were unchanged in smoking and nonsmoking populations, while the effect of dried fruit intake on asthma was significantly attenuated after corrective education. The results of the mediator variable analysis indicated that BMI could serve as a mediator of the above results. This study found that dried fruits slowed the progression of COPD and asthma, while pork promoted IPF. However, no effect of dietary factors on OSA was found. Meanwhile, we showed that the above results were unchanged in smoking and non-smoking populations. In contrast, education could influence the role of diet on asthma, and BMI could be used as a mediating variable to influence the above results.</t>
  </si>
  <si>
    <t>F. Li, W. Yang, S. Sun, W. He, S. Xu, B. Han and M. Ma</t>
  </si>
  <si>
    <t>https://www.scopus.com/inward/record.uri?eid=2-s2.0-85183675568&amp;doi=10.1002%2ffsn3.3931&amp;partnerID=40&amp;md5=27f57658c204079e793124ab4386a3ae</t>
  </si>
  <si>
    <t>Dietary factors and hypertension: A Mendelian randomization analysis</t>
  </si>
  <si>
    <t>This research explores the causal link between dietary habits and hypertension through Mendelian randomization, providing distinct perspectives on the role of diet in addressing this worldwide health issue. Utilizing instrumental variables, we applied advanced statistical methods, including the weighted median, inverse variance weighted, and MR-Egger, to evaluate the impact of 17 dietary elements on hypertension. These elements ranged across various food groups, such as fruits, meats, vegetables, and beverages, both alcoholic and nonalcoholic. Our results identified a significant positive association of hypertension with weekly alcohol consumption (OR 1.340 [95%CI 1.0001 to 1.794], p =.0499) and poultry intake (OR 2.569 [95%CI 1.305 to 5.057], p =.00631). Conversely, a negative association was observed with lamb/mutton (OR 0.550 [95%CI 0.343 to 0.881], p =.0129), cheese (OR 0.650 [95%CI 0.519 to 0.813], p =.000159), tea (OR 0.797 [95%CI 0.640 to 0.993], p =.0433), cereal (OR 0.684 [95%CI 0.494 to 0.948], p =.0227), and dried fruit consumption (OR 0.492 [95%CI 0.343 to 0.707], p =.000127). These findings suggest that dietary modifications, such as increasing consumption of specific foods like cheese, lamb/mutton, tea, cereals, and dried fruits, could potentially reduce hypertension risk while reducing intake of alcoholic beverages and poultry might mitigate its increase. No direct causal relationships were established between other dietary factors and hypertension. The study highlights the importance of specific dietary modifications for the prevention and control of hypertension, making a substantial contribution to public health tactics and recommendations. © 2024 The Authors. Food Science &amp; Nutrition published by Wiley Periodicals LLC.</t>
  </si>
  <si>
    <t>W. Li, C. Liu and S. Chen</t>
  </si>
  <si>
    <t>Associations between genetically determined dietary factors and risk of autism spectrum disorder: a Mendelian randomization study</t>
  </si>
  <si>
    <t>BACKGROUND: Existing studies confirm the importance of dietary factors in developing autism spectrum disorder (ASD) and disease progression. Still, these studies are primarily observational, and their causal relationship is unknown. Moreover, due to the extensive diversity of food types, the existing research remains somewhat limited in comprehensiveness. The inconsistency of the results of some studies is very disruptive to the clinic. This study infers a causal relationship between dietary factors on the risk of developing ASD from a genetic perspective, which may lead to significant low-cost benefits for children with ASD once the specificity of dietary factors interfering with ASD is confirmed. METHODS: We performed a two-sample Mendelian randomization (MR) analysis by selecting single nucleotide polymorphisms (SNPs) for 18 common dietary factors from the genome-wide association study (GWAS) database as instrumental variables (IVs) and obtaining pooled data for ASD (Sample size = 46,351) from the iPSYCH-PGC institution. Inverse variance weighted (IVW) was used as the primary analytical method to estimate causality, Cochran's Q test to assess heterogeneity, the Egger-intercept test to test for pleiotropy and sensitivity analysis to verify the reliability of causal association results. RESULTS: The MR analysis identified four dietary factors with potential causal relationships: poultry intake (fixed-effects IVW: OR = 0.245, 95% CI: 0.084-0.718, P &lt; 0.05), beef intake (fixed-effects IVW: OR = 0.380, 95% CI: 0.165-0.874, P &lt; 0.05), cheese intake (random-effects IVW: OR = 1.526, 95% CI: 1.003-2.321, P &lt; 0.05), and dried fruit intake (fixed-effects IVW: OR = 2.167, 95% CI: 1.342-3.501, P &lt; 0.05). There was no causal relationship between the remaining 14 dietary factors and ASD (P &gt; 0.05). CONCLUSION: This study revealed potential causal relationships between poultry intake, beef intake, cheese intake, dried fruit intake, and ASD. Poultry and beef intake were associated with a reduced risk of ASD, while cheese and dried fruit intake were associated with an increased risk. Other dietary factors included in this study were not associated with ASD.</t>
  </si>
  <si>
    <t>X. Li, N. Wang, C. Wang, X. Chen, S. Chen and W. Jiang</t>
  </si>
  <si>
    <t>Causal effects of dietary habits on COVID-19 susceptibility, hospitalisation and severity: a comprehensive Mendelian randomisation study</t>
  </si>
  <si>
    <t>This study aimed to investigate the causal effect of dietary habits on COVID-19 susceptibility, hospitalisation and severity. We used data from a large-scale diet dataset and the COVID-19 Host Genetics Initiative to estimate causal relationships using Mendelian randomisation. The inverse variance weighted (IVW) method was used as the main analysis. For COVID-19 susceptibility, IVW estimates indicated that milk (OR: 0·82; 95 % CI (0·68, 0·98); P = 0·032), unsalted peanut (OR: 0·53; 95 % CI (0·35, 0·82); P = 0·004), beef (OR: 0·59; 95 % CI (0·41, 0·84); P = 0·004), pork (OR: 0·63; 95 % CI (0·42, 0·93); P = 0·022) and processed meat (OR: 0·76; 95 % CI (0·63, 0·92); P = 0·005) were causally associated with reduced COVID-19 susceptibility, while coffee (OR: 1·23; 95 % CI (1·04, 1·45); P = 0·017) and tea (OR: 1·17; 95 % CI (1·05, 1·31); P = 0·006) were causally associated with increased risk. For COVID-19 hospitalisation, beef (OR: 0·51; 95 % CI (0·26, 0·98); P = 0·042) showed negative correlations, while tea (OR: 1·54; 95 % CI (1·16, 2·04); P = 0·003), dried fruit (OR: 2·08; 95 % CI (1·37, 3·15); P = 0·001) and red wine (OR: 2·35; 95 % CI (1·29, 4·27); P = 0·005) showed positive correlations. For COVID-19 severity, coffee (OR: 2·16; 95 % CI (1·25, 3·76); P = 0·006), dried fruit (OR: 1·98; 95 % CI (1·16, 3·37); P = 0·012) and red wine (OR: 2·84; 95 % CI (1·21, 6·68); P = 0·017) showed an increased risk. These findings were confirmed to be robust through sensitivity analyses. Our findings established a causal relationship between dietary habits and COVID-19 susceptibility, hospitalisation and severity.</t>
  </si>
  <si>
    <t>W.-Z. Liao, Z.-Y. Zhou, J.-P. Chen, M.-H. Wen, Z.-H. Yang, S.-A. Li, W.-J. Guan and X.-G. Guo</t>
  </si>
  <si>
    <t>Fruit Intake and Respiratory Health: Results from Mendelian Randomization</t>
  </si>
  <si>
    <t>W. Z. Liao, X. F. Zhu, Q. Xin, Y. T. Mo, L. L. Wang, X. P. He and X. G. Guo</t>
  </si>
  <si>
    <t>Fruit Intake and Alzheimer's Disease: Results from Mendelian Randomization</t>
  </si>
  <si>
    <t>Alzheimer's disease (AD) is the leading cause of dementia in old age, recognized as a global health priority. To explore causal effects of fresh fruit intake and dried fruit intake on AD liability, this study utilized GWAS from the UK Biobank and FinnGen to conduct Mendelian randomization (MR) analysis, and used inverse variance weighted (IVW), MR-Egger, and weighted median approaches for MR estimates, and visual inspections judged result stability. Results suggested little evidence of a potential causal relationship between fresh fruit intake and AD (OR=0.97, 95%CI=0.50-1.91, P=0.939), while significant, robust causality was indicated between dried fruit intake and AD (OR=4.09, 95%CI=2.07-8.10, P&lt;0.001). Stability evaluations showed no heterogeneity or pleiotropy affecting interpretability and credibility of primary analyses. In conclusion, we strengthened evidence for positive causality from dried fruit intake to AD liability, with causality from fresh fruit intake on AD risk was not demonstrated.</t>
  </si>
  <si>
    <t>Y. Lin, C. Zhou, Y. Wu, H. Chen, L. Xie and X. Zheng</t>
  </si>
  <si>
    <t>Mendelian randomization analysis reveals fresh fruit intake as a protective factor for urolithiasis</t>
  </si>
  <si>
    <t>OBJECTIVE: Previous studies have proposed that food intakes are associated with the risk of urolithiasis. Here, we conducted a two-sample Mendelian randomization (MR) study to evaluate the causal effects of different food intakes on urolithiasis. METHODS: Independent genetic variants associated with different food intakes at a genome-wide significant level were selected from summary-level statistics of genome-wide association studies from the UK Biobank. The association of these instrumental variables with urolithiasis was studied in a cohort from FinnGen Consortium. RESULTS: Among the 15 studied food intake exposures, tea intake (odds ratio [OR] = 0.433, 95% confidence interval [CI] = 0.281-0.667, p value = 1.470 × 10(-4)) and fresh fruit intake (OR = 0.358, 95% CI = 0.185-0.694, p value = 0.002) were found to significantly reduce the risk of the calculus of kidney and ureter. The association remained consistent in the sensitivity analyses. After adjusting for the effects of vitamin D and vitamin C, fresh fruit intake remained the reverse causal association with the calculus of kidney and ureter. CONCLUSIONS: Genetically proxied fresh fruit intake is causally associated with a reduced risk of the calculus of kidney and ureter.</t>
  </si>
  <si>
    <t>S. Liu, X. Lv, X. Deng, R. Lai, J. Du and C. Wang</t>
  </si>
  <si>
    <t>Diet and risk of low back pain: a Mendelian randomization analysis</t>
  </si>
  <si>
    <t>PURPOSE: Previous epidemiological and other studies have shown an association between diet and low back pain (LBP). This study aimed to investigate the causal relationship between diet and LBP using a Mendelian randomization (MR) approach. METHODS: The three main methods in this study were weighted median, MR-Egger, and inverse variance weighting (IVW). We utilized MR-PRESSO to eliminate abnormal SNPs. Additionally, tests for pleiotropy and heterogeneity were conducted. Utilizing IVW and MR-Egger's Cochran's Q test, heterogeneity was evaluated. MR-Egger intercepts were used in pleiotropy tests. A leave-one-out analysis was also used to evaluate the stability of the study's findings. RESULTS: The frequency of alcohol intake was associated with an increased risk of LBP. Increased processed meat intake, dried fruit intake, cereal intake, and tea intake were causally associated with a decreased risk of LBP (alcohol intake frequency: odds ratio (OR) = 1.28; 95% confidence interval (CI), 1.11-1.47; P = 0.0006; processed meat intake: OR = 0.60, 95%CI 0.39-0.92, P = 0.019; dried fruit intake: OR = 0.43, 95%CI 0.29-0.66, P = 0.00008; cereal intake: OR = 0.62, 95%CI 0.42-0.92, P = 0.018; tea intake: OR = 0.75, 95%CI 0.58-0.97, P = 0.029). Heterogeneity and pleiotropy were also not found in the sensitivity analysis. The leave-one-out analysis also showed more robust results. Other dietary intakes were not causally associated with LBP. CONCLUSIONS: This two-sample MR study found that frequency of alcohol intake was associated with an increased risk of LBP, and intake of processed meat, dried fruit, cereals, and tea was associated with a decreased risk of LBP. Moreover, no causal relationship was found with LBP in the other 13 diets.</t>
  </si>
  <si>
    <t>X. Liu, Y. Yu, L. Hou, Y. Yu, Y. Wu, S. Wu, Y. He, Y. Ge, Y. Wei, Q. Luo, F. Qian, Y. Feng, H. Li and F. Xue</t>
  </si>
  <si>
    <t>Association between dietary habits and the risk of migraine: a Mendelian randomization study</t>
  </si>
  <si>
    <t>OBJECTIVE: The important contribution of dietary triggers to migraine pathogenesis has been recognized. However, the potential causal roles of many dietary habits on the risk of migraine in the whole population are still under debate. The objective of this study was to determine the potential causal association between dietary habits and the risk of migraine (and its subtypes) development, as well as the possible mediator roles of migraine risk factors. METHODS: Based on summary statistics from large-scale genome-wide association studies, we conducted two-sample Mendelian randomization (MR) and bidirectional MR to investigate the potential causal associations between 83 dietary habits and migraine and its subtypes, and network MR was performed to explore the possible mediator roles of 8 migraine risk factors. RESULTS: After correcting for multiple testing, we found evidence for associations of genetically predicted coffee, cheese, oily fish, alcohol (red wine), raw vegetables, muesli, and wholemeal/wholegrain bread intake with decreased risk of migraine, those odds ratios ranged from 0.78 (95% CI: 0.63-0.95) for overall cheese intake to 0.61 (95% CI: 0.47-0.80) for drinks usually with meals among current drinkers (yes + it varies vs. no); while white bread, cornflakes/frosties, and poultry intake were positively associated with the risk of migraine. Additionally, genetic liability to white bread, wholemeal/wholegrain bread, muesli, alcohol (red wine), cheese, and oily fish intake were associated with a higher risk of insomnia and (or) major depression disorder (MDD), each of them may act as a mediator in the pathway from several dietary habits to migraine. Finally, we found evidence of a negative association between genetically predicted migraine and drinking types, and positive association between migraine and cups of tea per day. SIGNIFICANCE: Our study provides evidence about association between dietary habits and the risk of migraine and demonstrates that some associations are partly mediated through one or both insomnia and MDD. These results provide new insights for further nutritional interventions for migraine prevention.</t>
  </si>
  <si>
    <t>Z. Liu, S. Liu, P. Song and Y. Jiao</t>
  </si>
  <si>
    <t>Mendelian randomization study on the causal relationship between food and cholelithiasis</t>
  </si>
  <si>
    <t>BACKGROUND: Cholelithiasis, commonly referred to as gallstones, is a prevalent medical condition influenced by a combination of genetic factors, lifestyle choices, and dietary habits. Specific food items have been associated with an increased susceptibility to cholelithiasis, whereas others seem to offer a protective effect against its development. METHODS: In this study, we conducted a Mendelian randomization (MR) analysis using a large-scale genetic dataset comprising individuals with European ancestry to explore the potential causal relationship between diet and cholelithiasis. The analysis incorporated 17 food-related variables, which were considered as potential factors influencing the occurrence of this condition. RESULTS: Our findings indicate that a higher consumption of cooked vegetables, dried fruit, and oily fish is associated with a reduced risk of cholelithiasis. Conversely, a higher consumption of lamb is associated with an increased risk of developing the condition. Importantly, these associations proved robust to sensitivity and heterogeneity tests, and the pleiotropic test results further supported the hypothesis of a causal relationship between diet and cholelithiasis. CONCLUSION: Through our study, we provide compelling evidence for the existence of a causal relationship between diet and cholelithiasis. Adopting a dietary pattern enriched with cooked vegetables, dried fruit, and oily fish, while minimizing lamb intake, may contribute to the prevention of cholelithiasis. Recognizing diet as a modifiable risk factor in the prevention and management of this condition is of paramount importance, and our study offers valuable insights in this regard.</t>
  </si>
  <si>
    <t>X. Lv, F. Liang, S. Liu, X. Deng, R. Lai, J. Du and J. Luo</t>
  </si>
  <si>
    <t>Causal relationship between diet and knee osteoarthritis: A Mendelian randomization analysis</t>
  </si>
  <si>
    <t>BACKGROUND: Knee osteoarthritis (KOA) is a common disabling joint disease that affects millions of people worldwide. Diet may play a role in the etiology and progression of KOA, but evidence for a causal relationship is limited. We aimed to investigate the causal impact of dietary intake on KOA risk using Mendelian randomization (MR). METHODS: We used summary-level data from genome-wide association studies (GWAS) including dietary intake (n = 335, 394-462, 342), and KOA (n = 403, 124). We selected 6-77 genetic variants as instrumental variables for 18 dietary factors, including processed meat, poultry, beef, oily fish, non-oily fish, pork, lamb, frequency of alcohol intake, alcoholic beverages, tea, coffee, dried fruit, cereals, cheese, bread, cooked vegetables, salad/raw vegetables, and fresh fruit. We performed univariate and multivariate MR analyses to estimate the causal effect of each dietary factor on KOA risk. We also performed some sensitivity analyses to assess the validity of the MR hypothesis. RESULTS: We found that higher coffee intake was associated with increased KOA risk, whereas higher intake of dried fruits, grains, cheese, and oily fish was associated with reduced KOA risk. After multivariate adjustment, we found that coffee and oily fish intake may affect KOA through obesity, body mass index (BMI), diabetes, hypertension, and prolonged standing. Sensitivity analyses did not reveal any evidence of pleiotropy. CONCLUSIONS: Our study provides new causal evidence that dietary intake may influence KOA risk. Specifically, we suggest that increased intake of dried fruits, grains, cheese, and oily fish and decreased coffee intake may be beneficial in preventing and mitigating KOA. further studies are needed to elucidate the underlying mechanisms and to confirm our findings in different populations.</t>
  </si>
  <si>
    <t>X. Mao, C. Huang, Y. Wang, S. Mao, Z. Li, W. Zou and Z. Liao</t>
  </si>
  <si>
    <t>Association between Dietary Habits and Pancreatitis among Individuals of European Ancestry: A Two-Sample Mendelian Randomization Study</t>
  </si>
  <si>
    <t>Dietary factors are believed to potentially influence the risk of pancreatitis. Here, we systematically investigated the causal relationships between dietary habits and pancreatitis by using two-sample Mendelian randomization (MR). Large-scale genome-wide association study (GWAS) summary statistics for dietary habits were obtained from the UK Biobank. GWAS data for acute pancreatitis (AP), chronic pancreatitis (CP), alcohol-induced AP (AAP) and alcohol-induced CP (ACP) were from the FinnGen consortium. We performed univariable and multivariable MR analyses to evaluate the causal association between dietary habits and pancreatitis. Genetically driven alcohol drinking was associated with increased odds of AP, CP, AAP and ACP (all with p &lt; 0.05). Genetic predisposition to higher dried fruit intake was associated with reduced risk of AP (OR = 0.280, p = 1.909 × 10(-5)) and CP (OR = 0.361, p = 0.009), while genetic predisposition to fresh fruit intake was associated with reduced risk of AP (OR = 0.448, p = 0.034) and ACP (OR = 0.262, p = 0.045). Genetically predicted higher consumption of pork (OR = 5.618, p = 0.022) or processed meat (OR = 2.771, p = 0.007) had a significant causal association with AP, and genetically predicted higher processed meat intake increased the risk of CP (OR = 2.463, p = 0.043). Our MR study showed that fruit intake may be protective against pancreatitis, whereas dietary intake of processed meat has potential adverse impacts. These findings may inform prevention strategies and interventions directed toward dietary habits and pancreatitis.</t>
  </si>
  <si>
    <t>Y. Pan, J. Su, S. Qian and G. Xu</t>
  </si>
  <si>
    <t>Impact of habitual intake of glucosamine, fresh fruit, and tea on the risk of urolithiasis: A two-sample Mendelian randomization study</t>
  </si>
  <si>
    <t>Dietary patterns have a significant impact on the occurrence of urolithiasis. This study aimed to investigate the causal relationships between the consumption of glucosamine, fresh fruits, and tea, and the predisposition to urinary stones using a Mendelian randomization (MR) approach. Genetic proxies for these dietary factors were obtained from the UK Biobank, while the summary data for urolithiasis genome-wide association analyses were sourced from the FinnGen consortium. Five MR methodologies, namely inverse variance weighted (IVW), MR-Egger regression, weighted median, weighted mode, and simple mode, were employed in the analysis. To validate the findings, sensitivity evaluations such as the MR-PRESSO disruption test and Cochran Q test for heterogeneity were performed. The IVW method showed that glucosamine consumption had a strong inverse association with urolithiasis risk (Odds Ratio [OR] = 0.006, 95% Confidence Interval [CI] 0.0001-0.287, P = .009), surpassing the associations of fresh fruits (OR = 0.464, 95% CI 0.219-0.983, P = .045) and tea (OR = 0.550, 95% CI 0.345-0.878, P = .012). These findings were consistent when verified using alternative MR techniques, and the sensitivity analyses further supported their credibility. The results of this MR analysis demonstrate that regular consumption of glucosamine, fresh fruits, and tea is inversely correlated with the risk of developing urolithiasis.</t>
  </si>
  <si>
    <t>S. N. Wang, L. Pan, R. Wu, Y. Q. Shao, M. R. Xue, H. Zhu, W. W. Min, X. Y. Zheng, Y. K. Liang and M. Q. Zhu</t>
  </si>
  <si>
    <t>Oily fish and raw vegetable consumption can decrease the risk of AQP4-positive neuromyelitis optica spectrum disorders: a Mendelian-randomization study</t>
  </si>
  <si>
    <t>Neuromyelitis optica spectrum disorders (NMOSD) are severe inflammatory disorders of the central nervous system targeting aquaporin-4 (AQP4). The risk factors for NMOSD remain to be determined, though they may be related to diet and nutrition. This study aimed to explore the possibility of a causal relationship between specific food intake and AQP4-positive NMOSD risk. The study followed a two-sample Mendelian randomization (MR) design. Genetic instruments and self-reported information on the intake of 29 types of food were obtained from a genome-wide association study (GWAS) on 445,779 UK Biobank participants. A total of 132 individuals with AQP4-positive NMOSD and 784 controls from this GWAS were included in our study. The associations were evaluated using inverse-variance-weighted meta-analysis, weighted-median analysis, and MR-Egger regression. A high consumption of oily fish and raw vegetables was associated with a decreased risk of AQP4-positive NMOSD (odds ratio [OR] = 1.78 x 10(-16), 95% confidence interval [CI] = 2.60 x 10(-25)-1.22 x 10(-7), p = 0.001; OR = 5.28 x 10(-6), 95% CI = 4.67 x 10(-11)-0.598, p = 0.041, respectively). The results were consistent in the sensitivity analyses, and no evidence of directional pleiotropy was observed. Our study provides useful implications for the development of AQP4-positive NMOSD prevention strategies. Further research is needed to determine the exact causal relationship and mechanisms underlying the association between specific food intake and AQP4-positive NMOSD.</t>
  </si>
  <si>
    <t>X. Wang, L. Chen, R. Cao, R. Ma, Y. Liu, Q. Zhao and Y. Du</t>
  </si>
  <si>
    <t>Associations of 10 dietary habits with breast cancer: a Mendelian randomization study</t>
  </si>
  <si>
    <t>INTRODUCTION: Epidemiological studies have revealed a link between dietary habits and the breast cancer risk. The causality of the association between food consumption and breast cancer requires further investigation. METHODS: Using Mendelian randomization, we assessed the causal effects of 10 dietary habits on the risks of breast cancer and its subtypes (estrogen receptor [ER]  +  and ER- breast cancer). We obtained dietary pattern data in 2018 (number of single-nucleotide polymorphisms [SNPs]  =  9,851,867) and breast cancer data in 2017 (number of SNPs  =  10,680,257) from IEU OpenGWAS. Rigorous sensitivity analyses were conducted to ensure that the study results were credible and robust. RESULTS: We identified that genetic predisposition to higher dried fruit intake was linked to a reduced risk of overall breast cancer (inverse variance-weighted [IVW] odds ratio [OR] = 0.55; 95% confidence interval [CI]: 0.43-0.70; p = 1.75 × 10(-6)), ER+ breast cancer (IVW OR = 0.62; 95% CI: 0.47-0.82; p = 8.96 × 10(-4)) and ER- breast cancer (IVW OR = 0.48; 95% CI: 0.34-0.68; p = 3.18 × 10(-5)), whereas genetic predisposition to more oily fish intake was linked to a lower risk of ER+ breast cancer (IVW OR = 0.73; 95% CI: 0.53-0.99; p = 0.04). DISCUSSION: Our findings suggest that a genetic predisposition for dried fruit and oily fish consumption may be protective against breast cancer; however, further investigation is required.</t>
  </si>
  <si>
    <t>Z. Xie and Y. Qin</t>
  </si>
  <si>
    <t>Is diet related to osteoarthritis? A univariable and multivariable Mendelian randomization study that investigates 45 dietary habits and osteoarthritis</t>
  </si>
  <si>
    <t>BACKGROUND: Diet is a safe intervention for many chronic diseases as a modifiable lifestyle. However, the potential causal effect of many dietary intake habits on the risk of osteoarthritis has not been fully understood. The purpose of this study was to reveal the potential causal relationship of 45 genetically predicted dietary intakes with osteoarthritis and its subtypes. METHODS: Data on 45 dietary intakes were obtained from the UK Biobank study of approximately 500,000 participants, and data on six osteoarthritis-related phenotypes were obtained from the Genetics of Osteoarthritis Consortium study of 826,690 participants. We performed univariable Mendelian randomization (MR), multivariable MR and linkage disequilibrium score regression (LDSC) analyses. RESULTS: In univariate analyses, 59 potential associations between diet and osteoarthritis were found. After false discovery rate (FDR) correction and sensitivity analyses, 23 reliable causal evidence were identified. In multivariate analyses, controlling separately for the effects of body mass index, total body bone mineral density, and smoking status, eight robust causal relationships remained: Muesli intake was negatively associated with knee osteoarthritis, spine osteoarthritis and total knee replacement. Dried fruit intake had a negative association with osteoarthritis of knee and total knee replacement. Eating cheese may reduce the risk of osteoarthritis in the knee and spine. And alcohol usually taken with meals was associated with a reduced risk of total knee replacement. LDSC analyses showed significant genetic correlations between all exposures and their corresponding outcomes, respectively, in these eight causal relationships. CONCLUSION: Evidence of dietary effects on osteoarthritis is provided in our study, which has important implications for the prevention, management, and intervention of osteoarthritis in common sites through rational dietary modification.</t>
  </si>
  <si>
    <t>J. Xu, S. Li, Y. Zeng, H. Si, Y. Wu, S. Zhang and B. Shen</t>
  </si>
  <si>
    <t>Assessing the Association between Important Dietary Habits and Osteoporosis: A Genetic Correlation and Two-Sample Mendelian Randomization Study</t>
  </si>
  <si>
    <t>OBJECTIVE: Osteoporosis (OP) is the most common bone disease. The genetic and metabolic factors play important roles in OP development. However, the genetic basis of OP is still elusive. The study aimed to explore the relationships between OP and dietary habits. METHODS: This study used large-scale genome-wide association study (GWAS) summary statistics from the UK Biobank to explore potential associations between OP and 143 dietary habits. The GWAS summary data of OP included 9434 self-reported OP cases and 444,941 controls, and the GWAS summary data of the dietary habits included 455,146 participants of European ancestry. Linkage disequilibrium score regression (LDSC) was used to detect the genetic correlations between OP and each of the 143 dietary habits, followed by Mendelian randomization (MR) analysis to further assess the causal relationship between OP and candidate dietary habits identified by LDSC. RESULTS: The LDSC analysis identified seven candidate dietary habits that showed genetic associations with OP including cereal type such as biscuit cereal (coefficient = -0.1693, p value = 0.0183), servings of raw vegetables per day (coefficient = 0.0837, p value = 0.0379), and spirits measured per month (coefficient = 0.115, p value = 0.0353). MR analysis found that OP and PC17 (butter) (odds ratio [OR] = 0.974, 95% confidence interval [CI] = (0.973, 0.976), p value = 0.000970), PC35 (decaffeinated coffee) (OR = 0.985, 95% CI = (0.983, 0.987), p value = 0.00126), PC36 (overall processed meat intake) (OR = 1.035, 95% CI = (1.033, 1.037), p value = 0.000976), PC39 (spirits measured per month) (OR = 1.014, 95% CI = (1.011, 1.015), p value = 0.00153), and servings of raw vegetables per day (OR = 0.978, 95% CI = (0.977, 0.979), p value = 0.000563) were clearly causal. CONCLUSIONS: Our findings provide new clues for understanding the genetic mechanisms of OP, which focus on the possible role of dietary habits in OP pathogenesis.</t>
  </si>
  <si>
    <t>H. Yan, X. Jin, C. Zhang, C. Zhu, Y. He, X. Du and G. Feng</t>
  </si>
  <si>
    <t>Associations between diet and incidence risk of lung cancer: A Mendelian randomization study</t>
  </si>
  <si>
    <t>BACKGROUND: Observational studies have revealed associations between diet and lung cancer. However, it is unclear whether the association is disturbed by confounding factors. We used a two-sample Mendelian randomization (MR) method to characterize the associations between diet and the lung cancer risk (including 3 subtypes: lung adenocarcinoma (LA), squamous cell lung carcinoma (SqCLC), and small cell lung cancer (SCLC)). MATERIALS AND METHODS: Data on 20 diets were screened from the UK Biobank. Lung cancer data came from a large meta-analysis of 85,716 individuals. The inverse-variance weighted method was used as the main analysis. Sensitivity analysis was also used to explain the different multiplicity patterns of the final model. RESULTS: Our results showed significant evidence that 3 diets were associated with lung cancer [odds ratio (OR): 0.271, 95% confidence interval (CI): 0.150-0.488, p = 1.46 × 10(-4), dried fruit; OR: 3.010, 95% CI: 1.608-5.632, p = 5.70 × 10(-4), beer] and SqCLC (OR: 0.135, 95% CI: 0.062-0.293, p = 2.33 × 10(-5), dried fruit; OR: 0.485, 95% CI: 0.328-0.717, p = 2.9 × 10(-4), cheese). There were also suggestive correlations between 5 dietary intakes and lung cancer (OR: 0.441, 95% CI: 0.250-0.778, p = 0.008, cereal; OR: 2.267, 95% CI: 1.126-4.564, p = 0.022, beef), LA (OR: 0.494, 95% CI: 0.285-0.858, p = 0.012, dried fruit; OR: 3.536, 95% CI: 1.546-8.085, p = 0.003, beer) and SCLC (OR: 0.006, 95% CI: 0.000-0.222, p = 0.039, non-oily fish; OR: 0.239, 95% CI: 0.086-0.664, p = 0.006, dried fruit). No other association between diet and lung cancer was observed. CONCLUSION: Our study preliminary found that cheese, dried fruit, and beer intake were significantly associated with the risk of lung cancer or its subtypes, while cereal, beef, and non-oily fish intake were suggestively associated with the risk of lung cancer or its subtypes. Well-designed prospective studies are still needed to confirm our findings in the future.</t>
  </si>
  <si>
    <t>Z. Yan, Y. Xu, K. Li and L. Liu</t>
  </si>
  <si>
    <t>Increased fruit intake is associated with reduced risk of depression: evidence from cross-sectional and Mendelian randomization analyses</t>
  </si>
  <si>
    <t>BACKGROUND: The association between dietary patterns and depression has gained significant attention, but the relationship between fruit intake and depression remains unclear. This study aimed to investigate the role of fruit intake in the risk of depression using data from the National Health and Nutrition Examination Survey (NHANES) and Mendelian randomization (MR) analysis, and further explore the causal relationship between them. MATERIALS AND METHODS: Cross-sectional analysis was conducted using the 2005-2018 NHANES data. Specialized weighted complex survey design analysis software was used for multivariate logistic analysis. Additionally, genetic variants for fruit intake and depression, as well as its related neuroticism traits, from the GWAS were used as instrumental variables in MR analysis. The inverse variance weighted (IVW) method was employed as the primary analysis method to evaluate the causal relationship between them. MR-Egger regression, MR-PRESSO test, and leave-one-out analysis were conducted to assess heterogeneity and pleiotropy. RESULTS: In NHANES, compared to the lowest quartile (Q1, &lt;0.12 cup], the highest quartile (Q4, &gt;1.49 cups) of fruit intake showed a significant reduction in the risk of depression after adjusting for relevant covariates. Model 3, after rigorous adjustment for multiple covariates, demonstrated improved predictive performance in both Receiver operating characteristic (ROC) curve and Decision curve analysis (DCA). In Model 3, the proportion of reduced depression risk associated with fruit intake reached 31% (OR = 0.69, 95% CI: 0.50-0.95). This association remained significant in the MR analysis (OR = 0.92, 95% CI = 0.87-0.96; p = 5.09E-04). Fruit intake was also associated with a decreased risk of neuroticism traits related to depression, including feeling lonely (OR = 0.82, 95% CI = 0.74-0.90; p = 2.91E-05), feeling miserable (OR = 0.79, 95% CI = 0.72-0.87; p = 2.35E-06), feeling fed-up (OR = 0.75, 95% CI = 0.68-0.83; p = 2.78E-08), irritable mood (OR = 0.89, 95% CI = 0.79-0.99; p = 0.03), and neuroticism (OR = 0.85, 95% CI = 0.76-0.96; p = 9.94E-03). The causal relationship between feeling lonely and fruit intake was bidirectional. CONCLUSION: Increased fruit intake has a causal effect in reducing the risk of depression and is beneficial for related psychological well-being.</t>
  </si>
  <si>
    <t>L. Yang</t>
  </si>
  <si>
    <t>A causality between fruit consumption and colorectal cancer: a two-sample Mendelian randomization analysis</t>
  </si>
  <si>
    <t>Background Colorectal cancer (CRC) significantly threatens human health with increasing incidence and mortality. A debate continues whether fruit consumption is associated with CRC, despite dietary habits having an impact on the disease. The study aims to examine the causal relationship between fruit consumption and CRC based on a two-sample Mendelian randomization method (MR).Methods Summary statistics for fruit consumption and CRC were obtained from the UK Biobank and the FinnGen Consortium, respectively. Analysis methods used in this study included the inverse-variance weighted (IVW), MR Egger, weighted median, simple mode, and weighted mode. Heterogeneity and horizontal pleiotropy were also assessed. Additionally, a leave-one-out analysis was performed to validate the robustness of the results.Results We found that fruit consumption was associated with a reduction in CRC risk by the IVW method (P = 0.021). This protective effect was predominantly observed in males (OR 0.374; 95% CI: 0.157-0.892; P = 0.027), while no protective effect was noted in females. However, causal correlations were not observed upon analyzing 16 individual types of fruits. Moreover, our results were unlikely to be influenced by horizontal pleiotropy and heterogeneity. Leave-one-out analysis confirmed the stability of the results.Conclusion Our findings suggest that a genetic predisposition for fruit consumption may be protective against CRC, underscoring the need for further research to elucidate the underlying mechanisms and dietary patterns involved.</t>
  </si>
  <si>
    <t>W. Yang, Y. Yang, L. He, M. Zhang, S. Sun, F. Wang and B. Han</t>
  </si>
  <si>
    <t>Dietary factors and risk for asthma: A Mendelian randomization analysis</t>
  </si>
  <si>
    <t>BACKGROUND: Previous research has found a link between dietary factors and asthma. However, few studies have analyzed the relationship between dietary factors and asthma using Mendelian randomization. Methods: The IEU Open GWAS project (https://gwas.mrcieu.ac.uk/) was the source of exposure and outcome datasets. The exposure datasets included Alcoholic drinks per week, Alcohol intake frequency, Processed meat intake, Poultry intake, Beef intake, Non-oily fish intake, Oily fish intake, Pork intake, Lamb/mutton intake, Bread intake, Cheese intake, Cooked vegetable intake, Tea intake, Fresh fruit intake, Cereal intake, Salad/raw vegetable intake, Coffee intake, and Dried fruit intake. The weighted median, MR-Egger, and Inverse Variance Weighted methods were used as the main methods of Mendelian randomization analysis. Heterogeneity and pleiotropic analysis were performed to ensure the accuracy of the results. RESULTS: Alcohol intake frequency (after removing outliers OR: 1.217; 95% CI: 1.048-1.413; p=0.00993) was related to an increased risk of Asthma. Fresh fruit intake (OR: 0.489; 95% CI: 0.320-0.748; p=0.000954) and Dried fruit intake (after removing outliers OR: 0.482; 95% CI: 0.325-0.717; p= 0.000312) were discovered as protective factors. Other dietary intakes found no causal relationship with asthma. CONCLUSION: This study found that dried fruit intake and fresh fruit intake were associated with a reduced risk of asthma, and alcohol intake frequency was associated with an increased risk of asthma. This study also found that other factors included in this study were not associated with asthma.</t>
  </si>
  <si>
    <t>Y. Zeng, S. Cao and H. Yang</t>
  </si>
  <si>
    <t>Causal associations between dried fruit intake and cardiovascular disease: A Mendelian randomization study</t>
  </si>
  <si>
    <t>BACKGROUND: Previous studies have shown controversy about whether dried fruit intake is associated with cardiovascular disease. This study aimed to examine the potential causal effect of dried fruit intake on cardiovascular disease by conducting a two-sample Mendelian randomization study. METHODS: We used genome-wide association study (GWAS) summary statistics for MR analysis to explore the causal association of dried fruit intake with CVD. The inverse-variance weighted (IVW) method was used as the main analytical method for MR analysis. In addition, the MR-Egger method and the weighted median method were applied to supplement the IVW method. Furthermore, Cochrane's Q test, MR-Egger intercept test, MR-PRESSO global test, and leave-one-out analysis were used to perform sensitivity analysis. RESULTS: The results from the IVW analysis indicated that dried fruit intake could reduce the risk of heart failure [odds ratio (OR) = 0.6014, 95% confidence interval (CI): 0.4243-0.8522, p-value = 0.0043], total ischemic stroke (OR = 0.4547, 95% CI: 0.2950-0.7010, p-value = 0.0004), and small vessel stroke (OR = 0.3499, 95% CI: 0.1466-0.8349, p-value = 0.0180). In addition, the results of two additional methods (MR Egger and Weighted median) were parallel to the effects estimated by IVW. Furthermore, the sensitivity analysis illustrates that our MR analysis was unaffected by heterogeneity and horizontal pleiotropy. Finally, the results of the leave-one-out method showed the robustness of our MR results. CONCLUSION: Our study provides evidence for the benefits of dried fruit intake on CVD. Therefore a reasonable consumption of dried fruit may provide primary prevention.</t>
  </si>
  <si>
    <t>Y. Zhan, X. Ruan, P. Wang, D. Huang, J. Huang, J. Huang, T. T. S. Chun, B. S. Ho, A. T. Ng, J. H. Tsu and R. Na</t>
  </si>
  <si>
    <t>Causal Effects of Modifiable Behaviors on Prostate Cancer in Europeans and East Asians: A Comprehensive Mendelian Randomization Study</t>
  </si>
  <si>
    <t>OBJECTIVE: Early evidence is disputable for the effects of modifiable lifestyle behaviors on prostate cancer (PCa) risk. No research has yet appraised such causality in different ancestries using a Mendelian randomization (MR) approach. METHODS: A two-sample univariable and multivariable MR analysis was performed. Genetic instruments associated with lifestyle behaviors were selected based on genome-wide association studies. Summary-level data for PCa were obtained from PRACTICAL and GAME-ON/ELLIPSE consortia for Europeans (79,148 PCa cases and 61,106 controls), and ChinaPCa consortium for East Asians (3343 cases and 3315 controls). Replication was performed using FinnGen (6311 cases and 88,902 controls) and BioBank Japan data (5408 cases and 103,939 controls). RESULTS: Tobacco smoking was identified as increasing PCa risks in Europeans (odds ratio [OR]: 1.95, 95% confidence interval [CI]: 1.09-3.50, p = 0.027 per standard deviation increase in the lifetime smoking index). For East Asians, alcohol drinking (OR: 1.05, 95%CI: 1.01-1.09, p = 0.011) and delayed sexual initiation (OR: 1.04, 95%CI: 1.00-1.08, p = 0.029) were identified as risk factors, while cooked vegetable consumption (OR: 0.92, 95%CI: 0.88-0.96, p = 0.001) was a protective factor for PCa. CONCLUSIONS: Our findings broaden the evidence base for the spectrum of PCa risk factors in different ethnicities, and provide insights into behavioral interventions for prostate cancer.</t>
  </si>
  <si>
    <t>R. Zhou, L. Zhang, Y. Sun, J. Yan and H. Jiang</t>
  </si>
  <si>
    <t>Causal Associations between Dietary Habits and Chronic Pain: A Two-Sample Mendelian Randomization Study</t>
  </si>
  <si>
    <t>Chronic pain is a prevalent and debilitating condition with significant impacts on individuals and society. While the role of diet in chronic pain is well-known, the relationship between special dietary choices and chronic pain remains unclear. This study investigates the causal associations between 20 dietary habits and chronic pain using a Mendelian randomization (MR) approach. Publicly available genome-wide association study data from the UK Biobank dataset were utilized for secondary analysis, and genetic instrumental variables strongly correlated with 20 different dietary habits were selected. Multisite chronic pain (MCP) scores were used as the primary outcome, with site-specific chronic pain (SSCP) including back pain, headache, knee pain, neck pain, and hip pain as secondary outcomes. The inverse-variance-weighted (IVW) method was the primary method used in the MR. The weighted median (WM) and Mendelian randomization pleiotropy residual sum and outlier test (MR-PRESSO) methods were used as sensitivity analyses. This study identified causal associations between specific dietary habits and chronic pain. A high intake of cheese, cereal, dried fruits, and fresh fruits was associated with lower MCP scores. Conversely, high alcohol, salt, pork, and poultry intakes were associated with higher MCP scores. Similar associations between special dietary habits and some types of SSCP, such as back and neck pain, were also observed. The findings were consistent across different statistical methods, and sensitivity analyses confirmed the reliability of the results. In conclusion, our study provides evidence of a causal relationship between various dietary habits and different types of chronic pain based on secondary analysis of the UK Biobank dataset. Adhering to an anti-inflammatory diet, including increased consumption of fruits and cereal while reducing salt and pork intake, may potentially alleviate chronic pain symptoms.</t>
  </si>
  <si>
    <t>M. Zou, Q. Liang, W. Zhang, Y. Zhu and Y. Xu</t>
  </si>
  <si>
    <t>Causal association between dietary factors and esophageal diseases: A Mendelian randomization study</t>
  </si>
  <si>
    <t>BACKGROUND: Using Mendelian randomization (MR) approach, our objective was to determine whether there was a causal association between dietary factors and gastroesophageal reflux disease (GERD), Barrett's esophagus (BE), or esophageal cancer (EC). METHODS: Genome-wide association study (GWAS) data for eighteen types of dietary intake were obtained from the UK Biobank. GWAS data for GERD, BE, and EC were sourced from the FinnGen consortium. We performed univariable and multivariable MR analysis to assess the cause effect between dietary factors and esophageal diseases. MR results were expressed as odds ratios (OR) with 95% confidence intervals (CI). RESULTS: Raw vegetable intake was associated with a lower risk of GERD (OR = 0.478; P = 0.011). On the contrary, cooked vegetable intake increased the risk of GERD (OR = 1.911; P = 0.024). Bread intake was associated with increased odds of BE (OR = 6.754; P = 0.007), while processed meat intake was associated with reduced risk of BE (OR = 0.210; P = 0.035). We also observed evidence that increased consumption of dried fruit (OR = 0.087; P = 0.022) and salt added to food (OR = 0.346; P = 0.045) could prevent EC. The results of multivariable MR showed that the protective effect of consumption of salt added to food on EC was no longer significant after adjusting for the consumption of dried fruit. CONCLUSION: Vegetable consumption was associated with GERD, whereas consumption of bread and processed meat was associated with BE. Dried fruit intake was associated with a lower risk of EC, and the protective effect of consumption of salt added food on EC may also be mediated by consumption of dried fruit. Future research should be performed to investigate the mechanisms behind these cause-and-effect relationships to reduce the burden of disease caused by dietary habits.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</si>
</sst>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
    <numFmt numFmtId="165" formatCode="0.00000"/>
    <numFmt numFmtId="166" formatCode="0.0000"/>
    <numFmt numFmtId="167" formatCode="#,##0.000_ "/>
    <numFmt numFmtId="168" formatCode="#,##0.000"/>
    <numFmt numFmtId="169" formatCode="0.00_ "/>
    <numFmt numFmtId="170" formatCode="#,##0.000000000"/>
    <numFmt numFmtId="171" formatCode="#,##0.0000"/>
  </numFmts>
  <fonts count="28">
    <font>
      <sz val="10"/>
      <color rgb="FF000000"/>
      <name val="Calibri"/>
      <scheme val="minor"/>
    </font>
    <font>
      <b/>
      <sz val="11"/>
      <color theme="1"/>
      <name val="Calibri"/>
    </font>
    <font>
      <sz val="11"/>
      <color rgb="FF000000"/>
      <name val="Times New Roman"/>
    </font>
    <font>
      <sz val="11"/>
      <color theme="1"/>
      <name val="Calibri"/>
    </font>
    <font>
      <sz val="11"/>
      <color rgb="FF000000"/>
      <name val="Calibri"/>
    </font>
    <font>
      <u/>
      <sz val="11"/>
      <color rgb="FF000000"/>
      <name val="Times New Roman"/>
    </font>
    <font>
      <b/>
      <sz val="11"/>
      <color rgb="FF000000"/>
      <name val="Calibri"/>
    </font>
    <font>
      <u/>
      <sz val="11"/>
      <color rgb="FF0000FF"/>
      <name val="Calibri"/>
    </font>
    <font>
      <sz val="10"/>
      <color theme="1"/>
      <name val="Arial"/>
    </font>
    <font>
      <sz val="11"/>
      <color rgb="FF000000"/>
      <name val="Docs-Calibri"/>
    </font>
    <font>
      <sz val="9"/>
      <color rgb="FF000000"/>
      <name val="Arial"/>
    </font>
    <font>
      <u/>
      <sz val="11"/>
      <color rgb="FF000000"/>
      <name val="Calibri"/>
    </font>
    <font>
      <u/>
      <sz val="11"/>
      <color rgb="FF0563C1"/>
      <name val="Calibri"/>
    </font>
    <font>
      <u/>
      <sz val="11"/>
      <color rgb="FF0563C1"/>
      <name val="Calibri"/>
    </font>
    <font>
      <u/>
      <sz val="11"/>
      <color rgb="FF000000"/>
      <name val="Calibri"/>
    </font>
    <font>
      <u/>
      <sz val="11"/>
      <color rgb="FF000000"/>
      <name val="Times New Roman"/>
    </font>
    <font>
      <u/>
      <sz val="11"/>
      <color rgb="FF000000"/>
      <name val="Times New Roman"/>
    </font>
    <font>
      <u/>
      <sz val="11"/>
      <color rgb="FF0563C1"/>
      <name val="Calibri"/>
    </font>
    <font>
      <sz val="7"/>
      <color rgb="FF0F1111"/>
      <name val="Arial"/>
    </font>
    <font>
      <sz val="11"/>
      <color rgb="FF212529"/>
      <name val="Calibri"/>
    </font>
    <font>
      <u/>
      <sz val="11"/>
      <color rgb="FF000000"/>
      <name val="Times New Roman"/>
    </font>
    <font>
      <u/>
      <sz val="11"/>
      <color rgb="FF0000FF"/>
      <name val="Calibri"/>
    </font>
    <font>
      <u/>
      <sz val="11"/>
      <color rgb="FF000000"/>
      <name val="Times New Roman"/>
    </font>
    <font>
      <sz val="7"/>
      <color rgb="FF141515"/>
      <name val="Helvetica"/>
    </font>
    <font>
      <u/>
      <sz val="11"/>
      <color rgb="FF000000"/>
      <name val="Times New Roman"/>
    </font>
    <font>
      <sz val="7"/>
      <color rgb="FF0F1111"/>
      <name val="MinionPro"/>
    </font>
    <font>
      <sz val="10"/>
      <color rgb="FF000000"/>
      <name val="SimSun"/>
    </font>
    <font>
      <b/>
      <sz val="11"/>
      <color theme="1"/>
      <name val="Calibri"/>
      <family val="2"/>
      <charset val="163"/>
      <scheme val="minor"/>
    </font>
  </fonts>
  <fills count="17">
    <fill>
      <patternFill patternType="none"/>
    </fill>
    <fill>
      <patternFill patternType="gray125"/>
    </fill>
    <fill>
      <patternFill patternType="solid">
        <fgColor rgb="FFFCE5CD"/>
        <bgColor rgb="FFFCE5CD"/>
      </patternFill>
    </fill>
    <fill>
      <patternFill patternType="solid">
        <fgColor rgb="FFFF9900"/>
        <bgColor rgb="FFFF9900"/>
      </patternFill>
    </fill>
    <fill>
      <patternFill patternType="solid">
        <fgColor rgb="FFFFFF00"/>
        <bgColor rgb="FFFFFF00"/>
      </patternFill>
    </fill>
    <fill>
      <patternFill patternType="solid">
        <fgColor rgb="FF92D050"/>
        <bgColor rgb="FF92D050"/>
      </patternFill>
    </fill>
    <fill>
      <patternFill patternType="solid">
        <fgColor theme="4"/>
        <bgColor theme="4"/>
      </patternFill>
    </fill>
    <fill>
      <patternFill patternType="solid">
        <fgColor rgb="FFF7CAAC"/>
        <bgColor rgb="FFF7CAAC"/>
      </patternFill>
    </fill>
    <fill>
      <patternFill patternType="solid">
        <fgColor rgb="FFDEEAF6"/>
        <bgColor rgb="FFDEEAF6"/>
      </patternFill>
    </fill>
    <fill>
      <patternFill patternType="solid">
        <fgColor rgb="FFCFE2F3"/>
        <bgColor rgb="FFCFE2F3"/>
      </patternFill>
    </fill>
    <fill>
      <patternFill patternType="solid">
        <fgColor rgb="FFFFFFFF"/>
        <bgColor rgb="FFFFFFFF"/>
      </patternFill>
    </fill>
    <fill>
      <patternFill patternType="solid">
        <fgColor rgb="FFFF0000"/>
        <bgColor rgb="FFFF0000"/>
      </patternFill>
    </fill>
    <fill>
      <patternFill patternType="solid">
        <fgColor theme="0"/>
        <bgColor theme="0"/>
      </patternFill>
    </fill>
    <fill>
      <patternFill patternType="solid">
        <fgColor rgb="FFC9DAF8"/>
        <bgColor rgb="FFC9DAF8"/>
      </patternFill>
    </fill>
    <fill>
      <patternFill patternType="solid">
        <fgColor rgb="FFFFE598"/>
        <bgColor rgb="FFFFE598"/>
      </patternFill>
    </fill>
    <fill>
      <patternFill patternType="solid">
        <fgColor theme="5"/>
        <bgColor theme="5"/>
      </patternFill>
    </fill>
    <fill>
      <patternFill patternType="solid">
        <fgColor rgb="FF8EAADB"/>
        <bgColor rgb="FF8EAADB"/>
      </patternFill>
    </fill>
  </fills>
  <borders count="1">
    <border>
      <left/>
      <right/>
      <top/>
      <bottom/>
      <diagonal/>
    </border>
  </borders>
  <cellStyleXfs count="1">
    <xf numFmtId="0" fontId="0" fillId="0" borderId="0"/>
  </cellStyleXfs>
  <cellXfs count="190">
    <xf numFmtId="0" fontId="0" fillId="0" borderId="0" xfId="0"/>
    <xf numFmtId="0" fontId="1" fillId="2" borderId="0" xfId="0" applyFont="1" applyFill="1" applyAlignment="1">
      <alignment horizontal="center" vertical="top" wrapText="1"/>
    </xf>
    <xf numFmtId="0" fontId="2" fillId="3" borderId="0" xfId="0" applyFont="1" applyFill="1" applyAlignment="1">
      <alignment horizontal="left" vertical="top"/>
    </xf>
    <xf numFmtId="0" fontId="2" fillId="4" borderId="0" xfId="0" applyFont="1" applyFill="1" applyAlignment="1">
      <alignment horizontal="left" vertical="top"/>
    </xf>
    <xf numFmtId="0" fontId="3" fillId="8" borderId="0" xfId="0" applyFont="1" applyFill="1" applyAlignment="1">
      <alignment vertical="top" wrapText="1"/>
    </xf>
    <xf numFmtId="0" fontId="2" fillId="0" borderId="0" xfId="0" applyFont="1" applyAlignment="1">
      <alignment horizontal="left" vertical="top"/>
    </xf>
    <xf numFmtId="0" fontId="3" fillId="0" borderId="0" xfId="0" applyFont="1" applyAlignment="1">
      <alignment vertical="top" wrapText="1"/>
    </xf>
    <xf numFmtId="0" fontId="3" fillId="0" borderId="0" xfId="0" applyFont="1" applyAlignment="1">
      <alignment horizontal="left" vertical="top" wrapText="1"/>
    </xf>
    <xf numFmtId="0" fontId="4" fillId="4" borderId="0" xfId="0" applyFont="1" applyFill="1" applyAlignment="1">
      <alignment horizontal="left" vertical="top"/>
    </xf>
    <xf numFmtId="0" fontId="2" fillId="9" borderId="0" xfId="0" applyFont="1" applyFill="1" applyAlignment="1">
      <alignment horizontal="left" vertical="top"/>
    </xf>
    <xf numFmtId="0" fontId="4" fillId="0" borderId="0" xfId="0" applyFont="1" applyAlignment="1">
      <alignment horizontal="left" vertical="top"/>
    </xf>
    <xf numFmtId="0" fontId="3" fillId="4" borderId="0" xfId="0" applyFont="1" applyFill="1" applyAlignment="1">
      <alignment vertical="top" wrapText="1"/>
    </xf>
    <xf numFmtId="0" fontId="5" fillId="4" borderId="0" xfId="0" applyFont="1" applyFill="1" applyAlignment="1">
      <alignment horizontal="left" vertical="top"/>
    </xf>
    <xf numFmtId="3" fontId="2" fillId="4" borderId="0" xfId="0" applyNumberFormat="1" applyFont="1" applyFill="1" applyAlignment="1">
      <alignment horizontal="left" vertical="top"/>
    </xf>
    <xf numFmtId="0" fontId="4" fillId="9" borderId="0" xfId="0" applyFont="1" applyFill="1" applyAlignment="1">
      <alignment horizontal="left" vertical="top"/>
    </xf>
    <xf numFmtId="2" fontId="2" fillId="9" borderId="0" xfId="0" applyNumberFormat="1" applyFont="1" applyFill="1" applyAlignment="1">
      <alignment horizontal="left" vertical="top"/>
    </xf>
    <xf numFmtId="0" fontId="3" fillId="10" borderId="0" xfId="0" applyFont="1" applyFill="1" applyAlignment="1">
      <alignment vertical="top" wrapText="1"/>
    </xf>
    <xf numFmtId="0" fontId="2" fillId="10" borderId="0" xfId="0" applyFont="1" applyFill="1" applyAlignment="1">
      <alignment horizontal="left" vertical="top"/>
    </xf>
    <xf numFmtId="49" fontId="2" fillId="10" borderId="0" xfId="0" applyNumberFormat="1" applyFont="1" applyFill="1" applyAlignment="1">
      <alignment horizontal="left" vertical="top"/>
    </xf>
    <xf numFmtId="3" fontId="4" fillId="9" borderId="0" xfId="0" applyNumberFormat="1" applyFont="1" applyFill="1" applyAlignment="1">
      <alignment horizontal="left" vertical="top"/>
    </xf>
    <xf numFmtId="0" fontId="3" fillId="9" borderId="0" xfId="0" applyFont="1" applyFill="1" applyAlignment="1">
      <alignment vertical="top" wrapText="1"/>
    </xf>
    <xf numFmtId="49" fontId="2" fillId="4" borderId="0" xfId="0" applyNumberFormat="1" applyFont="1" applyFill="1" applyAlignment="1">
      <alignment horizontal="left" vertical="top"/>
    </xf>
    <xf numFmtId="0" fontId="4" fillId="0" borderId="0" xfId="0" applyFont="1"/>
    <xf numFmtId="0" fontId="3" fillId="9" borderId="0" xfId="0" applyFont="1" applyFill="1" applyAlignment="1">
      <alignment horizontal="left" vertical="top"/>
    </xf>
    <xf numFmtId="0" fontId="4" fillId="9" borderId="0" xfId="0" applyFont="1" applyFill="1" applyAlignment="1">
      <alignment vertical="top"/>
    </xf>
    <xf numFmtId="3" fontId="3" fillId="9" borderId="0" xfId="0" applyNumberFormat="1" applyFont="1" applyFill="1" applyAlignment="1">
      <alignment horizontal="left" vertical="top"/>
    </xf>
    <xf numFmtId="0" fontId="4" fillId="9" borderId="0" xfId="0" applyFont="1" applyFill="1" applyAlignment="1">
      <alignment horizontal="left" vertical="top" wrapText="1"/>
    </xf>
    <xf numFmtId="0" fontId="4" fillId="0" borderId="0" xfId="0" applyFont="1" applyAlignment="1">
      <alignment vertical="top"/>
    </xf>
    <xf numFmtId="0" fontId="4" fillId="0" borderId="0" xfId="0" applyFont="1" applyAlignment="1">
      <alignment vertical="top" wrapText="1"/>
    </xf>
    <xf numFmtId="0" fontId="3" fillId="10" borderId="0" xfId="0" applyFont="1" applyFill="1" applyAlignment="1">
      <alignment horizontal="left" vertical="top"/>
    </xf>
    <xf numFmtId="49" fontId="3" fillId="10" borderId="0" xfId="0" applyNumberFormat="1" applyFont="1" applyFill="1"/>
    <xf numFmtId="0" fontId="3" fillId="10" borderId="0" xfId="0" applyFont="1" applyFill="1"/>
    <xf numFmtId="0" fontId="3" fillId="0" borderId="0" xfId="0" applyFont="1" applyAlignment="1">
      <alignment wrapText="1"/>
    </xf>
    <xf numFmtId="0" fontId="4" fillId="10" borderId="0" xfId="0" applyFont="1" applyFill="1" applyAlignment="1">
      <alignment horizontal="left" vertical="top"/>
    </xf>
    <xf numFmtId="3" fontId="4" fillId="0" borderId="0" xfId="0" applyNumberFormat="1" applyFont="1" applyAlignment="1">
      <alignment horizontal="left" vertical="top"/>
    </xf>
    <xf numFmtId="3" fontId="4" fillId="10" borderId="0" xfId="0" applyNumberFormat="1" applyFont="1" applyFill="1" applyAlignment="1">
      <alignment horizontal="left" vertical="top"/>
    </xf>
    <xf numFmtId="49" fontId="4" fillId="0" borderId="0" xfId="0" applyNumberFormat="1" applyFont="1" applyAlignment="1">
      <alignment horizontal="left" vertical="top"/>
    </xf>
    <xf numFmtId="11" fontId="4" fillId="0" borderId="0" xfId="0" applyNumberFormat="1" applyFont="1" applyAlignment="1">
      <alignment horizontal="left" vertical="top"/>
    </xf>
    <xf numFmtId="0" fontId="3" fillId="0" borderId="0" xfId="0" applyFont="1" applyAlignment="1">
      <alignment horizontal="left" vertical="top"/>
    </xf>
    <xf numFmtId="49" fontId="4" fillId="10" borderId="0" xfId="0" applyNumberFormat="1" applyFont="1" applyFill="1" applyAlignment="1">
      <alignment horizontal="left" vertical="top"/>
    </xf>
    <xf numFmtId="0" fontId="3" fillId="4" borderId="0" xfId="0" applyFont="1" applyFill="1" applyAlignment="1">
      <alignment horizontal="left" vertical="top"/>
    </xf>
    <xf numFmtId="0" fontId="3" fillId="0" borderId="0" xfId="0" applyFont="1"/>
    <xf numFmtId="3" fontId="3" fillId="10" borderId="0" xfId="0" applyNumberFormat="1" applyFont="1" applyFill="1" applyAlignment="1">
      <alignment horizontal="left" vertical="top"/>
    </xf>
    <xf numFmtId="0" fontId="7" fillId="4" borderId="0" xfId="0" applyFont="1" applyFill="1" applyAlignment="1">
      <alignment horizontal="left" vertical="top"/>
    </xf>
    <xf numFmtId="3" fontId="3" fillId="4" borderId="0" xfId="0" applyNumberFormat="1" applyFont="1" applyFill="1" applyAlignment="1">
      <alignment horizontal="left" vertical="top"/>
    </xf>
    <xf numFmtId="49" fontId="4" fillId="9" borderId="0" xfId="0" applyNumberFormat="1" applyFont="1" applyFill="1" applyAlignment="1">
      <alignment horizontal="left" vertical="top"/>
    </xf>
    <xf numFmtId="11" fontId="4" fillId="9" borderId="0" xfId="0" applyNumberFormat="1" applyFont="1" applyFill="1" applyAlignment="1">
      <alignment horizontal="left" vertical="top"/>
    </xf>
    <xf numFmtId="0" fontId="8" fillId="10" borderId="0" xfId="0" applyFont="1" applyFill="1" applyAlignment="1">
      <alignment vertical="top" wrapText="1"/>
    </xf>
    <xf numFmtId="0" fontId="9" fillId="10" borderId="0" xfId="0" applyFont="1" applyFill="1" applyAlignment="1">
      <alignment horizontal="left" vertical="top"/>
    </xf>
    <xf numFmtId="0" fontId="4" fillId="11" borderId="0" xfId="0" applyFont="1" applyFill="1" applyAlignment="1">
      <alignment horizontal="left" vertical="top"/>
    </xf>
    <xf numFmtId="3" fontId="4" fillId="11" borderId="0" xfId="0" applyNumberFormat="1" applyFont="1" applyFill="1" applyAlignment="1">
      <alignment horizontal="left" vertical="top"/>
    </xf>
    <xf numFmtId="164" fontId="4" fillId="11" borderId="0" xfId="0" applyNumberFormat="1" applyFont="1" applyFill="1" applyAlignment="1">
      <alignment horizontal="left" vertical="top"/>
    </xf>
    <xf numFmtId="0" fontId="4" fillId="11" borderId="0" xfId="0" applyFont="1" applyFill="1"/>
    <xf numFmtId="0" fontId="3" fillId="11" borderId="0" xfId="0" applyFont="1" applyFill="1" applyAlignment="1">
      <alignment horizontal="left" vertical="top"/>
    </xf>
    <xf numFmtId="0" fontId="4" fillId="10" borderId="0" xfId="0" applyFont="1" applyFill="1" applyAlignment="1">
      <alignment vertical="top" wrapText="1"/>
    </xf>
    <xf numFmtId="0" fontId="4" fillId="4" borderId="0" xfId="0" applyFont="1" applyFill="1" applyAlignment="1">
      <alignment vertical="top" wrapText="1"/>
    </xf>
    <xf numFmtId="0" fontId="4" fillId="0" borderId="0" xfId="0" applyFont="1" applyAlignment="1">
      <alignment horizontal="left" vertical="top" wrapText="1"/>
    </xf>
    <xf numFmtId="0" fontId="10" fillId="0" borderId="0" xfId="0" applyFont="1" applyAlignment="1">
      <alignment horizontal="left" vertical="top" wrapText="1"/>
    </xf>
    <xf numFmtId="0" fontId="4" fillId="12" borderId="0" xfId="0" applyFont="1" applyFill="1" applyAlignment="1">
      <alignment horizontal="left" vertical="top"/>
    </xf>
    <xf numFmtId="0" fontId="4" fillId="0" borderId="0" xfId="0" applyFont="1" applyAlignment="1">
      <alignment wrapText="1"/>
    </xf>
    <xf numFmtId="0" fontId="11" fillId="12" borderId="0" xfId="0" applyFont="1" applyFill="1" applyAlignment="1">
      <alignment horizontal="left" vertical="top"/>
    </xf>
    <xf numFmtId="3" fontId="4" fillId="12" borderId="0" xfId="0" applyNumberFormat="1" applyFont="1" applyFill="1" applyAlignment="1">
      <alignment horizontal="left" vertical="top"/>
    </xf>
    <xf numFmtId="0" fontId="4" fillId="8" borderId="0" xfId="0" applyFont="1" applyFill="1" applyAlignment="1">
      <alignment horizontal="left" vertical="top"/>
    </xf>
    <xf numFmtId="0" fontId="12" fillId="0" borderId="0" xfId="0" applyFont="1"/>
    <xf numFmtId="3" fontId="3" fillId="0" borderId="0" xfId="0" applyNumberFormat="1" applyFont="1"/>
    <xf numFmtId="3" fontId="2" fillId="9" borderId="0" xfId="0" applyNumberFormat="1" applyFont="1" applyFill="1" applyAlignment="1">
      <alignment horizontal="left" vertical="top"/>
    </xf>
    <xf numFmtId="0" fontId="2" fillId="11" borderId="0" xfId="0" applyFont="1" applyFill="1" applyAlignment="1">
      <alignment horizontal="left" vertical="top"/>
    </xf>
    <xf numFmtId="11" fontId="3" fillId="0" borderId="0" xfId="0" applyNumberFormat="1" applyFont="1"/>
    <xf numFmtId="165" fontId="3" fillId="0" borderId="0" xfId="0" applyNumberFormat="1" applyFont="1"/>
    <xf numFmtId="164" fontId="4" fillId="0" borderId="0" xfId="0" applyNumberFormat="1" applyFont="1" applyAlignment="1">
      <alignment horizontal="left" vertical="top"/>
    </xf>
    <xf numFmtId="0" fontId="13" fillId="0" borderId="0" xfId="0" applyFont="1" applyAlignment="1">
      <alignment horizontal="center"/>
    </xf>
    <xf numFmtId="49" fontId="2" fillId="11" borderId="0" xfId="0" applyNumberFormat="1" applyFont="1" applyFill="1" applyAlignment="1">
      <alignment horizontal="left" vertical="top"/>
    </xf>
    <xf numFmtId="164" fontId="3" fillId="0" borderId="0" xfId="0" applyNumberFormat="1" applyFont="1"/>
    <xf numFmtId="166" fontId="3" fillId="0" borderId="0" xfId="0" applyNumberFormat="1" applyFont="1"/>
    <xf numFmtId="0" fontId="3" fillId="8" borderId="0" xfId="0" applyFont="1" applyFill="1"/>
    <xf numFmtId="3" fontId="3" fillId="8" borderId="0" xfId="0" applyNumberFormat="1" applyFont="1" applyFill="1"/>
    <xf numFmtId="0" fontId="4" fillId="11" borderId="0" xfId="0" applyFont="1" applyFill="1" applyAlignment="1">
      <alignment horizontal="left"/>
    </xf>
    <xf numFmtId="3" fontId="4" fillId="11" borderId="0" xfId="0" applyNumberFormat="1" applyFont="1" applyFill="1" applyAlignment="1">
      <alignment horizontal="left"/>
    </xf>
    <xf numFmtId="3" fontId="3" fillId="0" borderId="0" xfId="0" applyNumberFormat="1" applyFont="1" applyAlignment="1">
      <alignment horizontal="left" vertical="top"/>
    </xf>
    <xf numFmtId="3" fontId="3" fillId="8" borderId="0" xfId="0" applyNumberFormat="1" applyFont="1" applyFill="1" applyAlignment="1">
      <alignment wrapText="1"/>
    </xf>
    <xf numFmtId="0" fontId="3" fillId="8" borderId="0" xfId="0" applyFont="1" applyFill="1" applyAlignment="1">
      <alignment wrapText="1"/>
    </xf>
    <xf numFmtId="0" fontId="14" fillId="9" borderId="0" xfId="0" applyFont="1" applyFill="1" applyAlignment="1">
      <alignment horizontal="left" vertical="top"/>
    </xf>
    <xf numFmtId="0" fontId="3" fillId="0" borderId="0" xfId="0" applyFont="1" applyAlignment="1">
      <alignment horizontal="left"/>
    </xf>
    <xf numFmtId="2" fontId="4" fillId="9" borderId="0" xfId="0" applyNumberFormat="1" applyFont="1" applyFill="1" applyAlignment="1">
      <alignment horizontal="left" vertical="top"/>
    </xf>
    <xf numFmtId="167" fontId="4" fillId="10" borderId="0" xfId="0" applyNumberFormat="1" applyFont="1" applyFill="1" applyAlignment="1">
      <alignment horizontal="left" vertical="top"/>
    </xf>
    <xf numFmtId="0" fontId="4" fillId="10" borderId="0" xfId="0" applyFont="1" applyFill="1"/>
    <xf numFmtId="0" fontId="4" fillId="10" borderId="0" xfId="0" applyFont="1" applyFill="1" applyAlignment="1">
      <alignment vertical="top"/>
    </xf>
    <xf numFmtId="0" fontId="4" fillId="10" borderId="0" xfId="0" applyFont="1" applyFill="1" applyAlignment="1">
      <alignment horizontal="right"/>
    </xf>
    <xf numFmtId="3" fontId="4" fillId="10" borderId="0" xfId="0" applyNumberFormat="1" applyFont="1" applyFill="1" applyAlignment="1">
      <alignment horizontal="right"/>
    </xf>
    <xf numFmtId="3" fontId="2" fillId="0" borderId="0" xfId="0" applyNumberFormat="1" applyFont="1" applyAlignment="1">
      <alignment horizontal="left" vertical="top"/>
    </xf>
    <xf numFmtId="3" fontId="2" fillId="10" borderId="0" xfId="0" applyNumberFormat="1" applyFont="1" applyFill="1" applyAlignment="1">
      <alignment horizontal="left" vertical="top"/>
    </xf>
    <xf numFmtId="49" fontId="2" fillId="3" borderId="0" xfId="0" applyNumberFormat="1" applyFont="1" applyFill="1" applyAlignment="1">
      <alignment horizontal="left" vertical="top"/>
    </xf>
    <xf numFmtId="11" fontId="2" fillId="3" borderId="0" xfId="0" applyNumberFormat="1" applyFont="1" applyFill="1" applyAlignment="1">
      <alignment horizontal="left" vertical="top"/>
    </xf>
    <xf numFmtId="3" fontId="2" fillId="3" borderId="0" xfId="0" applyNumberFormat="1" applyFont="1" applyFill="1" applyAlignment="1">
      <alignment horizontal="left" vertical="top"/>
    </xf>
    <xf numFmtId="49" fontId="2" fillId="9" borderId="0" xfId="0" applyNumberFormat="1" applyFont="1" applyFill="1" applyAlignment="1">
      <alignment horizontal="left" vertical="top"/>
    </xf>
    <xf numFmtId="11" fontId="4" fillId="10" borderId="0" xfId="0" applyNumberFormat="1" applyFont="1" applyFill="1" applyAlignment="1">
      <alignment horizontal="left" vertical="top"/>
    </xf>
    <xf numFmtId="0" fontId="2" fillId="12" borderId="0" xfId="0" applyFont="1" applyFill="1" applyAlignment="1">
      <alignment horizontal="left" vertical="top"/>
    </xf>
    <xf numFmtId="0" fontId="4" fillId="13" borderId="0" xfId="0" applyFont="1" applyFill="1" applyAlignment="1">
      <alignment horizontal="left" vertical="top"/>
    </xf>
    <xf numFmtId="0" fontId="15" fillId="12" borderId="0" xfId="0" applyFont="1" applyFill="1" applyAlignment="1">
      <alignment horizontal="left" vertical="top"/>
    </xf>
    <xf numFmtId="3" fontId="2" fillId="12" borderId="0" xfId="0" applyNumberFormat="1" applyFont="1" applyFill="1" applyAlignment="1">
      <alignment horizontal="left" vertical="top"/>
    </xf>
    <xf numFmtId="11" fontId="2" fillId="0" borderId="0" xfId="0" applyNumberFormat="1" applyFont="1" applyAlignment="1">
      <alignment horizontal="left" vertical="top"/>
    </xf>
    <xf numFmtId="0" fontId="16" fillId="0" borderId="0" xfId="0" applyFont="1" applyAlignment="1">
      <alignment horizontal="left" vertical="top"/>
    </xf>
    <xf numFmtId="165" fontId="2" fillId="0" borderId="0" xfId="0" applyNumberFormat="1" applyFont="1" applyAlignment="1">
      <alignment horizontal="left" vertical="top"/>
    </xf>
    <xf numFmtId="0" fontId="3" fillId="12" borderId="0" xfId="0" applyFont="1" applyFill="1" applyAlignment="1">
      <alignment horizontal="left" vertical="top"/>
    </xf>
    <xf numFmtId="2" fontId="4" fillId="0" borderId="0" xfId="0" applyNumberFormat="1" applyFont="1" applyAlignment="1">
      <alignment horizontal="left" vertical="top"/>
    </xf>
    <xf numFmtId="0" fontId="4" fillId="10" borderId="0" xfId="0" applyFont="1" applyFill="1" applyAlignment="1">
      <alignment horizontal="left"/>
    </xf>
    <xf numFmtId="3" fontId="4" fillId="10" borderId="0" xfId="0" applyNumberFormat="1" applyFont="1" applyFill="1" applyAlignment="1">
      <alignment horizontal="left"/>
    </xf>
    <xf numFmtId="164" fontId="2" fillId="0" borderId="0" xfId="0" applyNumberFormat="1" applyFont="1" applyAlignment="1">
      <alignment horizontal="left" vertical="top"/>
    </xf>
    <xf numFmtId="166" fontId="2" fillId="0" borderId="0" xfId="0" applyNumberFormat="1" applyFont="1" applyAlignment="1">
      <alignment horizontal="left" vertical="top"/>
    </xf>
    <xf numFmtId="3" fontId="4" fillId="8" borderId="0" xfId="0" applyNumberFormat="1" applyFont="1" applyFill="1" applyAlignment="1">
      <alignment horizontal="left" vertical="top"/>
    </xf>
    <xf numFmtId="0" fontId="2" fillId="8" borderId="0" xfId="0" applyFont="1" applyFill="1" applyAlignment="1">
      <alignment horizontal="left" vertical="top"/>
    </xf>
    <xf numFmtId="3" fontId="2" fillId="8" borderId="0" xfId="0" applyNumberFormat="1" applyFont="1" applyFill="1" applyAlignment="1">
      <alignment horizontal="left" vertical="top"/>
    </xf>
    <xf numFmtId="1" fontId="4" fillId="9" borderId="0" xfId="0" applyNumberFormat="1" applyFont="1" applyFill="1" applyAlignment="1">
      <alignment horizontal="left" vertical="top"/>
    </xf>
    <xf numFmtId="164" fontId="4" fillId="9" borderId="0" xfId="0" applyNumberFormat="1" applyFont="1" applyFill="1" applyAlignment="1">
      <alignment horizontal="left" vertical="top"/>
    </xf>
    <xf numFmtId="164" fontId="3" fillId="0" borderId="0" xfId="0" applyNumberFormat="1" applyFont="1" applyAlignment="1">
      <alignment horizontal="left" vertical="top"/>
    </xf>
    <xf numFmtId="0" fontId="17" fillId="9" borderId="0" xfId="0" applyFont="1" applyFill="1" applyAlignment="1">
      <alignment horizontal="left" vertical="top"/>
    </xf>
    <xf numFmtId="164" fontId="3" fillId="9" borderId="0" xfId="0" applyNumberFormat="1" applyFont="1" applyFill="1" applyAlignment="1">
      <alignment horizontal="left" vertical="top"/>
    </xf>
    <xf numFmtId="0" fontId="18" fillId="0" borderId="0" xfId="0" applyFont="1"/>
    <xf numFmtId="0" fontId="4" fillId="0" borderId="0" xfId="0" applyFont="1" applyAlignment="1">
      <alignment horizontal="right"/>
    </xf>
    <xf numFmtId="1" fontId="4" fillId="11" borderId="0" xfId="0" applyNumberFormat="1" applyFont="1" applyFill="1" applyAlignment="1">
      <alignment horizontal="left" vertical="top"/>
    </xf>
    <xf numFmtId="164" fontId="4" fillId="8" borderId="0" xfId="0" applyNumberFormat="1" applyFont="1" applyFill="1" applyAlignment="1">
      <alignment horizontal="left" vertical="top"/>
    </xf>
    <xf numFmtId="168" fontId="4" fillId="8" borderId="0" xfId="0" applyNumberFormat="1" applyFont="1" applyFill="1" applyAlignment="1">
      <alignment horizontal="left" vertical="top"/>
    </xf>
    <xf numFmtId="167" fontId="2" fillId="10" borderId="0" xfId="0" applyNumberFormat="1" applyFont="1" applyFill="1" applyAlignment="1">
      <alignment horizontal="left" vertical="top"/>
    </xf>
    <xf numFmtId="11" fontId="2" fillId="10" borderId="0" xfId="0" applyNumberFormat="1" applyFont="1" applyFill="1" applyAlignment="1">
      <alignment horizontal="left" vertical="top"/>
    </xf>
    <xf numFmtId="11" fontId="4" fillId="11" borderId="0" xfId="0" applyNumberFormat="1" applyFont="1" applyFill="1" applyAlignment="1">
      <alignment horizontal="left" vertical="top"/>
    </xf>
    <xf numFmtId="11" fontId="3" fillId="10" borderId="0" xfId="0" applyNumberFormat="1" applyFont="1" applyFill="1" applyAlignment="1">
      <alignment horizontal="left" vertical="top"/>
    </xf>
    <xf numFmtId="49" fontId="3" fillId="9" borderId="0" xfId="0" applyNumberFormat="1" applyFont="1" applyFill="1" applyAlignment="1">
      <alignment horizontal="left" vertical="top"/>
    </xf>
    <xf numFmtId="2" fontId="2" fillId="0" borderId="0" xfId="0" applyNumberFormat="1" applyFont="1" applyAlignment="1">
      <alignment horizontal="left" vertical="top"/>
    </xf>
    <xf numFmtId="11" fontId="3" fillId="9" borderId="0" xfId="0" applyNumberFormat="1" applyFont="1" applyFill="1" applyAlignment="1">
      <alignment horizontal="left" vertical="top"/>
    </xf>
    <xf numFmtId="164" fontId="4" fillId="10" borderId="0" xfId="0" applyNumberFormat="1" applyFont="1" applyFill="1" applyAlignment="1">
      <alignment horizontal="left" vertical="top"/>
    </xf>
    <xf numFmtId="0" fontId="3" fillId="0" borderId="0" xfId="0" applyFont="1" applyAlignment="1">
      <alignment horizontal="right"/>
    </xf>
    <xf numFmtId="0" fontId="19" fillId="9" borderId="0" xfId="0" applyFont="1" applyFill="1" applyAlignment="1">
      <alignment horizontal="left" vertical="top"/>
    </xf>
    <xf numFmtId="0" fontId="20" fillId="9" borderId="0" xfId="0" applyFont="1" applyFill="1" applyAlignment="1">
      <alignment horizontal="left" vertical="top"/>
    </xf>
    <xf numFmtId="0" fontId="21" fillId="10" borderId="0" xfId="0" applyFont="1" applyFill="1" applyAlignment="1">
      <alignment horizontal="left" vertical="top"/>
    </xf>
    <xf numFmtId="3" fontId="2" fillId="11" borderId="0" xfId="0" applyNumberFormat="1" applyFont="1" applyFill="1" applyAlignment="1">
      <alignment horizontal="left" vertical="top"/>
    </xf>
    <xf numFmtId="164" fontId="2" fillId="11" borderId="0" xfId="0" applyNumberFormat="1" applyFont="1" applyFill="1" applyAlignment="1">
      <alignment horizontal="left" vertical="top"/>
    </xf>
    <xf numFmtId="11" fontId="2" fillId="11" borderId="0" xfId="0" applyNumberFormat="1" applyFont="1" applyFill="1" applyAlignment="1">
      <alignment horizontal="left" vertical="top"/>
    </xf>
    <xf numFmtId="1" fontId="2" fillId="11" borderId="0" xfId="0" applyNumberFormat="1" applyFont="1" applyFill="1" applyAlignment="1">
      <alignment horizontal="left" vertical="top"/>
    </xf>
    <xf numFmtId="49" fontId="3" fillId="10" borderId="0" xfId="0" applyNumberFormat="1" applyFont="1" applyFill="1" applyAlignment="1">
      <alignment horizontal="left" vertical="top"/>
    </xf>
    <xf numFmtId="0" fontId="22" fillId="9" borderId="0" xfId="0" applyFont="1" applyFill="1" applyAlignment="1">
      <alignment horizontal="left" vertical="top"/>
    </xf>
    <xf numFmtId="164" fontId="2" fillId="9" borderId="0" xfId="0" applyNumberFormat="1" applyFont="1" applyFill="1" applyAlignment="1">
      <alignment horizontal="left" vertical="top"/>
    </xf>
    <xf numFmtId="0" fontId="4" fillId="9" borderId="0" xfId="0" applyFont="1" applyFill="1"/>
    <xf numFmtId="0" fontId="23" fillId="9" borderId="0" xfId="0" applyFont="1" applyFill="1"/>
    <xf numFmtId="0" fontId="4" fillId="9" borderId="0" xfId="0" applyFont="1" applyFill="1" applyAlignment="1">
      <alignment horizontal="right"/>
    </xf>
    <xf numFmtId="0" fontId="9" fillId="11" borderId="0" xfId="0" applyFont="1" applyFill="1" applyAlignment="1">
      <alignment horizontal="left"/>
    </xf>
    <xf numFmtId="164" fontId="2" fillId="8" borderId="0" xfId="0" applyNumberFormat="1" applyFont="1" applyFill="1" applyAlignment="1">
      <alignment horizontal="left" vertical="top"/>
    </xf>
    <xf numFmtId="168" fontId="2" fillId="8" borderId="0" xfId="0" applyNumberFormat="1" applyFont="1" applyFill="1" applyAlignment="1">
      <alignment horizontal="left" vertical="top"/>
    </xf>
    <xf numFmtId="164" fontId="2" fillId="10" borderId="0" xfId="0" applyNumberFormat="1" applyFont="1" applyFill="1" applyAlignment="1">
      <alignment horizontal="left" vertical="top"/>
    </xf>
    <xf numFmtId="11" fontId="2" fillId="9" borderId="0" xfId="0" applyNumberFormat="1" applyFont="1" applyFill="1" applyAlignment="1">
      <alignment horizontal="left" vertical="top"/>
    </xf>
    <xf numFmtId="0" fontId="24" fillId="10" borderId="0" xfId="0" applyFont="1" applyFill="1" applyAlignment="1">
      <alignment horizontal="left" vertical="top"/>
    </xf>
    <xf numFmtId="0" fontId="3" fillId="9" borderId="0" xfId="0" applyFont="1" applyFill="1" applyAlignment="1">
      <alignment horizontal="left"/>
    </xf>
    <xf numFmtId="0" fontId="3" fillId="9" borderId="0" xfId="0" applyFont="1" applyFill="1"/>
    <xf numFmtId="0" fontId="25" fillId="0" borderId="0" xfId="0" applyFont="1"/>
    <xf numFmtId="0" fontId="25" fillId="9" borderId="0" xfId="0" applyFont="1" applyFill="1"/>
    <xf numFmtId="0" fontId="26" fillId="9" borderId="0" xfId="0" applyFont="1" applyFill="1" applyAlignment="1">
      <alignment horizontal="right"/>
    </xf>
    <xf numFmtId="3" fontId="4" fillId="9" borderId="0" xfId="0" applyNumberFormat="1" applyFont="1" applyFill="1" applyAlignment="1">
      <alignment horizontal="right"/>
    </xf>
    <xf numFmtId="0" fontId="4" fillId="9" borderId="0" xfId="0" applyFont="1" applyFill="1" applyAlignment="1">
      <alignment horizontal="left"/>
    </xf>
    <xf numFmtId="3" fontId="4" fillId="9" borderId="0" xfId="0" applyNumberFormat="1" applyFont="1" applyFill="1" applyAlignment="1">
      <alignment horizontal="left"/>
    </xf>
    <xf numFmtId="169" fontId="2" fillId="10" borderId="0" xfId="0" applyNumberFormat="1" applyFont="1" applyFill="1" applyAlignment="1">
      <alignment horizontal="left" vertical="top"/>
    </xf>
    <xf numFmtId="170" fontId="2" fillId="3" borderId="0" xfId="0" applyNumberFormat="1" applyFont="1" applyFill="1" applyAlignment="1">
      <alignment horizontal="left" vertical="top"/>
    </xf>
    <xf numFmtId="170" fontId="2" fillId="10" borderId="0" xfId="0" applyNumberFormat="1" applyFont="1" applyFill="1" applyAlignment="1">
      <alignment horizontal="left" vertical="top"/>
    </xf>
    <xf numFmtId="169" fontId="2" fillId="11" borderId="0" xfId="0" applyNumberFormat="1" applyFont="1" applyFill="1" applyAlignment="1">
      <alignment horizontal="left" vertical="top"/>
    </xf>
    <xf numFmtId="170" fontId="2" fillId="11" borderId="0" xfId="0" applyNumberFormat="1" applyFont="1" applyFill="1" applyAlignment="1">
      <alignment horizontal="left" vertical="top"/>
    </xf>
    <xf numFmtId="168" fontId="2" fillId="4" borderId="0" xfId="0" applyNumberFormat="1" applyFont="1" applyFill="1" applyAlignment="1">
      <alignment horizontal="left" vertical="top"/>
    </xf>
    <xf numFmtId="4" fontId="2" fillId="4" borderId="0" xfId="0" applyNumberFormat="1" applyFont="1" applyFill="1" applyAlignment="1">
      <alignment horizontal="left" vertical="top"/>
    </xf>
    <xf numFmtId="168" fontId="2" fillId="9" borderId="0" xfId="0" applyNumberFormat="1" applyFont="1" applyFill="1" applyAlignment="1">
      <alignment horizontal="left" vertical="top"/>
    </xf>
    <xf numFmtId="168" fontId="2" fillId="10" borderId="0" xfId="0" applyNumberFormat="1" applyFont="1" applyFill="1" applyAlignment="1">
      <alignment horizontal="left" vertical="top"/>
    </xf>
    <xf numFmtId="168" fontId="2" fillId="0" borderId="0" xfId="0" applyNumberFormat="1" applyFont="1" applyAlignment="1">
      <alignment horizontal="left" vertical="top"/>
    </xf>
    <xf numFmtId="171" fontId="2" fillId="4" borderId="0" xfId="0" applyNumberFormat="1" applyFont="1" applyFill="1" applyAlignment="1">
      <alignment horizontal="left" vertical="top"/>
    </xf>
    <xf numFmtId="0" fontId="0" fillId="0" borderId="0" xfId="0"/>
    <xf numFmtId="0" fontId="2" fillId="3" borderId="0" xfId="0" applyFont="1" applyFill="1" applyAlignment="1">
      <alignment horizontal="left" vertical="top"/>
    </xf>
    <xf numFmtId="0" fontId="2" fillId="4" borderId="0" xfId="0" applyFont="1" applyFill="1" applyAlignment="1">
      <alignment horizontal="left" vertical="top"/>
    </xf>
    <xf numFmtId="0" fontId="2" fillId="5" borderId="0" xfId="0" applyFont="1" applyFill="1" applyAlignment="1">
      <alignment horizontal="left" vertical="top"/>
    </xf>
    <xf numFmtId="0" fontId="2" fillId="6" borderId="0" xfId="0" applyFont="1" applyFill="1" applyAlignment="1">
      <alignment horizontal="left" vertical="top"/>
    </xf>
    <xf numFmtId="0" fontId="2" fillId="7" borderId="0" xfId="0" applyFont="1" applyFill="1" applyAlignment="1">
      <alignment horizontal="left" vertical="top"/>
    </xf>
    <xf numFmtId="0" fontId="4" fillId="3" borderId="0" xfId="0" applyFont="1" applyFill="1" applyAlignment="1">
      <alignment horizontal="left" vertical="top"/>
    </xf>
    <xf numFmtId="0" fontId="4" fillId="4" borderId="0" xfId="0" applyFont="1" applyFill="1" applyAlignment="1">
      <alignment horizontal="left" vertical="top"/>
    </xf>
    <xf numFmtId="0" fontId="4" fillId="5" borderId="0" xfId="0" applyFont="1" applyFill="1" applyAlignment="1">
      <alignment horizontal="left" vertical="top"/>
    </xf>
    <xf numFmtId="0" fontId="4" fillId="6" borderId="0" xfId="0" applyFont="1" applyFill="1" applyAlignment="1">
      <alignment horizontal="left" vertical="top"/>
    </xf>
    <xf numFmtId="0" fontId="4" fillId="7" borderId="0" xfId="0" applyFont="1" applyFill="1" applyAlignment="1">
      <alignment horizontal="left" vertical="top"/>
    </xf>
    <xf numFmtId="0" fontId="27" fillId="0" borderId="0" xfId="0" applyFont="1"/>
    <xf numFmtId="0" fontId="0" fillId="0" borderId="0" xfId="0" applyAlignment="1">
      <alignment horizontal="left"/>
    </xf>
    <xf numFmtId="0" fontId="6" fillId="14" borderId="0" xfId="0" applyFont="1" applyFill="1" applyAlignment="1">
      <alignment horizontal="center"/>
    </xf>
    <xf numFmtId="0" fontId="6" fillId="0" borderId="0" xfId="0" applyFont="1" applyAlignment="1">
      <alignment horizontal="center"/>
    </xf>
    <xf numFmtId="0" fontId="6" fillId="15" borderId="0" xfId="0" applyFont="1" applyFill="1" applyAlignment="1">
      <alignment horizontal="center"/>
    </xf>
    <xf numFmtId="0" fontId="6" fillId="16" borderId="0" xfId="0" applyFont="1" applyFill="1" applyAlignment="1">
      <alignment horizontal="center"/>
    </xf>
    <xf numFmtId="0" fontId="6" fillId="0" borderId="0" xfId="0" applyFont="1"/>
    <xf numFmtId="0" fontId="4" fillId="0" borderId="0" xfId="0" applyFont="1" applyAlignment="1">
      <alignment horizontal="left"/>
    </xf>
    <xf numFmtId="0" fontId="1" fillId="0" borderId="0" xfId="0" applyFont="1" applyAlignment="1">
      <alignment horizontal="right"/>
    </xf>
    <xf numFmtId="0" fontId="3" fillId="0" borderId="0" xfId="0" applyFont="1" applyAlignment="1">
      <alignment horizontal="left" wrapText="1"/>
    </xf>
  </cellXfs>
  <cellStyles count="1">
    <cellStyle name="Normal" xfId="0" builtinId="0"/>
  </cellStyles>
  <dxfs count="3">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Dung Nguyen" id="{A5DAFF7A-BF1B-4BAF-96A4-DEBEE120E380}" userId="" providerId="google-sheets"/>
  <person displayName="Mika Nguyễn" id="{B1BEF398-304C-4B8A-9CAF-CA67B266F2CF}"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35" dT="2024-09-04T01:31:09.00" personId="{B1BEF398-304C-4B8A-9CAF-CA67B266F2CF}" id="{B8290227-9A29-4C1A-83D3-4A72F732CECA}">
    <text>Kiểm tra lại thêm bài của Duy, chị thấy Gấm làm đúng, Duy làm bị thiếu</text>
  </threadedComment>
  <threadedComment ref="G43" dT="2024-09-04T01:31:21.00" personId="{B1BEF398-304C-4B8A-9CAF-CA67B266F2CF}" id="{90CFA63E-A6F8-4257-8E68-440380E57076}">
    <text>Kiểm tra lại thêm bài của Duy, chị thấy Gấm làm đúng, Duy làm bị thiếu/ sai</text>
  </threadedComment>
</ThreadedComments>
</file>

<file path=xl/threadedComments/threadedComment2.xml><?xml version="1.0" encoding="utf-8"?>
<ThreadedComments xmlns="http://schemas.microsoft.com/office/spreadsheetml/2018/threadedcomments" xmlns:x="http://schemas.openxmlformats.org/spreadsheetml/2006/main">
  <threadedComment ref="E5" dT="2024-10-06T04:56:52.00" personId="{A5DAFF7A-BF1B-4BAF-96A4-DEBEE120E380}" id="{7B2A8AF0-5F24-48A0-ABF8-25F157615A41}" done="1">
    <text>?</text>
  </threadedComment>
  <threadedComment ref="F5" dT="2024-10-06T04:57:00.00" personId="{A5DAFF7A-BF1B-4BAF-96A4-DEBEE120E380}" id="{28BE5458-28E4-42F1-A159-71D68F8FF3BB}" done="1">
    <text>?</text>
  </threadedComment>
  <threadedComment ref="H5" dT="2024-10-06T04:57:11.00" personId="{A5DAFF7A-BF1B-4BAF-96A4-DEBEE120E380}" id="{09C8E0DC-B935-4019-B32C-F46D6D37D8A0}" done="1">
    <text>?</text>
  </threadedComment>
  <threadedComment ref="K5" dT="2024-10-06T04:56:42.00" personId="{A5DAFF7A-BF1B-4BAF-96A4-DEBEE120E380}" id="{F7BE8E0E-1BD8-4323-817E-56B01D801D6F}" done="1">
    <text>?</text>
  </threadedComment>
  <threadedComment ref="K11" dT="2024-10-07T11:40:26.00" personId="{B1BEF398-304C-4B8A-9CAF-CA67B266F2CF}" id="{B8F08978-A4EC-409B-B457-76DA262505E3}" done="1">
    <text>Kiểm tra lại full-text</text>
  </threadedComment>
  <threadedComment ref="E14" dT="2024-10-07T11:43:31.00" personId="{B1BEF398-304C-4B8A-9CAF-CA67B266F2CF}" id="{F51F798E-DBE7-43A8-B60C-53C028F729C2}" done="1">
    <text>Cột E</text>
  </threadedComment>
  <threadedComment ref="F14" dT="2024-10-07T11:43:42.00" personId="{B1BEF398-304C-4B8A-9CAF-CA67B266F2CF}" id="{9475CF11-3895-48D8-B302-8BA5A3B2A2FC}" done="1">
    <text>Cột F</text>
  </threadedComment>
  <threadedComment ref="A246" dT="2024-12-17T08:00:57.00" personId="{A5DAFF7A-BF1B-4BAF-96A4-DEBEE120E380}" id="{08574138-6169-4A21-A82B-7ADCDDCBE2ED}">
    <text>Duplicate N18</text>
  </threadedComment>
  <threadedComment ref="B327" dT="2024-11-14T03:55:49.00" personId="{A5DAFF7A-BF1B-4BAF-96A4-DEBEE120E380}" id="{63CD4692-BE24-4DF8-A113-7A74F135F69C}">
    <text>ieu-a-996 already included in GCST004748</text>
  </threadedComment>
  <threadedComment ref="B333" dT="2024-11-14T04:06:18.00" personId="{A5DAFF7A-BF1B-4BAF-96A4-DEBEE120E380}" id="{F9E537CB-8248-4EF2-B459-D51511DCEDE6}">
    <text>ieu-a-996 already included in GCST004748</text>
  </threadedComment>
  <threadedComment ref="A347" dT="2024-12-17T08:43:47.00" personId="{A5DAFF7A-BF1B-4BAF-96A4-DEBEE120E380}" id="{58F49EA2-75A7-4542-9241-C4F3B2E970B5}">
    <text>Duplicate ID47 themselves</text>
  </threadedComment>
  <threadedComment ref="B353" dT="2024-11-14T03:56:08.00" personId="{A5DAFF7A-BF1B-4BAF-96A4-DEBEE120E380}" id="{F7E187CC-371E-4F70-AE84-422360CDBCF3}">
    <text>ieu-a-996 already included in GCST004748</text>
  </threadedComment>
  <threadedComment ref="A453" dT="2024-12-17T08:01:32.00" personId="{A5DAFF7A-BF1B-4BAF-96A4-DEBEE120E380}" id="{FF9D0BAB-E4BE-4E96-99EF-78182AC5A847}">
    <text>Duplicate N18 themselves</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3" Type="http://schemas.openxmlformats.org/officeDocument/2006/relationships/hyperlink" Target="https://www.cell.com/cell/fulltext/S0092-8674(21)00941-7" TargetMode="External"/><Relationship Id="rId18" Type="http://schemas.openxmlformats.org/officeDocument/2006/relationships/hyperlink" Target="https://www.cell.com/cell/fulltext/S0092-8674(21)00941-7" TargetMode="External"/><Relationship Id="rId26" Type="http://schemas.openxmlformats.org/officeDocument/2006/relationships/hyperlink" Target="https://www.nature.com/articles/s41467-020-15193-0" TargetMode="External"/><Relationship Id="rId39" Type="http://schemas.openxmlformats.org/officeDocument/2006/relationships/hyperlink" Target="https://www.ebi.ac.uk/gwas/studies/GCST004750" TargetMode="External"/><Relationship Id="rId21" Type="http://schemas.openxmlformats.org/officeDocument/2006/relationships/hyperlink" Target="https://www.cell.com/cell/fulltext/S0092-8674(21)00941-7" TargetMode="External"/><Relationship Id="rId34" Type="http://schemas.openxmlformats.org/officeDocument/2006/relationships/hyperlink" Target="https://www.ebi.ac.uk/gwas/studies/GCST004744" TargetMode="External"/><Relationship Id="rId42" Type="http://schemas.openxmlformats.org/officeDocument/2006/relationships/hyperlink" Target="https://www.ebi.ac.uk/gwas/studies/GCST004746" TargetMode="External"/><Relationship Id="rId47" Type="http://schemas.openxmlformats.org/officeDocument/2006/relationships/hyperlink" Target="https://doi.org/10.1136/gutjnl-2020-323906" TargetMode="External"/><Relationship Id="rId50" Type="http://schemas.openxmlformats.org/officeDocument/2006/relationships/hyperlink" Target="https://journals.plos.org/plosgenetics/article?id=10.1371/journal.pgen.1010162" TargetMode="External"/><Relationship Id="rId7" Type="http://schemas.openxmlformats.org/officeDocument/2006/relationships/hyperlink" Target="https://www.cell.com/cell/fulltext/S0092-8674(21)00941-7" TargetMode="External"/><Relationship Id="rId2" Type="http://schemas.openxmlformats.org/officeDocument/2006/relationships/hyperlink" Target="https://www.cell.com/cell/fulltext/S0092-8674(21)00941-7" TargetMode="External"/><Relationship Id="rId16" Type="http://schemas.openxmlformats.org/officeDocument/2006/relationships/hyperlink" Target="https://www.cell.com/cell/fulltext/S0092-8674(21)00941-7" TargetMode="External"/><Relationship Id="rId29" Type="http://schemas.openxmlformats.org/officeDocument/2006/relationships/hyperlink" Target="https://www.ebi.ac.uk/gwas/studies/GCST004748" TargetMode="External"/><Relationship Id="rId11" Type="http://schemas.openxmlformats.org/officeDocument/2006/relationships/hyperlink" Target="https://www.cell.com/cell/fulltext/S0092-8674(21)00941-7" TargetMode="External"/><Relationship Id="rId24" Type="http://schemas.openxmlformats.org/officeDocument/2006/relationships/hyperlink" Target="https://www.cell.com/cell/fulltext/S0092-8674(21)00941-7" TargetMode="External"/><Relationship Id="rId32" Type="http://schemas.openxmlformats.org/officeDocument/2006/relationships/hyperlink" Target="https://www.ebi.ac.uk/gwas/studies/GCST004744" TargetMode="External"/><Relationship Id="rId37" Type="http://schemas.openxmlformats.org/officeDocument/2006/relationships/hyperlink" Target="https://www.ebi.ac.uk/gwas/studies/GCST004750" TargetMode="External"/><Relationship Id="rId40" Type="http://schemas.openxmlformats.org/officeDocument/2006/relationships/hyperlink" Target="https://www.ebi.ac.uk/gwas/studies/GCST004746" TargetMode="External"/><Relationship Id="rId45" Type="http://schemas.openxmlformats.org/officeDocument/2006/relationships/hyperlink" Target="https://doi.org/10.1136/gutjnl-2020-323906" TargetMode="External"/><Relationship Id="rId53" Type="http://schemas.microsoft.com/office/2017/10/relationships/threadedComment" Target="../threadedComments/threadedComment2.xml"/><Relationship Id="rId5" Type="http://schemas.openxmlformats.org/officeDocument/2006/relationships/hyperlink" Target="https://www.cell.com/cell/fulltext/S0092-8674(21)00941-7" TargetMode="External"/><Relationship Id="rId10" Type="http://schemas.openxmlformats.org/officeDocument/2006/relationships/hyperlink" Target="https://www.cell.com/cell/fulltext/S0092-8674(21)00941-7" TargetMode="External"/><Relationship Id="rId19" Type="http://schemas.openxmlformats.org/officeDocument/2006/relationships/hyperlink" Target="https://www.cell.com/cell/fulltext/S0092-8674(21)00941-7" TargetMode="External"/><Relationship Id="rId31" Type="http://schemas.openxmlformats.org/officeDocument/2006/relationships/hyperlink" Target="https://www.ebi.ac.uk/gwas/studies/GCST004748" TargetMode="External"/><Relationship Id="rId44" Type="http://schemas.openxmlformats.org/officeDocument/2006/relationships/hyperlink" Target="https://doi.org/10.1136/gutjnl-2020-323906" TargetMode="External"/><Relationship Id="rId52" Type="http://schemas.openxmlformats.org/officeDocument/2006/relationships/comments" Target="../comments2.xml"/><Relationship Id="rId4" Type="http://schemas.openxmlformats.org/officeDocument/2006/relationships/hyperlink" Target="https://www.cell.com/cell/fulltext/S0092-8674(21)00941-7" TargetMode="External"/><Relationship Id="rId9" Type="http://schemas.openxmlformats.org/officeDocument/2006/relationships/hyperlink" Target="https://www.cell.com/cell/fulltext/S0092-8674(21)00941-7" TargetMode="External"/><Relationship Id="rId14" Type="http://schemas.openxmlformats.org/officeDocument/2006/relationships/hyperlink" Target="https://www.cell.com/cell/fulltext/S0092-8674(21)00941-7" TargetMode="External"/><Relationship Id="rId22" Type="http://schemas.openxmlformats.org/officeDocument/2006/relationships/hyperlink" Target="https://www.cell.com/cell/fulltext/S0092-8674(21)00941-7" TargetMode="External"/><Relationship Id="rId27" Type="http://schemas.openxmlformats.org/officeDocument/2006/relationships/hyperlink" Target="https://www.tandfonline.com/doi/full/10.2217/14622416.6.6.639" TargetMode="External"/><Relationship Id="rId30" Type="http://schemas.openxmlformats.org/officeDocument/2006/relationships/hyperlink" Target="https://www.ebi.ac.uk/gwas/studies/GCST004748" TargetMode="External"/><Relationship Id="rId35" Type="http://schemas.openxmlformats.org/officeDocument/2006/relationships/hyperlink" Target="https://www.ebi.ac.uk/gwas/studies/GCST004744" TargetMode="External"/><Relationship Id="rId43" Type="http://schemas.openxmlformats.org/officeDocument/2006/relationships/hyperlink" Target="https://www.ebi.ac.uk/gwas/studies/GCST004746" TargetMode="External"/><Relationship Id="rId48" Type="http://schemas.openxmlformats.org/officeDocument/2006/relationships/hyperlink" Target="https://www.covid19hg.org/results/r7/" TargetMode="External"/><Relationship Id="rId8" Type="http://schemas.openxmlformats.org/officeDocument/2006/relationships/hyperlink" Target="https://www.cell.com/cell/fulltext/S0092-8674(21)00941-7" TargetMode="External"/><Relationship Id="rId51" Type="http://schemas.openxmlformats.org/officeDocument/2006/relationships/vmlDrawing" Target="../drawings/vmlDrawing2.vml"/><Relationship Id="rId3" Type="http://schemas.openxmlformats.org/officeDocument/2006/relationships/hyperlink" Target="https://www.cell.com/cell/fulltext/S0092-8674(21)00941-7" TargetMode="External"/><Relationship Id="rId12" Type="http://schemas.openxmlformats.org/officeDocument/2006/relationships/hyperlink" Target="https://www.cell.com/cell/fulltext/S0092-8674(21)00941-7" TargetMode="External"/><Relationship Id="rId17" Type="http://schemas.openxmlformats.org/officeDocument/2006/relationships/hyperlink" Target="https://www.cell.com/cell/fulltext/S0092-8674(21)00941-7" TargetMode="External"/><Relationship Id="rId25" Type="http://schemas.openxmlformats.org/officeDocument/2006/relationships/hyperlink" Target="https://www.cell.com/cell/fulltext/S0092-8674(21)00941-7" TargetMode="External"/><Relationship Id="rId33" Type="http://schemas.openxmlformats.org/officeDocument/2006/relationships/hyperlink" Target="https://www.ebi.ac.uk/gwas/studies/GCST004744" TargetMode="External"/><Relationship Id="rId38" Type="http://schemas.openxmlformats.org/officeDocument/2006/relationships/hyperlink" Target="https://www.ebi.ac.uk/gwas/studies/GCST004750" TargetMode="External"/><Relationship Id="rId46" Type="http://schemas.openxmlformats.org/officeDocument/2006/relationships/hyperlink" Target="https://doi.org/10.1136/gutjnl-2020-323906" TargetMode="External"/><Relationship Id="rId20" Type="http://schemas.openxmlformats.org/officeDocument/2006/relationships/hyperlink" Target="https://www.cell.com/cell/fulltext/S0092-8674(21)00941-7" TargetMode="External"/><Relationship Id="rId41" Type="http://schemas.openxmlformats.org/officeDocument/2006/relationships/hyperlink" Target="https://www.ebi.ac.uk/gwas/studies/GCST004746" TargetMode="External"/><Relationship Id="rId1" Type="http://schemas.openxmlformats.org/officeDocument/2006/relationships/hyperlink" Target="https://www.nature.com/articles/s41467-018-03819-3" TargetMode="External"/><Relationship Id="rId6" Type="http://schemas.openxmlformats.org/officeDocument/2006/relationships/hyperlink" Target="https://www.cell.com/cell/fulltext/S0092-8674(21)00941-7" TargetMode="External"/><Relationship Id="rId15" Type="http://schemas.openxmlformats.org/officeDocument/2006/relationships/hyperlink" Target="https://www.cell.com/cell/fulltext/S0092-8674(21)00941-7" TargetMode="External"/><Relationship Id="rId23" Type="http://schemas.openxmlformats.org/officeDocument/2006/relationships/hyperlink" Target="https://www.cell.com/cell/fulltext/S0092-8674(21)00941-7" TargetMode="External"/><Relationship Id="rId28" Type="http://schemas.openxmlformats.org/officeDocument/2006/relationships/hyperlink" Target="https://www.ebi.ac.uk/gwas/studies/GCST004748" TargetMode="External"/><Relationship Id="rId36" Type="http://schemas.openxmlformats.org/officeDocument/2006/relationships/hyperlink" Target="https://www.ebi.ac.uk/gwas/studies/GCST004750" TargetMode="External"/><Relationship Id="rId49" Type="http://schemas.openxmlformats.org/officeDocument/2006/relationships/hyperlink" Target="https://journals.plos.org/plosgenetics/article?id=10.1371/journal.pgen.1010162"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ebi.ac.uk/gwas/studies/GCST004750" TargetMode="External"/><Relationship Id="rId13" Type="http://schemas.openxmlformats.org/officeDocument/2006/relationships/hyperlink" Target="https://doi.org/10.1136/gutjnl-2020-323906" TargetMode="External"/><Relationship Id="rId18" Type="http://schemas.openxmlformats.org/officeDocument/2006/relationships/hyperlink" Target="https://www.nature.com/articles/s41467-018-03819-3" TargetMode="External"/><Relationship Id="rId3" Type="http://schemas.openxmlformats.org/officeDocument/2006/relationships/hyperlink" Target="https://www.ebi.ac.uk/gwas/studies/GCST004748" TargetMode="External"/><Relationship Id="rId21" Type="http://schemas.openxmlformats.org/officeDocument/2006/relationships/hyperlink" Target="https://journals.plos.org/plosgenetics/article?id=10.1371/journal.pgen.1010162" TargetMode="External"/><Relationship Id="rId7" Type="http://schemas.openxmlformats.org/officeDocument/2006/relationships/hyperlink" Target="https://www.ebi.ac.uk/gwas/studies/GCST004750" TargetMode="External"/><Relationship Id="rId12" Type="http://schemas.openxmlformats.org/officeDocument/2006/relationships/hyperlink" Target="https://www.ebi.ac.uk/gwas/studies/GCST004746" TargetMode="External"/><Relationship Id="rId17" Type="http://schemas.openxmlformats.org/officeDocument/2006/relationships/hyperlink" Target="https://www.covid19hg.org/results/r7/" TargetMode="External"/><Relationship Id="rId2" Type="http://schemas.openxmlformats.org/officeDocument/2006/relationships/hyperlink" Target="https://www.tandfonline.com/doi/full/10.2217/14622416.6.6.639" TargetMode="External"/><Relationship Id="rId16" Type="http://schemas.openxmlformats.org/officeDocument/2006/relationships/hyperlink" Target="https://doi.org/10.1136/gutjnl-2020-323906" TargetMode="External"/><Relationship Id="rId20" Type="http://schemas.openxmlformats.org/officeDocument/2006/relationships/hyperlink" Target="https://www.ebi.ac.uk/gwas/studies/GCST004744" TargetMode="External"/><Relationship Id="rId1" Type="http://schemas.openxmlformats.org/officeDocument/2006/relationships/hyperlink" Target="https://www.nature.com/articles/s41467-020-15193-0" TargetMode="External"/><Relationship Id="rId6" Type="http://schemas.openxmlformats.org/officeDocument/2006/relationships/hyperlink" Target="https://www.ebi.ac.uk/gwas/studies/GCST004744" TargetMode="External"/><Relationship Id="rId11" Type="http://schemas.openxmlformats.org/officeDocument/2006/relationships/hyperlink" Target="https://www.ebi.ac.uk/gwas/studies/GCST004746" TargetMode="External"/><Relationship Id="rId5" Type="http://schemas.openxmlformats.org/officeDocument/2006/relationships/hyperlink" Target="https://www.ebi.ac.uk/gwas/studies/GCST004744" TargetMode="External"/><Relationship Id="rId15" Type="http://schemas.openxmlformats.org/officeDocument/2006/relationships/hyperlink" Target="https://doi.org/10.1136/gutjnl-2020-323906" TargetMode="External"/><Relationship Id="rId23" Type="http://schemas.openxmlformats.org/officeDocument/2006/relationships/hyperlink" Target="https://www.ebi.ac.uk/gwas/studies/GCST004750" TargetMode="External"/><Relationship Id="rId10" Type="http://schemas.openxmlformats.org/officeDocument/2006/relationships/hyperlink" Target="https://www.ebi.ac.uk/gwas/studies/GCST004746" TargetMode="External"/><Relationship Id="rId19" Type="http://schemas.openxmlformats.org/officeDocument/2006/relationships/hyperlink" Target="https://journals.plos.org/plosgenetics/article?id=10.1371/journal.pgen.1010162" TargetMode="External"/><Relationship Id="rId4" Type="http://schemas.openxmlformats.org/officeDocument/2006/relationships/hyperlink" Target="https://www.ebi.ac.uk/gwas/studies/GCST004744" TargetMode="External"/><Relationship Id="rId9" Type="http://schemas.openxmlformats.org/officeDocument/2006/relationships/hyperlink" Target="https://www.ebi.ac.uk/gwas/studies/GCST004750" TargetMode="External"/><Relationship Id="rId14" Type="http://schemas.openxmlformats.org/officeDocument/2006/relationships/hyperlink" Target="https://doi.org/10.1136/gutjnl-2020-323906" TargetMode="External"/><Relationship Id="rId22" Type="http://schemas.openxmlformats.org/officeDocument/2006/relationships/hyperlink" Target="https://www.ebi.ac.uk/gwas/studies/GCST004746"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ebi.ac.uk/gwas/studies/GCST004744" TargetMode="External"/><Relationship Id="rId13" Type="http://schemas.openxmlformats.org/officeDocument/2006/relationships/hyperlink" Target="https://www.ebi.ac.uk/gwas/studies/GCST004746" TargetMode="External"/><Relationship Id="rId18" Type="http://schemas.openxmlformats.org/officeDocument/2006/relationships/hyperlink" Target="https://doi.org/10.1136/gutjnl-2020-323906" TargetMode="External"/><Relationship Id="rId3" Type="http://schemas.openxmlformats.org/officeDocument/2006/relationships/hyperlink" Target="https://www.tandfonline.com/doi/full/10.2217/14622416.6.6.639" TargetMode="External"/><Relationship Id="rId21" Type="http://schemas.openxmlformats.org/officeDocument/2006/relationships/hyperlink" Target="https://www.covid19hg.org/results/r7/" TargetMode="External"/><Relationship Id="rId7" Type="http://schemas.openxmlformats.org/officeDocument/2006/relationships/hyperlink" Target="https://www.ebi.ac.uk/gwas/studies/GCST004744" TargetMode="External"/><Relationship Id="rId12" Type="http://schemas.openxmlformats.org/officeDocument/2006/relationships/hyperlink" Target="https://www.ebi.ac.uk/gwas/studies/GCST004750" TargetMode="External"/><Relationship Id="rId17" Type="http://schemas.openxmlformats.org/officeDocument/2006/relationships/hyperlink" Target="https://doi.org/10.1136/gutjnl-2020-323906" TargetMode="External"/><Relationship Id="rId2" Type="http://schemas.openxmlformats.org/officeDocument/2006/relationships/hyperlink" Target="https://www.nature.com/articles/s41467-020-15193-0" TargetMode="External"/><Relationship Id="rId16" Type="http://schemas.openxmlformats.org/officeDocument/2006/relationships/hyperlink" Target="https://www.ebi.ac.uk/gwas/studies/GCST004746" TargetMode="External"/><Relationship Id="rId20" Type="http://schemas.openxmlformats.org/officeDocument/2006/relationships/hyperlink" Target="https://doi.org/10.1136/gutjnl-2020-323906" TargetMode="External"/><Relationship Id="rId1" Type="http://schemas.openxmlformats.org/officeDocument/2006/relationships/hyperlink" Target="https://www.nature.com/articles/s41467-018-03819-3" TargetMode="External"/><Relationship Id="rId6" Type="http://schemas.openxmlformats.org/officeDocument/2006/relationships/hyperlink" Target="https://www.ebi.ac.uk/gwas/studies/GCST004744" TargetMode="External"/><Relationship Id="rId11" Type="http://schemas.openxmlformats.org/officeDocument/2006/relationships/hyperlink" Target="https://www.ebi.ac.uk/gwas/studies/GCST004750" TargetMode="External"/><Relationship Id="rId5" Type="http://schemas.openxmlformats.org/officeDocument/2006/relationships/hyperlink" Target="https://www.ebi.ac.uk/gwas/studies/GCST004744" TargetMode="External"/><Relationship Id="rId15" Type="http://schemas.openxmlformats.org/officeDocument/2006/relationships/hyperlink" Target="https://www.ebi.ac.uk/gwas/studies/GCST004746" TargetMode="External"/><Relationship Id="rId23" Type="http://schemas.openxmlformats.org/officeDocument/2006/relationships/hyperlink" Target="https://journals.plos.org/plosgenetics/article?id=10.1371/journal.pgen.1010162" TargetMode="External"/><Relationship Id="rId10" Type="http://schemas.openxmlformats.org/officeDocument/2006/relationships/hyperlink" Target="https://www.ebi.ac.uk/gwas/studies/GCST004750" TargetMode="External"/><Relationship Id="rId19" Type="http://schemas.openxmlformats.org/officeDocument/2006/relationships/hyperlink" Target="https://doi.org/10.1136/gutjnl-2020-323906" TargetMode="External"/><Relationship Id="rId4" Type="http://schemas.openxmlformats.org/officeDocument/2006/relationships/hyperlink" Target="https://www.ebi.ac.uk/gwas/studies/GCST004748" TargetMode="External"/><Relationship Id="rId9" Type="http://schemas.openxmlformats.org/officeDocument/2006/relationships/hyperlink" Target="https://www.ebi.ac.uk/gwas/studies/GCST004750" TargetMode="External"/><Relationship Id="rId14" Type="http://schemas.openxmlformats.org/officeDocument/2006/relationships/hyperlink" Target="https://www.ebi.ac.uk/gwas/studies/GCST004746" TargetMode="External"/><Relationship Id="rId22" Type="http://schemas.openxmlformats.org/officeDocument/2006/relationships/hyperlink" Target="https://journals.plos.org/plosgenetics/article?id=10.1371/journal.pgen.101016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90993-9FFB-4F3B-AAD9-F280D5D3ABA0}">
  <dimension ref="A1:H57"/>
  <sheetViews>
    <sheetView tabSelected="1" workbookViewId="0">
      <selection activeCell="A52" sqref="A52:XFD52"/>
    </sheetView>
  </sheetViews>
  <sheetFormatPr defaultColWidth="15.42578125" defaultRowHeight="13.15"/>
  <cols>
    <col min="1" max="1" width="7.35546875" customWidth="1"/>
    <col min="2" max="2" width="34.5703125" customWidth="1"/>
    <col min="3" max="3" width="16.640625" customWidth="1"/>
    <col min="4" max="4" width="9.35546875" customWidth="1"/>
    <col min="5" max="5" width="26.28515625" customWidth="1"/>
    <col min="6" max="6" width="64.7109375" customWidth="1"/>
    <col min="7" max="7" width="10.640625" customWidth="1"/>
    <col min="8" max="8" width="64.7109375" customWidth="1"/>
  </cols>
  <sheetData>
    <row r="1" spans="1:8" ht="14.25">
      <c r="A1" s="182" t="s">
        <v>2897</v>
      </c>
      <c r="B1" s="183" t="s">
        <v>2898</v>
      </c>
      <c r="C1" s="184" t="s">
        <v>2899</v>
      </c>
      <c r="D1" s="183" t="s">
        <v>2900</v>
      </c>
      <c r="E1" s="185" t="s">
        <v>2901</v>
      </c>
      <c r="F1" s="183" t="s">
        <v>2902</v>
      </c>
      <c r="G1" s="183" t="s">
        <v>2903</v>
      </c>
      <c r="H1" s="183" t="s">
        <v>2904</v>
      </c>
    </row>
    <row r="2" spans="1:8" ht="14.25">
      <c r="A2" s="186">
        <v>2</v>
      </c>
      <c r="B2" s="22" t="s">
        <v>2905</v>
      </c>
      <c r="C2" s="22"/>
      <c r="D2" s="22">
        <v>2023</v>
      </c>
      <c r="E2" s="187" t="s">
        <v>2906</v>
      </c>
      <c r="F2" s="22" t="s">
        <v>2907</v>
      </c>
      <c r="G2" s="22" t="s">
        <v>2828</v>
      </c>
      <c r="H2" s="22"/>
    </row>
    <row r="3" spans="1:8" ht="15.75" customHeight="1">
      <c r="A3" s="186">
        <v>22</v>
      </c>
      <c r="B3" s="22" t="s">
        <v>2908</v>
      </c>
      <c r="C3" s="22"/>
      <c r="D3" s="22">
        <v>2023</v>
      </c>
      <c r="E3" s="187" t="s">
        <v>2909</v>
      </c>
      <c r="F3" s="22" t="s">
        <v>2910</v>
      </c>
      <c r="G3" s="22" t="s">
        <v>2828</v>
      </c>
      <c r="H3" s="22"/>
    </row>
    <row r="4" spans="1:8" ht="15.75" customHeight="1">
      <c r="A4" s="186">
        <v>28</v>
      </c>
      <c r="B4" s="22" t="s">
        <v>2911</v>
      </c>
      <c r="C4" s="22"/>
      <c r="D4" s="22">
        <v>2023</v>
      </c>
      <c r="E4" s="187" t="s">
        <v>2912</v>
      </c>
      <c r="F4" s="22" t="s">
        <v>2913</v>
      </c>
      <c r="G4" s="22" t="s">
        <v>2828</v>
      </c>
      <c r="H4" s="22"/>
    </row>
    <row r="5" spans="1:8" ht="15.75" customHeight="1">
      <c r="A5" s="186">
        <v>32</v>
      </c>
      <c r="B5" s="22" t="s">
        <v>2914</v>
      </c>
      <c r="C5" s="22"/>
      <c r="D5" s="22">
        <v>2024</v>
      </c>
      <c r="E5" s="187" t="s">
        <v>2915</v>
      </c>
      <c r="F5" s="22" t="s">
        <v>2916</v>
      </c>
      <c r="G5" s="22" t="s">
        <v>2828</v>
      </c>
      <c r="H5" s="22"/>
    </row>
    <row r="6" spans="1:8" ht="15.75" customHeight="1">
      <c r="A6" s="186">
        <v>35</v>
      </c>
      <c r="B6" s="22" t="s">
        <v>2917</v>
      </c>
      <c r="C6" s="22"/>
      <c r="D6" s="22">
        <v>2024</v>
      </c>
      <c r="E6" s="187" t="s">
        <v>2918</v>
      </c>
      <c r="F6" s="22" t="s">
        <v>2919</v>
      </c>
      <c r="G6" s="22" t="s">
        <v>2828</v>
      </c>
      <c r="H6" s="22"/>
    </row>
    <row r="7" spans="1:8" ht="15.75" customHeight="1">
      <c r="A7" s="186">
        <v>39</v>
      </c>
      <c r="B7" s="22" t="s">
        <v>2920</v>
      </c>
      <c r="C7" s="22"/>
      <c r="D7" s="22">
        <v>2023</v>
      </c>
      <c r="E7" s="187" t="s">
        <v>2921</v>
      </c>
      <c r="F7" s="22" t="s">
        <v>2922</v>
      </c>
      <c r="G7" s="22" t="s">
        <v>2828</v>
      </c>
      <c r="H7" s="22"/>
    </row>
    <row r="8" spans="1:8" ht="15.75" customHeight="1">
      <c r="A8" s="186">
        <v>40</v>
      </c>
      <c r="B8" s="22" t="s">
        <v>2923</v>
      </c>
      <c r="C8" s="22"/>
      <c r="D8" s="22">
        <v>2023</v>
      </c>
      <c r="E8" s="187" t="s">
        <v>2924</v>
      </c>
      <c r="F8" s="22" t="s">
        <v>2925</v>
      </c>
      <c r="G8" s="22" t="s">
        <v>2828</v>
      </c>
      <c r="H8" s="22"/>
    </row>
    <row r="9" spans="1:8" ht="15.75" customHeight="1">
      <c r="A9" s="186">
        <v>45</v>
      </c>
      <c r="B9" s="22" t="s">
        <v>2926</v>
      </c>
      <c r="C9" s="22"/>
      <c r="D9" s="22">
        <v>2024</v>
      </c>
      <c r="E9" s="187" t="s">
        <v>2927</v>
      </c>
      <c r="F9" s="22" t="s">
        <v>2928</v>
      </c>
      <c r="G9" s="22" t="s">
        <v>2828</v>
      </c>
      <c r="H9" s="22"/>
    </row>
    <row r="10" spans="1:8" ht="15.75" customHeight="1">
      <c r="A10" s="186">
        <v>47</v>
      </c>
      <c r="B10" s="22" t="s">
        <v>2929</v>
      </c>
      <c r="C10" s="22"/>
      <c r="D10" s="22">
        <v>2022</v>
      </c>
      <c r="E10" s="187" t="s">
        <v>2930</v>
      </c>
      <c r="F10" s="22" t="s">
        <v>2931</v>
      </c>
      <c r="G10" s="22" t="s">
        <v>2828</v>
      </c>
      <c r="H10" s="22"/>
    </row>
    <row r="11" spans="1:8" ht="15.75" customHeight="1">
      <c r="A11" s="22">
        <v>49</v>
      </c>
      <c r="B11" s="22" t="s">
        <v>2932</v>
      </c>
      <c r="C11" s="22"/>
      <c r="D11" s="22">
        <v>2021</v>
      </c>
      <c r="E11" s="187" t="s">
        <v>2933</v>
      </c>
      <c r="F11" s="22" t="s">
        <v>2934</v>
      </c>
      <c r="G11" s="22" t="s">
        <v>2828</v>
      </c>
      <c r="H11" s="22"/>
    </row>
    <row r="12" spans="1:8" ht="15.75" customHeight="1">
      <c r="A12" s="22">
        <v>50</v>
      </c>
      <c r="B12" s="22" t="s">
        <v>2935</v>
      </c>
      <c r="C12" s="22"/>
      <c r="D12" s="22">
        <v>2024</v>
      </c>
      <c r="E12" s="187" t="s">
        <v>2936</v>
      </c>
      <c r="F12" s="22" t="s">
        <v>2937</v>
      </c>
      <c r="G12" s="22" t="s">
        <v>2828</v>
      </c>
      <c r="H12" s="22"/>
    </row>
    <row r="13" spans="1:8" ht="15.75" customHeight="1">
      <c r="A13" s="186">
        <v>60</v>
      </c>
      <c r="B13" s="22" t="s">
        <v>2938</v>
      </c>
      <c r="C13" s="22"/>
      <c r="D13" s="22">
        <v>2023</v>
      </c>
      <c r="E13" s="187" t="s">
        <v>2939</v>
      </c>
      <c r="F13" s="22" t="s">
        <v>2940</v>
      </c>
      <c r="G13" s="22" t="s">
        <v>2828</v>
      </c>
      <c r="H13" s="22"/>
    </row>
    <row r="14" spans="1:8" ht="15.75" customHeight="1">
      <c r="A14" s="188">
        <v>64</v>
      </c>
      <c r="B14" s="41" t="s">
        <v>2941</v>
      </c>
      <c r="C14" s="41" t="s">
        <v>2942</v>
      </c>
      <c r="D14" s="130">
        <v>2024</v>
      </c>
      <c r="E14" s="189" t="s">
        <v>2943</v>
      </c>
      <c r="F14" s="41" t="s">
        <v>2944</v>
      </c>
      <c r="G14" s="22" t="s">
        <v>2828</v>
      </c>
      <c r="H14" s="41"/>
    </row>
    <row r="15" spans="1:8" ht="15.75" customHeight="1">
      <c r="A15" s="188">
        <v>66</v>
      </c>
      <c r="B15" s="41" t="s">
        <v>2945</v>
      </c>
      <c r="C15" s="41"/>
      <c r="D15" s="130">
        <v>2024</v>
      </c>
      <c r="E15" s="189" t="s">
        <v>2946</v>
      </c>
      <c r="F15" s="41" t="s">
        <v>2947</v>
      </c>
      <c r="G15" s="22" t="s">
        <v>2828</v>
      </c>
      <c r="H15" s="41"/>
    </row>
    <row r="16" spans="1:8" ht="15.75" customHeight="1">
      <c r="A16" s="188">
        <v>67</v>
      </c>
      <c r="B16" s="41" t="s">
        <v>2948</v>
      </c>
      <c r="C16" s="41"/>
      <c r="D16" s="130">
        <v>2024</v>
      </c>
      <c r="E16" s="189" t="s">
        <v>2949</v>
      </c>
      <c r="F16" s="41" t="s">
        <v>2950</v>
      </c>
      <c r="G16" s="22" t="s">
        <v>2828</v>
      </c>
      <c r="H16" s="41"/>
    </row>
    <row r="17" spans="1:8" ht="15.75" customHeight="1">
      <c r="A17" s="186">
        <v>70</v>
      </c>
      <c r="B17" s="22" t="s">
        <v>2951</v>
      </c>
      <c r="C17" s="22"/>
      <c r="D17" s="22">
        <v>2023</v>
      </c>
      <c r="E17" s="187" t="s">
        <v>2952</v>
      </c>
      <c r="F17" s="22"/>
      <c r="G17" s="22" t="s">
        <v>2828</v>
      </c>
      <c r="H17" s="22"/>
    </row>
    <row r="18" spans="1:8" ht="15.75" customHeight="1">
      <c r="A18" s="22">
        <v>71</v>
      </c>
      <c r="B18" s="22" t="s">
        <v>2953</v>
      </c>
      <c r="C18" s="22"/>
      <c r="D18" s="22">
        <v>2024</v>
      </c>
      <c r="E18" s="187" t="s">
        <v>2954</v>
      </c>
      <c r="F18" s="22" t="s">
        <v>2955</v>
      </c>
      <c r="G18" s="22" t="s">
        <v>2828</v>
      </c>
      <c r="H18" s="22"/>
    </row>
    <row r="19" spans="1:8" ht="15.75" customHeight="1">
      <c r="A19" s="186">
        <v>72</v>
      </c>
      <c r="B19" s="22" t="s">
        <v>2956</v>
      </c>
      <c r="C19" s="22"/>
      <c r="D19" s="22">
        <v>2023</v>
      </c>
      <c r="E19" s="187" t="s">
        <v>2957</v>
      </c>
      <c r="F19" s="22" t="s">
        <v>2958</v>
      </c>
      <c r="G19" s="22" t="s">
        <v>2828</v>
      </c>
      <c r="H19" s="22"/>
    </row>
    <row r="20" spans="1:8" ht="15.75" customHeight="1">
      <c r="A20" s="130">
        <v>73</v>
      </c>
      <c r="B20" s="41" t="s">
        <v>2959</v>
      </c>
      <c r="C20" s="41"/>
      <c r="D20" s="130">
        <v>2024</v>
      </c>
      <c r="E20" s="189" t="s">
        <v>2960</v>
      </c>
      <c r="F20" s="41" t="s">
        <v>2961</v>
      </c>
      <c r="G20" s="22" t="s">
        <v>2828</v>
      </c>
      <c r="H20" s="41"/>
    </row>
    <row r="21" spans="1:8" ht="15.75" customHeight="1">
      <c r="A21" s="188">
        <v>75</v>
      </c>
      <c r="B21" s="41" t="s">
        <v>2962</v>
      </c>
      <c r="C21" s="41"/>
      <c r="D21" s="130">
        <v>2023</v>
      </c>
      <c r="E21" s="189" t="s">
        <v>2963</v>
      </c>
      <c r="F21" s="41" t="s">
        <v>2964</v>
      </c>
      <c r="G21" s="22" t="s">
        <v>2828</v>
      </c>
      <c r="H21" s="41"/>
    </row>
    <row r="22" spans="1:8" ht="15.75" customHeight="1">
      <c r="A22" s="186">
        <v>76</v>
      </c>
      <c r="B22" s="22" t="s">
        <v>2965</v>
      </c>
      <c r="C22" s="22"/>
      <c r="D22" s="22">
        <v>2024</v>
      </c>
      <c r="E22" s="187" t="s">
        <v>2966</v>
      </c>
      <c r="F22" s="22" t="s">
        <v>2967</v>
      </c>
      <c r="G22" s="22" t="s">
        <v>2828</v>
      </c>
      <c r="H22" s="22"/>
    </row>
    <row r="23" spans="1:8" ht="15.75" customHeight="1">
      <c r="A23" s="186">
        <v>79</v>
      </c>
      <c r="B23" s="22" t="s">
        <v>2968</v>
      </c>
      <c r="C23" s="22"/>
      <c r="D23" s="22">
        <v>2024</v>
      </c>
      <c r="E23" s="187" t="s">
        <v>2969</v>
      </c>
      <c r="F23" s="22" t="s">
        <v>2970</v>
      </c>
      <c r="G23" s="22" t="s">
        <v>2828</v>
      </c>
      <c r="H23" s="22"/>
    </row>
    <row r="24" spans="1:8" ht="15.75" customHeight="1">
      <c r="A24" s="186">
        <v>82</v>
      </c>
      <c r="B24" s="22" t="s">
        <v>2971</v>
      </c>
      <c r="C24" s="22"/>
      <c r="D24" s="22">
        <v>2023</v>
      </c>
      <c r="E24" s="187" t="s">
        <v>2972</v>
      </c>
      <c r="F24" s="22" t="s">
        <v>2973</v>
      </c>
      <c r="G24" s="22" t="s">
        <v>2828</v>
      </c>
      <c r="H24" s="22"/>
    </row>
    <row r="25" spans="1:8" ht="15.75" customHeight="1">
      <c r="A25" s="186">
        <v>89</v>
      </c>
      <c r="B25" s="22" t="s">
        <v>2974</v>
      </c>
      <c r="C25" s="22"/>
      <c r="D25" s="22">
        <v>2024</v>
      </c>
      <c r="E25" s="187" t="s">
        <v>2975</v>
      </c>
      <c r="F25" s="22" t="s">
        <v>2976</v>
      </c>
      <c r="G25" s="22" t="s">
        <v>2828</v>
      </c>
      <c r="H25" s="22"/>
    </row>
    <row r="26" spans="1:8" ht="15.75" customHeight="1">
      <c r="A26" s="186">
        <v>127</v>
      </c>
      <c r="B26" s="22" t="s">
        <v>2977</v>
      </c>
      <c r="C26" s="22"/>
      <c r="D26" s="22">
        <v>2023</v>
      </c>
      <c r="E26" s="187" t="s">
        <v>2978</v>
      </c>
      <c r="F26" s="22" t="s">
        <v>2979</v>
      </c>
      <c r="G26" s="22" t="s">
        <v>2828</v>
      </c>
      <c r="H26" s="22"/>
    </row>
    <row r="27" spans="1:8" ht="15.75" customHeight="1">
      <c r="A27" s="186">
        <v>128</v>
      </c>
      <c r="B27" s="22" t="s">
        <v>2980</v>
      </c>
      <c r="C27" s="22"/>
      <c r="D27" s="22">
        <v>2023</v>
      </c>
      <c r="E27" s="187" t="s">
        <v>2981</v>
      </c>
      <c r="F27" s="22" t="s">
        <v>2982</v>
      </c>
      <c r="G27" s="22" t="s">
        <v>2828</v>
      </c>
      <c r="H27" s="22"/>
    </row>
    <row r="28" spans="1:8" ht="15.75" customHeight="1">
      <c r="A28" s="186">
        <v>138</v>
      </c>
      <c r="B28" s="22" t="s">
        <v>2983</v>
      </c>
      <c r="C28" s="22"/>
      <c r="D28" s="22">
        <v>2023</v>
      </c>
      <c r="E28" s="187" t="s">
        <v>2984</v>
      </c>
      <c r="F28" s="22" t="s">
        <v>2985</v>
      </c>
      <c r="G28" s="22" t="s">
        <v>2828</v>
      </c>
      <c r="H28" s="22"/>
    </row>
    <row r="29" spans="1:8" ht="15.75" customHeight="1">
      <c r="A29" s="186">
        <v>139</v>
      </c>
      <c r="B29" s="22" t="s">
        <v>2986</v>
      </c>
      <c r="C29" s="22"/>
      <c r="D29" s="22">
        <v>2022</v>
      </c>
      <c r="E29" s="187" t="s">
        <v>2987</v>
      </c>
      <c r="F29" s="22" t="s">
        <v>2988</v>
      </c>
      <c r="G29" s="22" t="s">
        <v>2828</v>
      </c>
      <c r="H29" s="22"/>
    </row>
    <row r="30" spans="1:8" ht="15.75" customHeight="1">
      <c r="A30" s="22">
        <v>140</v>
      </c>
      <c r="B30" s="22" t="s">
        <v>2989</v>
      </c>
      <c r="C30" s="22"/>
      <c r="D30" s="22">
        <v>2023</v>
      </c>
      <c r="E30" s="187" t="s">
        <v>2990</v>
      </c>
      <c r="F30" s="22" t="s">
        <v>2991</v>
      </c>
      <c r="G30" s="22" t="s">
        <v>2828</v>
      </c>
      <c r="H30" s="22"/>
    </row>
    <row r="31" spans="1:8" ht="15.75" customHeight="1">
      <c r="A31" s="186">
        <v>141</v>
      </c>
      <c r="B31" s="22" t="s">
        <v>2992</v>
      </c>
      <c r="C31" s="22"/>
      <c r="D31" s="22">
        <v>2023</v>
      </c>
      <c r="E31" s="187" t="s">
        <v>2993</v>
      </c>
      <c r="F31" s="22" t="s">
        <v>2994</v>
      </c>
      <c r="G31" s="22" t="s">
        <v>2828</v>
      </c>
      <c r="H31" s="22"/>
    </row>
    <row r="32" spans="1:8" ht="15.75" customHeight="1">
      <c r="A32" s="186">
        <v>142</v>
      </c>
      <c r="B32" s="22" t="s">
        <v>2995</v>
      </c>
      <c r="C32" s="22"/>
      <c r="D32" s="22">
        <v>2024</v>
      </c>
      <c r="E32" s="187" t="s">
        <v>2996</v>
      </c>
      <c r="F32" s="22" t="s">
        <v>2997</v>
      </c>
      <c r="G32" s="22" t="s">
        <v>2828</v>
      </c>
      <c r="H32" s="22"/>
    </row>
    <row r="33" spans="1:8" ht="15.75" customHeight="1">
      <c r="A33" s="186">
        <v>145</v>
      </c>
      <c r="B33" s="22" t="s">
        <v>2998</v>
      </c>
      <c r="C33" s="22"/>
      <c r="D33" s="22">
        <v>2023</v>
      </c>
      <c r="E33" s="187" t="s">
        <v>2999</v>
      </c>
      <c r="F33" s="22" t="s">
        <v>3000</v>
      </c>
      <c r="G33" s="22" t="s">
        <v>2828</v>
      </c>
      <c r="H33" s="22"/>
    </row>
    <row r="34" spans="1:8" ht="15.75" customHeight="1">
      <c r="A34" s="186">
        <v>150</v>
      </c>
      <c r="B34" s="22" t="s">
        <v>3001</v>
      </c>
      <c r="C34" s="22"/>
      <c r="D34" s="22">
        <v>2023</v>
      </c>
      <c r="E34" s="187" t="s">
        <v>3002</v>
      </c>
      <c r="F34" s="22" t="s">
        <v>3003</v>
      </c>
      <c r="G34" s="22" t="s">
        <v>2828</v>
      </c>
      <c r="H34" s="22"/>
    </row>
    <row r="35" spans="1:8" ht="15.75" customHeight="1">
      <c r="A35" s="186">
        <v>151</v>
      </c>
      <c r="B35" s="22" t="s">
        <v>3004</v>
      </c>
      <c r="C35" s="22"/>
      <c r="D35" s="22">
        <v>2023</v>
      </c>
      <c r="E35" s="187" t="s">
        <v>3005</v>
      </c>
      <c r="F35" s="22" t="s">
        <v>3006</v>
      </c>
      <c r="G35" s="22" t="s">
        <v>2828</v>
      </c>
      <c r="H35" s="22"/>
    </row>
    <row r="36" spans="1:8" ht="15.75" customHeight="1">
      <c r="A36" s="186">
        <v>164</v>
      </c>
      <c r="B36" s="22" t="s">
        <v>3007</v>
      </c>
      <c r="C36" s="22"/>
      <c r="D36" s="22">
        <v>2023</v>
      </c>
      <c r="E36" s="187" t="s">
        <v>3008</v>
      </c>
      <c r="F36" s="22" t="s">
        <v>3009</v>
      </c>
      <c r="G36" s="22" t="s">
        <v>2828</v>
      </c>
      <c r="H36" s="22"/>
    </row>
    <row r="37" spans="1:8" ht="15.75" customHeight="1">
      <c r="A37" s="186">
        <v>167</v>
      </c>
      <c r="B37" s="22" t="s">
        <v>3010</v>
      </c>
      <c r="C37" s="22"/>
      <c r="D37" s="22">
        <v>2023</v>
      </c>
      <c r="E37" s="187" t="s">
        <v>3011</v>
      </c>
      <c r="F37" s="22" t="s">
        <v>3012</v>
      </c>
      <c r="G37" s="22" t="s">
        <v>2828</v>
      </c>
      <c r="H37" s="22"/>
    </row>
    <row r="38" spans="1:8" ht="15" customHeight="1">
      <c r="E38" s="181"/>
    </row>
    <row r="39" spans="1:8" ht="15" customHeight="1">
      <c r="A39" s="180" t="s">
        <v>2823</v>
      </c>
      <c r="E39" s="181"/>
    </row>
    <row r="40" spans="1:8" ht="15" customHeight="1">
      <c r="A40" t="s">
        <v>175</v>
      </c>
      <c r="B40" t="s">
        <v>2824</v>
      </c>
      <c r="C40" t="s">
        <v>2825</v>
      </c>
      <c r="D40">
        <v>2024</v>
      </c>
      <c r="E40" s="181" t="s">
        <v>2826</v>
      </c>
      <c r="F40" t="s">
        <v>2827</v>
      </c>
      <c r="G40" s="22" t="s">
        <v>2828</v>
      </c>
    </row>
    <row r="41" spans="1:8" ht="15" customHeight="1">
      <c r="A41" t="s">
        <v>211</v>
      </c>
      <c r="B41" t="s">
        <v>2829</v>
      </c>
      <c r="C41" t="s">
        <v>2830</v>
      </c>
      <c r="D41">
        <v>2024</v>
      </c>
      <c r="E41" s="181" t="s">
        <v>2831</v>
      </c>
      <c r="F41" t="s">
        <v>2832</v>
      </c>
      <c r="G41" s="22" t="s">
        <v>2828</v>
      </c>
    </row>
    <row r="42" spans="1:8" ht="15" customHeight="1">
      <c r="A42" t="s">
        <v>73</v>
      </c>
      <c r="B42" t="s">
        <v>2833</v>
      </c>
      <c r="C42" t="s">
        <v>2834</v>
      </c>
      <c r="D42">
        <v>2024</v>
      </c>
      <c r="E42" s="181" t="s">
        <v>2835</v>
      </c>
      <c r="F42" t="s">
        <v>2836</v>
      </c>
      <c r="G42" s="22" t="s">
        <v>2828</v>
      </c>
    </row>
    <row r="43" spans="1:8" ht="15" customHeight="1">
      <c r="A43" t="s">
        <v>203</v>
      </c>
      <c r="B43" t="s">
        <v>2837</v>
      </c>
      <c r="C43" t="s">
        <v>2838</v>
      </c>
      <c r="D43">
        <v>2024</v>
      </c>
      <c r="E43" s="181" t="s">
        <v>2839</v>
      </c>
      <c r="F43" t="s">
        <v>2840</v>
      </c>
      <c r="G43" s="22" t="s">
        <v>2828</v>
      </c>
    </row>
    <row r="44" spans="1:8" ht="15" customHeight="1">
      <c r="A44" t="s">
        <v>207</v>
      </c>
      <c r="B44" t="s">
        <v>2841</v>
      </c>
      <c r="C44" t="s">
        <v>2842</v>
      </c>
      <c r="D44">
        <v>2024</v>
      </c>
      <c r="E44" s="181" t="s">
        <v>2843</v>
      </c>
      <c r="F44" t="s">
        <v>2844</v>
      </c>
      <c r="G44" s="22" t="s">
        <v>2828</v>
      </c>
    </row>
    <row r="45" spans="1:8" ht="15" customHeight="1">
      <c r="A45" t="s">
        <v>208</v>
      </c>
      <c r="B45" t="s">
        <v>2845</v>
      </c>
      <c r="C45" t="s">
        <v>2846</v>
      </c>
      <c r="D45">
        <v>2024</v>
      </c>
      <c r="E45" s="181" t="s">
        <v>2847</v>
      </c>
      <c r="F45" t="s">
        <v>2848</v>
      </c>
      <c r="G45" s="22" t="s">
        <v>2828</v>
      </c>
    </row>
    <row r="46" spans="1:8" ht="15" customHeight="1">
      <c r="A46" t="s">
        <v>209</v>
      </c>
      <c r="B46" t="s">
        <v>2849</v>
      </c>
      <c r="C46" t="s">
        <v>2850</v>
      </c>
      <c r="D46">
        <v>2024</v>
      </c>
      <c r="E46" s="181" t="s">
        <v>2851</v>
      </c>
      <c r="F46" t="s">
        <v>2852</v>
      </c>
      <c r="G46" s="22" t="s">
        <v>2828</v>
      </c>
    </row>
    <row r="47" spans="1:8" ht="15" customHeight="1">
      <c r="A47" t="s">
        <v>24</v>
      </c>
      <c r="B47" t="s">
        <v>2853</v>
      </c>
      <c r="C47" t="s">
        <v>2854</v>
      </c>
      <c r="D47">
        <v>2024</v>
      </c>
      <c r="E47" s="181" t="s">
        <v>2855</v>
      </c>
      <c r="F47" t="s">
        <v>2856</v>
      </c>
      <c r="G47" s="22" t="s">
        <v>2828</v>
      </c>
    </row>
    <row r="48" spans="1:8" ht="15" customHeight="1">
      <c r="A48" t="s">
        <v>33</v>
      </c>
      <c r="B48" t="s">
        <v>2857</v>
      </c>
      <c r="C48" t="s">
        <v>2858</v>
      </c>
      <c r="D48">
        <v>2024</v>
      </c>
      <c r="E48" s="181" t="s">
        <v>2859</v>
      </c>
      <c r="F48" t="s">
        <v>2860</v>
      </c>
      <c r="G48" s="22" t="s">
        <v>2828</v>
      </c>
    </row>
    <row r="49" spans="1:7" ht="15" customHeight="1">
      <c r="A49" t="s">
        <v>40</v>
      </c>
      <c r="B49" t="s">
        <v>2861</v>
      </c>
      <c r="C49" t="s">
        <v>2862</v>
      </c>
      <c r="D49">
        <v>2024</v>
      </c>
      <c r="E49" s="181" t="s">
        <v>2863</v>
      </c>
      <c r="F49" t="s">
        <v>2864</v>
      </c>
      <c r="G49" s="22" t="s">
        <v>2828</v>
      </c>
    </row>
    <row r="50" spans="1:7" ht="15" customHeight="1">
      <c r="A50" t="s">
        <v>2865</v>
      </c>
      <c r="B50" t="s">
        <v>2866</v>
      </c>
      <c r="C50" t="s">
        <v>2867</v>
      </c>
      <c r="D50">
        <v>2024</v>
      </c>
      <c r="E50" s="181" t="s">
        <v>2868</v>
      </c>
      <c r="F50" t="s">
        <v>2869</v>
      </c>
      <c r="G50" s="22" t="s">
        <v>2828</v>
      </c>
    </row>
    <row r="51" spans="1:7" ht="15" customHeight="1">
      <c r="A51" t="s">
        <v>177</v>
      </c>
      <c r="B51" t="s">
        <v>2870</v>
      </c>
      <c r="C51" t="s">
        <v>2871</v>
      </c>
      <c r="D51">
        <v>2024</v>
      </c>
      <c r="E51" s="181" t="s">
        <v>2872</v>
      </c>
      <c r="F51" t="s">
        <v>2873</v>
      </c>
      <c r="G51" s="22" t="s">
        <v>2828</v>
      </c>
    </row>
    <row r="52" spans="1:7" ht="15" customHeight="1">
      <c r="A52" t="s">
        <v>186</v>
      </c>
      <c r="B52" t="s">
        <v>2874</v>
      </c>
      <c r="C52" t="s">
        <v>2875</v>
      </c>
      <c r="D52">
        <v>2024</v>
      </c>
      <c r="E52" s="181" t="s">
        <v>2876</v>
      </c>
      <c r="F52" t="s">
        <v>2877</v>
      </c>
      <c r="G52" s="22" t="s">
        <v>2828</v>
      </c>
    </row>
    <row r="53" spans="1:7" ht="15" customHeight="1">
      <c r="A53" t="s">
        <v>196</v>
      </c>
      <c r="B53" t="s">
        <v>2878</v>
      </c>
      <c r="C53" t="s">
        <v>2879</v>
      </c>
      <c r="D53">
        <v>2024</v>
      </c>
      <c r="E53" s="181" t="s">
        <v>2880</v>
      </c>
      <c r="F53" t="s">
        <v>2881</v>
      </c>
      <c r="G53" s="22" t="s">
        <v>2828</v>
      </c>
    </row>
    <row r="54" spans="1:7" ht="15" customHeight="1">
      <c r="A54" t="s">
        <v>199</v>
      </c>
      <c r="B54" t="s">
        <v>2882</v>
      </c>
      <c r="C54" t="s">
        <v>2883</v>
      </c>
      <c r="D54">
        <v>2024</v>
      </c>
      <c r="E54" s="181" t="s">
        <v>2884</v>
      </c>
      <c r="F54" t="s">
        <v>2885</v>
      </c>
      <c r="G54" s="22" t="s">
        <v>2828</v>
      </c>
    </row>
    <row r="55" spans="1:7" ht="15" customHeight="1">
      <c r="A55" t="s">
        <v>71</v>
      </c>
      <c r="B55" t="s">
        <v>2886</v>
      </c>
      <c r="C55" t="s">
        <v>2887</v>
      </c>
      <c r="D55">
        <v>2024</v>
      </c>
      <c r="E55" s="181" t="s">
        <v>2888</v>
      </c>
      <c r="G55" s="22" t="s">
        <v>2828</v>
      </c>
    </row>
    <row r="56" spans="1:7" ht="15" customHeight="1">
      <c r="A56" t="s">
        <v>64</v>
      </c>
      <c r="B56" t="s">
        <v>2889</v>
      </c>
      <c r="C56" t="s">
        <v>2890</v>
      </c>
      <c r="D56">
        <v>2024</v>
      </c>
      <c r="E56" s="181" t="s">
        <v>2891</v>
      </c>
      <c r="F56" t="s">
        <v>2892</v>
      </c>
      <c r="G56" s="22" t="s">
        <v>2828</v>
      </c>
    </row>
    <row r="57" spans="1:7" ht="15" customHeight="1">
      <c r="A57" t="s">
        <v>66</v>
      </c>
      <c r="B57" t="s">
        <v>2893</v>
      </c>
      <c r="C57" t="s">
        <v>2894</v>
      </c>
      <c r="D57">
        <v>2024</v>
      </c>
      <c r="E57" s="181" t="s">
        <v>2895</v>
      </c>
      <c r="F57" t="s">
        <v>2896</v>
      </c>
      <c r="G57" s="22" t="s">
        <v>2828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998"/>
  <sheetViews>
    <sheetView workbookViewId="0">
      <pane ySplit="1" topLeftCell="A2" activePane="bottomLeft" state="frozen"/>
      <selection pane="bottomLeft" activeCell="A14" sqref="A14:XFD14"/>
    </sheetView>
  </sheetViews>
  <sheetFormatPr defaultColWidth="14.42578125" defaultRowHeight="15.75" customHeight="1"/>
  <cols>
    <col min="1" max="1" width="16.5703125" customWidth="1"/>
    <col min="2" max="4" width="14.5703125" customWidth="1"/>
    <col min="5" max="5" width="23" customWidth="1"/>
    <col min="6" max="6" width="24.7109375" customWidth="1"/>
    <col min="7" max="7" width="71.5703125" customWidth="1"/>
    <col min="8" max="8" width="64.5703125" customWidth="1"/>
    <col min="9" max="9" width="64.7109375" customWidth="1"/>
    <col min="10" max="10" width="42.42578125" customWidth="1"/>
    <col min="11" max="29" width="8.7109375" customWidth="1"/>
  </cols>
  <sheetData>
    <row r="1" spans="1:29" ht="15.75" customHeight="1">
      <c r="A1" s="1" t="s">
        <v>2</v>
      </c>
      <c r="B1" s="1" t="s">
        <v>4</v>
      </c>
      <c r="C1" s="1" t="s">
        <v>5</v>
      </c>
      <c r="D1" s="1" t="s">
        <v>6</v>
      </c>
      <c r="E1" s="1" t="s">
        <v>7</v>
      </c>
      <c r="F1" s="1" t="s">
        <v>8</v>
      </c>
      <c r="G1" s="1" t="s">
        <v>9</v>
      </c>
      <c r="H1" s="1" t="s">
        <v>10</v>
      </c>
      <c r="I1" s="1" t="s">
        <v>11</v>
      </c>
      <c r="J1" s="1" t="s">
        <v>12</v>
      </c>
      <c r="K1" s="1" t="s">
        <v>13</v>
      </c>
      <c r="L1" s="1"/>
      <c r="M1" s="1"/>
      <c r="N1" s="1"/>
      <c r="O1" s="1"/>
      <c r="P1" s="1"/>
      <c r="Q1" s="1"/>
      <c r="R1" s="1"/>
      <c r="S1" s="1"/>
      <c r="T1" s="1"/>
      <c r="U1" s="1"/>
      <c r="V1" s="1"/>
      <c r="W1" s="1"/>
      <c r="X1" s="1"/>
      <c r="Y1" s="1"/>
      <c r="Z1" s="1"/>
      <c r="AA1" s="1"/>
      <c r="AB1" s="1"/>
      <c r="AC1" s="1"/>
    </row>
    <row r="2" spans="1:29" ht="15.75" customHeight="1">
      <c r="A2" s="4"/>
      <c r="B2" s="4"/>
      <c r="C2" s="4" t="s">
        <v>22</v>
      </c>
      <c r="D2" s="4" t="s">
        <v>25</v>
      </c>
      <c r="E2" s="4" t="s">
        <v>26</v>
      </c>
      <c r="F2" s="4" t="s">
        <v>27</v>
      </c>
      <c r="G2" s="4" t="s">
        <v>30</v>
      </c>
      <c r="H2" s="4" t="s">
        <v>32</v>
      </c>
      <c r="I2" s="4" t="s">
        <v>35</v>
      </c>
      <c r="J2" s="4"/>
      <c r="K2" s="4">
        <v>1</v>
      </c>
      <c r="L2" s="4"/>
      <c r="M2" s="4"/>
      <c r="N2" s="4"/>
      <c r="O2" s="4"/>
      <c r="P2" s="4"/>
      <c r="Q2" s="4"/>
      <c r="R2" s="4"/>
      <c r="S2" s="4"/>
      <c r="T2" s="4"/>
      <c r="U2" s="4"/>
      <c r="V2" s="4"/>
      <c r="W2" s="4"/>
      <c r="X2" s="4"/>
      <c r="Y2" s="4"/>
      <c r="Z2" s="4"/>
      <c r="AA2" s="4"/>
      <c r="AB2" s="4"/>
      <c r="AC2" s="4"/>
    </row>
    <row r="3" spans="1:29" ht="15.75" customHeight="1">
      <c r="A3" s="6" t="s">
        <v>52</v>
      </c>
      <c r="B3" s="6" t="s">
        <v>54</v>
      </c>
      <c r="C3" s="6" t="s">
        <v>22</v>
      </c>
      <c r="D3" s="6" t="s">
        <v>55</v>
      </c>
      <c r="E3" s="7" t="s">
        <v>57</v>
      </c>
      <c r="F3" s="6" t="s">
        <v>58</v>
      </c>
      <c r="G3" s="6" t="s">
        <v>61</v>
      </c>
      <c r="H3" s="6" t="s">
        <v>62</v>
      </c>
      <c r="I3" s="6" t="s">
        <v>62</v>
      </c>
      <c r="J3" s="6"/>
      <c r="K3" s="6">
        <v>1</v>
      </c>
      <c r="L3" s="6"/>
      <c r="M3" s="6"/>
      <c r="N3" s="6"/>
      <c r="O3" s="6"/>
      <c r="P3" s="6"/>
      <c r="Q3" s="6"/>
      <c r="R3" s="6"/>
      <c r="S3" s="6"/>
      <c r="T3" s="6"/>
      <c r="U3" s="6"/>
      <c r="V3" s="6"/>
      <c r="W3" s="6"/>
      <c r="X3" s="6"/>
      <c r="Y3" s="6"/>
      <c r="Z3" s="6"/>
      <c r="AA3" s="6"/>
      <c r="AB3" s="6"/>
      <c r="AC3" s="6"/>
    </row>
    <row r="4" spans="1:29" ht="15.75" customHeight="1">
      <c r="A4" s="6" t="s">
        <v>52</v>
      </c>
      <c r="B4" s="6" t="s">
        <v>65</v>
      </c>
      <c r="C4" s="6" t="s">
        <v>22</v>
      </c>
      <c r="D4" s="6" t="s">
        <v>67</v>
      </c>
      <c r="E4" s="7" t="s">
        <v>57</v>
      </c>
      <c r="F4" s="6" t="s">
        <v>68</v>
      </c>
      <c r="G4" s="6" t="s">
        <v>69</v>
      </c>
      <c r="H4" s="6" t="s">
        <v>62</v>
      </c>
      <c r="I4" s="6" t="s">
        <v>62</v>
      </c>
      <c r="J4" s="6"/>
      <c r="K4" s="6">
        <v>1</v>
      </c>
      <c r="L4" s="6"/>
      <c r="M4" s="6"/>
      <c r="N4" s="6"/>
      <c r="O4" s="6"/>
      <c r="P4" s="6"/>
      <c r="Q4" s="6"/>
      <c r="R4" s="6"/>
      <c r="S4" s="6"/>
      <c r="T4" s="6"/>
      <c r="U4" s="6"/>
      <c r="V4" s="6"/>
      <c r="W4" s="6"/>
      <c r="X4" s="6"/>
      <c r="Y4" s="6"/>
      <c r="Z4" s="6"/>
      <c r="AA4" s="6"/>
      <c r="AB4" s="6"/>
      <c r="AC4" s="6"/>
    </row>
    <row r="5" spans="1:29" ht="15.75" customHeight="1">
      <c r="A5" s="6" t="s">
        <v>70</v>
      </c>
      <c r="B5" s="6"/>
      <c r="C5" s="6" t="s">
        <v>22</v>
      </c>
      <c r="D5" s="6" t="s">
        <v>78</v>
      </c>
      <c r="E5" s="6" t="s">
        <v>80</v>
      </c>
      <c r="F5" s="6" t="s">
        <v>82</v>
      </c>
      <c r="G5" s="6" t="s">
        <v>83</v>
      </c>
      <c r="H5" s="11" t="s">
        <v>85</v>
      </c>
      <c r="I5" s="6" t="s">
        <v>62</v>
      </c>
      <c r="J5" s="6"/>
      <c r="K5" s="6">
        <v>1</v>
      </c>
      <c r="L5" s="6"/>
      <c r="M5" s="6"/>
      <c r="N5" s="6"/>
      <c r="O5" s="6"/>
      <c r="P5" s="6"/>
      <c r="Q5" s="6"/>
      <c r="R5" s="6"/>
      <c r="S5" s="6"/>
      <c r="T5" s="6"/>
      <c r="U5" s="6"/>
      <c r="V5" s="6"/>
      <c r="W5" s="6"/>
      <c r="X5" s="6"/>
      <c r="Y5" s="6"/>
      <c r="Z5" s="6"/>
      <c r="AA5" s="6"/>
      <c r="AB5" s="6"/>
      <c r="AC5" s="6"/>
    </row>
    <row r="6" spans="1:29" ht="15.75" customHeight="1">
      <c r="A6" s="6" t="s">
        <v>52</v>
      </c>
      <c r="B6" s="6"/>
      <c r="C6" s="6" t="s">
        <v>22</v>
      </c>
      <c r="D6" s="6" t="s">
        <v>88</v>
      </c>
      <c r="E6" s="6" t="s">
        <v>89</v>
      </c>
      <c r="F6" s="6" t="s">
        <v>90</v>
      </c>
      <c r="G6" s="6" t="s">
        <v>92</v>
      </c>
      <c r="H6" s="6" t="s">
        <v>62</v>
      </c>
      <c r="I6" s="6" t="s">
        <v>62</v>
      </c>
      <c r="J6" s="6"/>
      <c r="K6" s="6">
        <v>1</v>
      </c>
      <c r="L6" s="6"/>
      <c r="M6" s="6"/>
      <c r="N6" s="6"/>
      <c r="O6" s="6"/>
      <c r="P6" s="6"/>
      <c r="Q6" s="6"/>
      <c r="R6" s="6"/>
      <c r="S6" s="6"/>
      <c r="T6" s="6"/>
      <c r="U6" s="6"/>
      <c r="V6" s="6"/>
      <c r="W6" s="6"/>
      <c r="X6" s="6"/>
      <c r="Y6" s="6"/>
      <c r="Z6" s="6"/>
      <c r="AA6" s="6"/>
      <c r="AB6" s="6"/>
      <c r="AC6" s="6"/>
    </row>
    <row r="7" spans="1:29" ht="15.75" customHeight="1">
      <c r="A7" s="6" t="s">
        <v>70</v>
      </c>
      <c r="B7" s="6"/>
      <c r="C7" s="6" t="s">
        <v>22</v>
      </c>
      <c r="D7" s="6" t="s">
        <v>93</v>
      </c>
      <c r="E7" s="6" t="s">
        <v>94</v>
      </c>
      <c r="F7" s="6" t="s">
        <v>95</v>
      </c>
      <c r="G7" s="6" t="s">
        <v>96</v>
      </c>
      <c r="H7" s="6" t="s">
        <v>62</v>
      </c>
      <c r="I7" s="6" t="s">
        <v>62</v>
      </c>
      <c r="J7" s="6"/>
      <c r="K7" s="6">
        <v>1</v>
      </c>
      <c r="L7" s="6"/>
      <c r="M7" s="6"/>
      <c r="N7" s="6"/>
      <c r="O7" s="6"/>
      <c r="P7" s="6"/>
      <c r="Q7" s="6"/>
      <c r="R7" s="6"/>
      <c r="S7" s="6"/>
      <c r="T7" s="6"/>
      <c r="U7" s="6"/>
      <c r="V7" s="6"/>
      <c r="W7" s="6"/>
      <c r="X7" s="6"/>
      <c r="Y7" s="6"/>
      <c r="Z7" s="6"/>
      <c r="AA7" s="6"/>
      <c r="AB7" s="6"/>
      <c r="AC7" s="6"/>
    </row>
    <row r="8" spans="1:29" ht="15.75" customHeight="1">
      <c r="A8" s="6" t="s">
        <v>70</v>
      </c>
      <c r="B8" s="6" t="s">
        <v>103</v>
      </c>
      <c r="C8" s="6" t="s">
        <v>22</v>
      </c>
      <c r="D8" s="6" t="s">
        <v>100</v>
      </c>
      <c r="E8" s="16" t="s">
        <v>75</v>
      </c>
      <c r="F8" s="16" t="s">
        <v>106</v>
      </c>
      <c r="G8" s="6" t="s">
        <v>108</v>
      </c>
      <c r="H8" s="6" t="s">
        <v>62</v>
      </c>
      <c r="I8" s="6" t="s">
        <v>62</v>
      </c>
      <c r="J8" s="6"/>
      <c r="K8" s="6">
        <v>1</v>
      </c>
      <c r="L8" s="6"/>
      <c r="M8" s="6"/>
      <c r="N8" s="6"/>
      <c r="O8" s="6"/>
      <c r="P8" s="6"/>
      <c r="Q8" s="6"/>
      <c r="R8" s="6"/>
      <c r="S8" s="6"/>
      <c r="T8" s="6"/>
      <c r="U8" s="6"/>
      <c r="V8" s="6"/>
      <c r="W8" s="6"/>
      <c r="X8" s="6"/>
      <c r="Y8" s="6"/>
      <c r="Z8" s="6"/>
      <c r="AA8" s="6"/>
      <c r="AB8" s="6"/>
      <c r="AC8" s="6"/>
    </row>
    <row r="9" spans="1:29" ht="15.75" customHeight="1">
      <c r="A9" s="20" t="s">
        <v>70</v>
      </c>
      <c r="B9" s="20" t="s">
        <v>103</v>
      </c>
      <c r="C9" s="20" t="s">
        <v>22</v>
      </c>
      <c r="D9" s="20" t="s">
        <v>105</v>
      </c>
      <c r="E9" s="20" t="s">
        <v>127</v>
      </c>
      <c r="F9" s="20" t="s">
        <v>128</v>
      </c>
      <c r="G9" s="20" t="s">
        <v>132</v>
      </c>
      <c r="H9" s="20" t="s">
        <v>62</v>
      </c>
      <c r="I9" s="20" t="s">
        <v>62</v>
      </c>
      <c r="J9" s="20"/>
      <c r="K9" s="20">
        <v>1</v>
      </c>
      <c r="L9" s="20"/>
      <c r="M9" s="20"/>
      <c r="N9" s="20"/>
      <c r="O9" s="20"/>
      <c r="P9" s="20"/>
      <c r="Q9" s="20"/>
      <c r="R9" s="20"/>
      <c r="S9" s="20"/>
      <c r="T9" s="20"/>
      <c r="U9" s="20"/>
      <c r="V9" s="20"/>
      <c r="W9" s="20"/>
      <c r="X9" s="20"/>
      <c r="Y9" s="20"/>
      <c r="Z9" s="20"/>
      <c r="AA9" s="20"/>
      <c r="AB9" s="20"/>
      <c r="AC9" s="20"/>
    </row>
    <row r="10" spans="1:29" ht="15.75" customHeight="1">
      <c r="A10" s="16" t="s">
        <v>70</v>
      </c>
      <c r="B10" s="16" t="s">
        <v>154</v>
      </c>
      <c r="C10" s="16" t="s">
        <v>22</v>
      </c>
      <c r="D10" s="16" t="s">
        <v>110</v>
      </c>
      <c r="E10" s="6" t="s">
        <v>75</v>
      </c>
      <c r="F10" s="6" t="s">
        <v>157</v>
      </c>
      <c r="G10" s="6" t="s">
        <v>158</v>
      </c>
      <c r="H10" s="6" t="s">
        <v>62</v>
      </c>
      <c r="I10" s="6" t="s">
        <v>62</v>
      </c>
      <c r="J10" s="16"/>
      <c r="K10" s="16">
        <v>1</v>
      </c>
      <c r="L10" s="16"/>
      <c r="M10" s="16"/>
      <c r="N10" s="16"/>
      <c r="O10" s="16"/>
      <c r="P10" s="16"/>
      <c r="Q10" s="16"/>
      <c r="R10" s="16"/>
      <c r="S10" s="16"/>
      <c r="T10" s="16"/>
      <c r="U10" s="16"/>
      <c r="V10" s="16"/>
      <c r="W10" s="16"/>
      <c r="X10" s="16"/>
      <c r="Y10" s="16"/>
      <c r="Z10" s="16"/>
      <c r="AA10" s="16"/>
      <c r="AB10" s="16"/>
      <c r="AC10" s="16"/>
    </row>
    <row r="11" spans="1:29" ht="15.75" customHeight="1">
      <c r="A11" s="20" t="s">
        <v>70</v>
      </c>
      <c r="B11" s="20"/>
      <c r="C11" s="20" t="s">
        <v>22</v>
      </c>
      <c r="D11" s="24" t="s">
        <v>166</v>
      </c>
      <c r="E11" s="24" t="s">
        <v>168</v>
      </c>
      <c r="F11" s="24" t="s">
        <v>170</v>
      </c>
      <c r="G11" s="26" t="s">
        <v>173</v>
      </c>
      <c r="H11" s="24" t="s">
        <v>62</v>
      </c>
      <c r="I11" s="24" t="s">
        <v>62</v>
      </c>
      <c r="J11" s="24"/>
      <c r="K11" s="20">
        <v>1</v>
      </c>
      <c r="L11" s="20"/>
      <c r="M11" s="20"/>
      <c r="N11" s="20"/>
      <c r="O11" s="20"/>
      <c r="P11" s="20"/>
      <c r="Q11" s="20"/>
      <c r="R11" s="20"/>
      <c r="S11" s="20"/>
      <c r="T11" s="20"/>
      <c r="U11" s="20"/>
      <c r="V11" s="20"/>
      <c r="W11" s="20"/>
      <c r="X11" s="20"/>
      <c r="Y11" s="20"/>
      <c r="Z11" s="20"/>
      <c r="AA11" s="20"/>
      <c r="AB11" s="20"/>
      <c r="AC11" s="20"/>
    </row>
    <row r="12" spans="1:29" ht="15.75" customHeight="1">
      <c r="A12" s="6" t="s">
        <v>70</v>
      </c>
      <c r="B12" s="6"/>
      <c r="C12" s="6" t="s">
        <v>22</v>
      </c>
      <c r="D12" s="27" t="s">
        <v>202</v>
      </c>
      <c r="E12" s="27" t="s">
        <v>164</v>
      </c>
      <c r="F12" s="27" t="s">
        <v>205</v>
      </c>
      <c r="G12" s="28" t="s">
        <v>206</v>
      </c>
      <c r="H12" s="27" t="s">
        <v>62</v>
      </c>
      <c r="I12" s="27" t="s">
        <v>62</v>
      </c>
      <c r="J12" s="27"/>
      <c r="K12" s="16">
        <v>1</v>
      </c>
      <c r="L12" s="16"/>
      <c r="M12" s="16"/>
      <c r="N12" s="16"/>
      <c r="O12" s="16"/>
      <c r="P12" s="16"/>
      <c r="Q12" s="16"/>
      <c r="R12" s="16"/>
      <c r="S12" s="16"/>
      <c r="T12" s="16"/>
      <c r="U12" s="6"/>
      <c r="V12" s="6"/>
      <c r="W12" s="6"/>
      <c r="X12" s="6"/>
      <c r="Y12" s="6"/>
      <c r="Z12" s="6"/>
      <c r="AA12" s="6"/>
      <c r="AB12" s="6"/>
      <c r="AC12" s="6"/>
    </row>
    <row r="13" spans="1:29" ht="342">
      <c r="A13" s="6" t="s">
        <v>70</v>
      </c>
      <c r="B13" s="6"/>
      <c r="C13" s="6" t="s">
        <v>22</v>
      </c>
      <c r="D13" s="6" t="s">
        <v>120</v>
      </c>
      <c r="E13" s="6" t="s">
        <v>222</v>
      </c>
      <c r="F13" s="6" t="s">
        <v>223</v>
      </c>
      <c r="G13" s="6" t="s">
        <v>230</v>
      </c>
      <c r="H13" s="6" t="s">
        <v>234</v>
      </c>
      <c r="I13" s="11" t="s">
        <v>62</v>
      </c>
      <c r="J13" s="32"/>
      <c r="K13" s="16">
        <v>1</v>
      </c>
      <c r="L13" s="16"/>
      <c r="M13" s="16"/>
      <c r="N13" s="16"/>
      <c r="O13" s="16"/>
      <c r="P13" s="16"/>
      <c r="Q13" s="16"/>
      <c r="R13" s="16"/>
      <c r="S13" s="16"/>
      <c r="T13" s="16"/>
      <c r="U13" s="6"/>
      <c r="V13" s="6"/>
      <c r="W13" s="6"/>
      <c r="X13" s="6"/>
      <c r="Y13" s="6"/>
      <c r="Z13" s="6"/>
      <c r="AA13" s="6"/>
      <c r="AB13" s="6"/>
      <c r="AC13" s="6"/>
    </row>
    <row r="14" spans="1:29" ht="15.75" customHeight="1">
      <c r="A14" s="6" t="s">
        <v>52</v>
      </c>
      <c r="B14" s="6" t="s">
        <v>264</v>
      </c>
      <c r="C14" s="6" t="s">
        <v>22</v>
      </c>
      <c r="D14" s="6" t="s">
        <v>20</v>
      </c>
      <c r="E14" s="6" t="s">
        <v>265</v>
      </c>
      <c r="F14" s="6" t="s">
        <v>266</v>
      </c>
      <c r="G14" s="6" t="s">
        <v>268</v>
      </c>
      <c r="H14" s="6" t="s">
        <v>62</v>
      </c>
      <c r="I14" s="6" t="s">
        <v>62</v>
      </c>
      <c r="J14" s="6" t="s">
        <v>270</v>
      </c>
      <c r="K14" s="6">
        <v>1</v>
      </c>
      <c r="L14" s="6"/>
      <c r="M14" s="6"/>
      <c r="N14" s="6"/>
      <c r="O14" s="6"/>
      <c r="P14" s="6"/>
      <c r="Q14" s="6"/>
      <c r="R14" s="6"/>
      <c r="S14" s="6"/>
      <c r="T14" s="6"/>
      <c r="U14" s="6"/>
      <c r="V14" s="6"/>
      <c r="W14" s="6"/>
      <c r="X14" s="6"/>
      <c r="Y14" s="6"/>
      <c r="Z14" s="6"/>
      <c r="AA14" s="6"/>
      <c r="AB14" s="6"/>
      <c r="AC14" s="6"/>
    </row>
    <row r="15" spans="1:29" ht="15.75" customHeight="1">
      <c r="A15" s="6" t="s">
        <v>52</v>
      </c>
      <c r="B15" s="6" t="s">
        <v>264</v>
      </c>
      <c r="C15" s="6" t="s">
        <v>22</v>
      </c>
      <c r="D15" s="6" t="s">
        <v>21</v>
      </c>
      <c r="E15" s="6" t="s">
        <v>265</v>
      </c>
      <c r="F15" s="6" t="s">
        <v>282</v>
      </c>
      <c r="G15" s="6" t="s">
        <v>286</v>
      </c>
      <c r="H15" s="6" t="s">
        <v>287</v>
      </c>
      <c r="I15" s="6" t="s">
        <v>62</v>
      </c>
      <c r="J15" s="6"/>
      <c r="K15" s="6">
        <v>1</v>
      </c>
      <c r="L15" s="6"/>
      <c r="M15" s="6"/>
      <c r="N15" s="6"/>
      <c r="O15" s="6"/>
      <c r="P15" s="6"/>
      <c r="Q15" s="6"/>
      <c r="R15" s="6"/>
      <c r="S15" s="6"/>
      <c r="T15" s="6"/>
      <c r="U15" s="6"/>
      <c r="V15" s="6"/>
      <c r="W15" s="6"/>
      <c r="X15" s="6"/>
      <c r="Y15" s="6"/>
      <c r="Z15" s="6"/>
      <c r="AA15" s="6"/>
      <c r="AB15" s="6"/>
      <c r="AC15" s="6"/>
    </row>
    <row r="16" spans="1:29" ht="15.75" customHeight="1">
      <c r="A16" s="6" t="s">
        <v>52</v>
      </c>
      <c r="B16" s="6" t="s">
        <v>297</v>
      </c>
      <c r="C16" s="6" t="s">
        <v>22</v>
      </c>
      <c r="D16" s="6" t="s">
        <v>121</v>
      </c>
      <c r="E16" s="6" t="s">
        <v>298</v>
      </c>
      <c r="F16" s="6" t="s">
        <v>299</v>
      </c>
      <c r="G16" s="6" t="s">
        <v>300</v>
      </c>
      <c r="H16" s="6" t="s">
        <v>62</v>
      </c>
      <c r="I16" s="6" t="s">
        <v>62</v>
      </c>
      <c r="J16" s="6" t="s">
        <v>301</v>
      </c>
      <c r="K16" s="6">
        <v>1</v>
      </c>
      <c r="L16" s="6"/>
      <c r="M16" s="6"/>
      <c r="N16" s="6"/>
      <c r="O16" s="6"/>
      <c r="P16" s="6"/>
      <c r="Q16" s="6"/>
      <c r="R16" s="6"/>
      <c r="S16" s="6"/>
      <c r="T16" s="6"/>
      <c r="U16" s="6"/>
      <c r="V16" s="6"/>
      <c r="W16" s="6"/>
      <c r="X16" s="6"/>
      <c r="Y16" s="6"/>
      <c r="Z16" s="6"/>
      <c r="AA16" s="6"/>
      <c r="AB16" s="6"/>
      <c r="AC16" s="6"/>
    </row>
    <row r="17" spans="1:29" ht="15.75" customHeight="1">
      <c r="A17" s="6" t="s">
        <v>52</v>
      </c>
      <c r="B17" s="6" t="s">
        <v>297</v>
      </c>
      <c r="C17" s="6" t="s">
        <v>22</v>
      </c>
      <c r="D17" s="6" t="s">
        <v>123</v>
      </c>
      <c r="E17" s="6" t="s">
        <v>164</v>
      </c>
      <c r="F17" s="33" t="s">
        <v>316</v>
      </c>
      <c r="G17" s="6" t="s">
        <v>321</v>
      </c>
      <c r="H17" s="6" t="s">
        <v>62</v>
      </c>
      <c r="I17" s="6" t="s">
        <v>62</v>
      </c>
      <c r="J17" s="6"/>
      <c r="K17" s="6">
        <v>1</v>
      </c>
      <c r="L17" s="6"/>
      <c r="M17" s="6"/>
      <c r="N17" s="6"/>
      <c r="O17" s="6"/>
      <c r="P17" s="6"/>
      <c r="Q17" s="6"/>
      <c r="R17" s="6"/>
      <c r="S17" s="6"/>
      <c r="T17" s="6"/>
      <c r="U17" s="6"/>
      <c r="V17" s="6"/>
      <c r="W17" s="6"/>
      <c r="X17" s="6"/>
      <c r="Y17" s="6"/>
      <c r="Z17" s="6"/>
      <c r="AA17" s="6"/>
      <c r="AB17" s="6"/>
      <c r="AC17" s="6"/>
    </row>
    <row r="18" spans="1:29" ht="15.75" customHeight="1">
      <c r="A18" s="6"/>
      <c r="B18" s="6"/>
      <c r="C18" s="6" t="s">
        <v>22</v>
      </c>
      <c r="D18" s="6" t="s">
        <v>3</v>
      </c>
      <c r="E18" s="7" t="s">
        <v>246</v>
      </c>
      <c r="F18" s="6" t="s">
        <v>106</v>
      </c>
      <c r="G18" s="6" t="s">
        <v>327</v>
      </c>
      <c r="H18" s="6" t="s">
        <v>62</v>
      </c>
      <c r="I18" s="6" t="s">
        <v>62</v>
      </c>
      <c r="J18" s="6" t="s">
        <v>328</v>
      </c>
      <c r="K18" s="6">
        <v>1</v>
      </c>
      <c r="L18" s="6"/>
      <c r="M18" s="6"/>
      <c r="N18" s="6"/>
      <c r="O18" s="6"/>
      <c r="P18" s="6"/>
      <c r="Q18" s="6"/>
      <c r="R18" s="6"/>
      <c r="S18" s="6"/>
      <c r="T18" s="6"/>
      <c r="U18" s="6"/>
      <c r="V18" s="6"/>
      <c r="W18" s="6"/>
      <c r="X18" s="6"/>
      <c r="Y18" s="6"/>
      <c r="Z18" s="6"/>
      <c r="AA18" s="6"/>
      <c r="AB18" s="6"/>
      <c r="AC18" s="6"/>
    </row>
    <row r="19" spans="1:29" ht="15.75" customHeight="1">
      <c r="A19" s="6" t="s">
        <v>52</v>
      </c>
      <c r="B19" s="6" t="s">
        <v>335</v>
      </c>
      <c r="C19" s="6" t="s">
        <v>22</v>
      </c>
      <c r="D19" s="6" t="s">
        <v>48</v>
      </c>
      <c r="E19" s="6" t="s">
        <v>339</v>
      </c>
      <c r="F19" s="6" t="s">
        <v>128</v>
      </c>
      <c r="G19" s="6" t="s">
        <v>341</v>
      </c>
      <c r="H19" s="6" t="s">
        <v>62</v>
      </c>
      <c r="I19" s="6" t="s">
        <v>62</v>
      </c>
      <c r="J19" s="6"/>
      <c r="K19" s="6">
        <v>1</v>
      </c>
      <c r="L19" s="6"/>
      <c r="M19" s="6"/>
      <c r="N19" s="6"/>
      <c r="O19" s="6"/>
      <c r="P19" s="6"/>
      <c r="Q19" s="6"/>
      <c r="R19" s="6"/>
      <c r="S19" s="6"/>
      <c r="T19" s="6"/>
      <c r="U19" s="6"/>
      <c r="V19" s="6"/>
      <c r="W19" s="6"/>
      <c r="X19" s="6"/>
      <c r="Y19" s="6"/>
      <c r="Z19" s="6"/>
      <c r="AA19" s="6"/>
      <c r="AB19" s="6"/>
      <c r="AC19" s="6"/>
    </row>
    <row r="20" spans="1:29" ht="15.75" customHeight="1">
      <c r="A20" s="20" t="s">
        <v>52</v>
      </c>
      <c r="B20" s="20"/>
      <c r="C20" s="20" t="s">
        <v>22</v>
      </c>
      <c r="D20" s="20" t="s">
        <v>126</v>
      </c>
      <c r="E20" s="20" t="s">
        <v>349</v>
      </c>
      <c r="F20" s="20" t="s">
        <v>351</v>
      </c>
      <c r="G20" s="20" t="s">
        <v>354</v>
      </c>
      <c r="H20" s="20" t="s">
        <v>357</v>
      </c>
      <c r="I20" s="20" t="s">
        <v>62</v>
      </c>
      <c r="J20" s="20" t="s">
        <v>360</v>
      </c>
      <c r="K20" s="20">
        <v>1</v>
      </c>
      <c r="L20" s="20"/>
      <c r="M20" s="20"/>
      <c r="N20" s="20"/>
      <c r="O20" s="20"/>
      <c r="P20" s="20"/>
      <c r="Q20" s="20"/>
      <c r="R20" s="20"/>
      <c r="S20" s="20"/>
      <c r="T20" s="20"/>
      <c r="U20" s="20"/>
      <c r="V20" s="20"/>
      <c r="W20" s="20"/>
      <c r="X20" s="20"/>
      <c r="Y20" s="20"/>
      <c r="Z20" s="20"/>
      <c r="AA20" s="20"/>
      <c r="AB20" s="20"/>
      <c r="AC20" s="20"/>
    </row>
    <row r="21" spans="1:29" ht="15.75" customHeight="1">
      <c r="A21" s="6" t="s">
        <v>52</v>
      </c>
      <c r="B21" s="6"/>
      <c r="C21" s="6" t="s">
        <v>22</v>
      </c>
      <c r="D21" s="6" t="s">
        <v>130</v>
      </c>
      <c r="E21" s="6" t="s">
        <v>298</v>
      </c>
      <c r="F21" s="6" t="s">
        <v>362</v>
      </c>
      <c r="G21" s="6" t="s">
        <v>364</v>
      </c>
      <c r="H21" s="6" t="s">
        <v>62</v>
      </c>
      <c r="I21" s="6" t="s">
        <v>62</v>
      </c>
      <c r="J21" s="6" t="s">
        <v>368</v>
      </c>
      <c r="K21" s="6">
        <v>1</v>
      </c>
      <c r="L21" s="6"/>
      <c r="M21" s="6"/>
      <c r="N21" s="6"/>
      <c r="O21" s="6"/>
      <c r="P21" s="6"/>
      <c r="Q21" s="6"/>
      <c r="R21" s="6"/>
      <c r="S21" s="6"/>
      <c r="T21" s="6"/>
      <c r="U21" s="6"/>
      <c r="V21" s="6"/>
      <c r="W21" s="6"/>
      <c r="X21" s="6"/>
      <c r="Y21" s="6"/>
      <c r="Z21" s="6"/>
      <c r="AA21" s="6"/>
      <c r="AB21" s="6"/>
      <c r="AC21" s="6"/>
    </row>
    <row r="22" spans="1:29" ht="15.75" customHeight="1">
      <c r="A22" s="6" t="s">
        <v>52</v>
      </c>
      <c r="B22" s="6" t="s">
        <v>378</v>
      </c>
      <c r="C22" s="6" t="s">
        <v>22</v>
      </c>
      <c r="D22" s="6" t="s">
        <v>56</v>
      </c>
      <c r="E22" s="6" t="s">
        <v>380</v>
      </c>
      <c r="F22" s="6" t="s">
        <v>382</v>
      </c>
      <c r="G22" s="6" t="s">
        <v>384</v>
      </c>
      <c r="H22" s="6" t="s">
        <v>386</v>
      </c>
      <c r="I22" s="6" t="s">
        <v>387</v>
      </c>
      <c r="J22" s="6"/>
      <c r="K22" s="6">
        <v>1</v>
      </c>
      <c r="L22" s="6"/>
      <c r="M22" s="6"/>
      <c r="N22" s="6"/>
      <c r="O22" s="6"/>
      <c r="P22" s="6"/>
      <c r="Q22" s="6"/>
      <c r="R22" s="6"/>
      <c r="S22" s="6"/>
      <c r="T22" s="6"/>
      <c r="U22" s="6"/>
      <c r="V22" s="6"/>
      <c r="W22" s="6"/>
      <c r="X22" s="6"/>
      <c r="Y22" s="6"/>
      <c r="Z22" s="6"/>
      <c r="AA22" s="6"/>
      <c r="AB22" s="6"/>
      <c r="AC22" s="6"/>
    </row>
    <row r="23" spans="1:29" ht="15.75" customHeight="1">
      <c r="A23" s="6" t="s">
        <v>52</v>
      </c>
      <c r="B23" s="6"/>
      <c r="C23" s="6" t="s">
        <v>22</v>
      </c>
      <c r="D23" s="6" t="s">
        <v>135</v>
      </c>
      <c r="E23" s="6" t="s">
        <v>94</v>
      </c>
      <c r="F23" s="6" t="s">
        <v>392</v>
      </c>
      <c r="G23" s="6" t="s">
        <v>395</v>
      </c>
      <c r="H23" s="6" t="s">
        <v>396</v>
      </c>
      <c r="I23" s="6" t="s">
        <v>397</v>
      </c>
      <c r="J23" s="6"/>
      <c r="K23" s="6">
        <v>1</v>
      </c>
      <c r="L23" s="6"/>
      <c r="M23" s="6"/>
      <c r="N23" s="6"/>
      <c r="O23" s="6"/>
      <c r="P23" s="6"/>
      <c r="Q23" s="6"/>
      <c r="R23" s="6"/>
      <c r="S23" s="6"/>
      <c r="T23" s="6"/>
      <c r="U23" s="6"/>
      <c r="V23" s="6"/>
      <c r="W23" s="6"/>
      <c r="X23" s="6"/>
      <c r="Y23" s="6"/>
      <c r="Z23" s="6"/>
      <c r="AA23" s="6"/>
      <c r="AB23" s="6"/>
      <c r="AC23" s="6"/>
    </row>
    <row r="24" spans="1:29" ht="15.75" customHeight="1">
      <c r="A24" s="6" t="s">
        <v>52</v>
      </c>
      <c r="B24" s="6"/>
      <c r="C24" s="6" t="s">
        <v>22</v>
      </c>
      <c r="D24" s="6" t="s">
        <v>139</v>
      </c>
      <c r="E24" s="6" t="s">
        <v>410</v>
      </c>
      <c r="F24" s="6" t="s">
        <v>411</v>
      </c>
      <c r="G24" s="6" t="s">
        <v>413</v>
      </c>
      <c r="H24" s="6" t="s">
        <v>62</v>
      </c>
      <c r="I24" s="6" t="s">
        <v>62</v>
      </c>
      <c r="J24" s="6"/>
      <c r="K24" s="6">
        <v>1</v>
      </c>
      <c r="L24" s="6"/>
      <c r="M24" s="6"/>
      <c r="N24" s="6"/>
      <c r="O24" s="6"/>
      <c r="P24" s="6"/>
      <c r="Q24" s="6"/>
      <c r="R24" s="6"/>
      <c r="S24" s="6"/>
      <c r="T24" s="6"/>
      <c r="U24" s="6"/>
      <c r="V24" s="6"/>
      <c r="W24" s="6"/>
      <c r="X24" s="6"/>
      <c r="Y24" s="6"/>
      <c r="Z24" s="6"/>
      <c r="AA24" s="6"/>
      <c r="AB24" s="6"/>
      <c r="AC24" s="6"/>
    </row>
    <row r="25" spans="1:29" ht="15.75" customHeight="1">
      <c r="A25" s="6" t="s">
        <v>52</v>
      </c>
      <c r="B25" s="6" t="s">
        <v>422</v>
      </c>
      <c r="C25" s="6" t="s">
        <v>22</v>
      </c>
      <c r="D25" s="6" t="s">
        <v>142</v>
      </c>
      <c r="E25" s="6" t="s">
        <v>424</v>
      </c>
      <c r="F25" s="6" t="s">
        <v>425</v>
      </c>
      <c r="G25" s="6" t="s">
        <v>426</v>
      </c>
      <c r="H25" s="6" t="s">
        <v>62</v>
      </c>
      <c r="I25" s="6" t="s">
        <v>62</v>
      </c>
      <c r="J25" s="6" t="s">
        <v>427</v>
      </c>
      <c r="K25" s="6">
        <v>1</v>
      </c>
      <c r="L25" s="6"/>
      <c r="M25" s="6"/>
      <c r="N25" s="6"/>
      <c r="O25" s="6"/>
      <c r="P25" s="6"/>
      <c r="Q25" s="6"/>
      <c r="R25" s="6"/>
      <c r="S25" s="6"/>
      <c r="T25" s="6"/>
      <c r="U25" s="6"/>
      <c r="V25" s="6"/>
      <c r="W25" s="6"/>
      <c r="X25" s="6"/>
      <c r="Y25" s="6"/>
      <c r="Z25" s="6"/>
      <c r="AA25" s="6"/>
      <c r="AB25" s="6"/>
      <c r="AC25" s="6"/>
    </row>
    <row r="26" spans="1:29" ht="15.75" customHeight="1">
      <c r="A26" s="6" t="s">
        <v>52</v>
      </c>
      <c r="B26" s="6" t="s">
        <v>428</v>
      </c>
      <c r="C26" s="6" t="s">
        <v>22</v>
      </c>
      <c r="D26" s="6" t="s">
        <v>148</v>
      </c>
      <c r="E26" s="6" t="s">
        <v>429</v>
      </c>
      <c r="F26" s="6" t="s">
        <v>430</v>
      </c>
      <c r="G26" s="6" t="s">
        <v>432</v>
      </c>
      <c r="H26" s="6" t="s">
        <v>62</v>
      </c>
      <c r="I26" s="6" t="s">
        <v>62</v>
      </c>
      <c r="J26" s="6"/>
      <c r="K26" s="6">
        <v>1</v>
      </c>
      <c r="L26" s="6"/>
      <c r="M26" s="6"/>
      <c r="N26" s="6"/>
      <c r="O26" s="6"/>
      <c r="P26" s="6"/>
      <c r="Q26" s="6"/>
      <c r="R26" s="6"/>
      <c r="S26" s="6"/>
      <c r="T26" s="6"/>
      <c r="U26" s="6"/>
      <c r="V26" s="6"/>
      <c r="W26" s="6"/>
      <c r="X26" s="6"/>
      <c r="Y26" s="6"/>
      <c r="Z26" s="6"/>
      <c r="AA26" s="6"/>
      <c r="AB26" s="6"/>
      <c r="AC26" s="6"/>
    </row>
    <row r="27" spans="1:29" ht="142.5">
      <c r="A27" s="6" t="s">
        <v>52</v>
      </c>
      <c r="B27" s="6" t="s">
        <v>445</v>
      </c>
      <c r="C27" s="6" t="s">
        <v>22</v>
      </c>
      <c r="D27" s="6" t="s">
        <v>153</v>
      </c>
      <c r="E27" s="16" t="s">
        <v>450</v>
      </c>
      <c r="F27" s="47" t="s">
        <v>453</v>
      </c>
      <c r="G27" s="6" t="s">
        <v>456</v>
      </c>
      <c r="H27" s="6" t="s">
        <v>457</v>
      </c>
      <c r="I27" s="6" t="s">
        <v>458</v>
      </c>
      <c r="J27" s="6"/>
      <c r="K27" s="6">
        <v>1</v>
      </c>
      <c r="L27" s="6"/>
      <c r="M27" s="6"/>
      <c r="N27" s="6"/>
      <c r="O27" s="6"/>
      <c r="P27" s="6"/>
      <c r="Q27" s="6"/>
      <c r="R27" s="6"/>
      <c r="S27" s="6"/>
      <c r="T27" s="6"/>
      <c r="U27" s="6"/>
      <c r="V27" s="6"/>
      <c r="W27" s="6"/>
      <c r="X27" s="6"/>
      <c r="Y27" s="6"/>
      <c r="Z27" s="6"/>
      <c r="AA27" s="6"/>
      <c r="AB27" s="6"/>
      <c r="AC27" s="6"/>
    </row>
    <row r="28" spans="1:29" ht="242.25">
      <c r="A28" s="7" t="s">
        <v>52</v>
      </c>
      <c r="B28" s="7" t="s">
        <v>460</v>
      </c>
      <c r="C28" s="7" t="s">
        <v>22</v>
      </c>
      <c r="D28" s="7" t="s">
        <v>63</v>
      </c>
      <c r="E28" s="38" t="s">
        <v>461</v>
      </c>
      <c r="F28" s="7" t="s">
        <v>462</v>
      </c>
      <c r="G28" s="7" t="s">
        <v>463</v>
      </c>
      <c r="H28" s="7" t="s">
        <v>62</v>
      </c>
      <c r="I28" s="7" t="s">
        <v>62</v>
      </c>
      <c r="J28" s="7"/>
      <c r="K28" s="7">
        <v>1</v>
      </c>
      <c r="L28" s="7"/>
      <c r="M28" s="7"/>
      <c r="N28" s="7"/>
      <c r="O28" s="7"/>
      <c r="P28" s="7"/>
      <c r="Q28" s="7"/>
      <c r="R28" s="7"/>
      <c r="S28" s="7"/>
      <c r="T28" s="7"/>
      <c r="U28" s="7"/>
      <c r="V28" s="7"/>
      <c r="W28" s="7"/>
      <c r="X28" s="7"/>
      <c r="Y28" s="7"/>
      <c r="Z28" s="7"/>
      <c r="AA28" s="7"/>
      <c r="AB28" s="7"/>
      <c r="AC28" s="7"/>
    </row>
    <row r="29" spans="1:29" ht="114">
      <c r="A29" s="6" t="s">
        <v>52</v>
      </c>
      <c r="B29" s="6" t="s">
        <v>445</v>
      </c>
      <c r="C29" s="6" t="s">
        <v>22</v>
      </c>
      <c r="D29" s="6" t="s">
        <v>156</v>
      </c>
      <c r="E29" s="6" t="s">
        <v>475</v>
      </c>
      <c r="F29" s="6" t="s">
        <v>477</v>
      </c>
      <c r="G29" s="6" t="s">
        <v>482</v>
      </c>
      <c r="H29" s="6"/>
      <c r="I29" s="6"/>
      <c r="J29" s="6"/>
      <c r="K29" s="6">
        <v>1</v>
      </c>
      <c r="L29" s="6"/>
      <c r="M29" s="6"/>
      <c r="N29" s="6"/>
      <c r="O29" s="6"/>
      <c r="P29" s="6"/>
      <c r="Q29" s="6"/>
      <c r="R29" s="6"/>
      <c r="S29" s="6"/>
      <c r="T29" s="6"/>
      <c r="U29" s="6"/>
      <c r="V29" s="6"/>
      <c r="W29" s="6"/>
      <c r="X29" s="6"/>
      <c r="Y29" s="6"/>
      <c r="Z29" s="6"/>
      <c r="AA29" s="6"/>
      <c r="AB29" s="6"/>
      <c r="AC29" s="6"/>
    </row>
    <row r="30" spans="1:29" ht="156.75">
      <c r="A30" s="6" t="s">
        <v>70</v>
      </c>
      <c r="B30" s="6"/>
      <c r="C30" s="6" t="s">
        <v>22</v>
      </c>
      <c r="D30" s="6" t="s">
        <v>159</v>
      </c>
      <c r="E30" s="6" t="s">
        <v>80</v>
      </c>
      <c r="F30" s="6" t="s">
        <v>490</v>
      </c>
      <c r="G30" s="6" t="s">
        <v>491</v>
      </c>
      <c r="H30" s="6" t="s">
        <v>62</v>
      </c>
      <c r="I30" s="6" t="s">
        <v>62</v>
      </c>
      <c r="J30" s="6"/>
      <c r="K30" s="6">
        <v>1</v>
      </c>
      <c r="L30" s="6"/>
      <c r="M30" s="6"/>
      <c r="N30" s="6"/>
      <c r="O30" s="6"/>
      <c r="P30" s="6"/>
      <c r="Q30" s="6"/>
      <c r="R30" s="6"/>
      <c r="S30" s="6"/>
      <c r="T30" s="6"/>
      <c r="U30" s="6"/>
      <c r="V30" s="6"/>
      <c r="W30" s="6"/>
      <c r="X30" s="6"/>
      <c r="Y30" s="6"/>
      <c r="Z30" s="6"/>
      <c r="AA30" s="6"/>
      <c r="AB30" s="6"/>
      <c r="AC30" s="6"/>
    </row>
    <row r="31" spans="1:29" ht="85.5">
      <c r="A31" s="6" t="s">
        <v>52</v>
      </c>
      <c r="B31" s="6" t="s">
        <v>445</v>
      </c>
      <c r="C31" s="6" t="s">
        <v>22</v>
      </c>
      <c r="D31" s="6" t="s">
        <v>160</v>
      </c>
      <c r="E31" s="6" t="s">
        <v>429</v>
      </c>
      <c r="F31" s="6" t="s">
        <v>496</v>
      </c>
      <c r="G31" s="6" t="s">
        <v>497</v>
      </c>
      <c r="H31" s="6" t="s">
        <v>498</v>
      </c>
      <c r="I31" s="6" t="s">
        <v>62</v>
      </c>
      <c r="J31" s="6"/>
      <c r="K31" s="6">
        <v>1</v>
      </c>
      <c r="L31" s="6"/>
      <c r="M31" s="6"/>
      <c r="N31" s="6"/>
      <c r="O31" s="6"/>
      <c r="P31" s="6"/>
      <c r="Q31" s="6"/>
      <c r="R31" s="6"/>
      <c r="S31" s="6"/>
      <c r="T31" s="6"/>
      <c r="U31" s="6"/>
      <c r="V31" s="6"/>
      <c r="W31" s="6"/>
      <c r="X31" s="6"/>
      <c r="Y31" s="6"/>
      <c r="Z31" s="6"/>
      <c r="AA31" s="6"/>
      <c r="AB31" s="6"/>
      <c r="AC31" s="6"/>
    </row>
    <row r="32" spans="1:29" ht="85.5">
      <c r="A32" s="6" t="s">
        <v>52</v>
      </c>
      <c r="B32" s="6" t="s">
        <v>504</v>
      </c>
      <c r="C32" s="6" t="s">
        <v>22</v>
      </c>
      <c r="D32" s="6" t="s">
        <v>161</v>
      </c>
      <c r="E32" s="6" t="s">
        <v>429</v>
      </c>
      <c r="F32" s="6" t="s">
        <v>505</v>
      </c>
      <c r="G32" s="6" t="s">
        <v>508</v>
      </c>
      <c r="H32" s="6" t="s">
        <v>511</v>
      </c>
      <c r="I32" s="6" t="s">
        <v>62</v>
      </c>
      <c r="J32" s="6"/>
      <c r="K32" s="6">
        <v>1</v>
      </c>
      <c r="L32" s="6"/>
      <c r="M32" s="6"/>
      <c r="N32" s="6"/>
      <c r="O32" s="6"/>
      <c r="P32" s="6"/>
      <c r="Q32" s="6"/>
      <c r="R32" s="6"/>
      <c r="S32" s="6"/>
      <c r="T32" s="6"/>
      <c r="U32" s="6"/>
      <c r="V32" s="6"/>
      <c r="W32" s="6"/>
      <c r="X32" s="6"/>
      <c r="Y32" s="6"/>
      <c r="Z32" s="6"/>
      <c r="AA32" s="6"/>
      <c r="AB32" s="6"/>
      <c r="AC32" s="6"/>
    </row>
    <row r="33" spans="1:29" ht="85.5">
      <c r="A33" s="6" t="s">
        <v>52</v>
      </c>
      <c r="B33" s="6" t="s">
        <v>517</v>
      </c>
      <c r="C33" s="6" t="s">
        <v>22</v>
      </c>
      <c r="D33" s="6" t="s">
        <v>163</v>
      </c>
      <c r="E33" s="6" t="s">
        <v>518</v>
      </c>
      <c r="F33" s="6" t="s">
        <v>519</v>
      </c>
      <c r="G33" s="6" t="s">
        <v>520</v>
      </c>
      <c r="H33" s="6" t="s">
        <v>521</v>
      </c>
      <c r="I33" s="6" t="s">
        <v>62</v>
      </c>
      <c r="J33" s="6"/>
      <c r="K33" s="6">
        <v>1</v>
      </c>
      <c r="L33" s="6"/>
      <c r="M33" s="6"/>
      <c r="N33" s="6"/>
      <c r="O33" s="6"/>
      <c r="P33" s="6"/>
      <c r="Q33" s="6"/>
      <c r="R33" s="6"/>
      <c r="S33" s="6"/>
      <c r="T33" s="6"/>
      <c r="U33" s="6"/>
      <c r="V33" s="6"/>
      <c r="W33" s="6"/>
      <c r="X33" s="6"/>
      <c r="Y33" s="6"/>
      <c r="Z33" s="6"/>
      <c r="AA33" s="6"/>
      <c r="AB33" s="6"/>
      <c r="AC33" s="6"/>
    </row>
    <row r="34" spans="1:29" ht="99.75">
      <c r="A34" s="7" t="s">
        <v>52</v>
      </c>
      <c r="B34" s="7" t="s">
        <v>530</v>
      </c>
      <c r="C34" s="7" t="s">
        <v>22</v>
      </c>
      <c r="D34" s="7" t="s">
        <v>167</v>
      </c>
      <c r="E34" s="7" t="s">
        <v>75</v>
      </c>
      <c r="F34" s="48" t="s">
        <v>538</v>
      </c>
      <c r="G34" s="7" t="s">
        <v>544</v>
      </c>
      <c r="H34" s="7" t="s">
        <v>62</v>
      </c>
      <c r="I34" s="7" t="s">
        <v>62</v>
      </c>
      <c r="J34" s="7"/>
      <c r="K34" s="7">
        <v>1</v>
      </c>
      <c r="L34" s="7"/>
      <c r="M34" s="7"/>
      <c r="N34" s="7"/>
      <c r="O34" s="7"/>
      <c r="P34" s="7"/>
      <c r="Q34" s="7"/>
      <c r="R34" s="7"/>
      <c r="S34" s="7"/>
      <c r="T34" s="7"/>
      <c r="U34" s="7"/>
      <c r="V34" s="7"/>
      <c r="W34" s="7"/>
      <c r="X34" s="7"/>
      <c r="Y34" s="7"/>
      <c r="Z34" s="7"/>
      <c r="AA34" s="7"/>
      <c r="AB34" s="7"/>
      <c r="AC34" s="7"/>
    </row>
    <row r="35" spans="1:29" ht="99.75">
      <c r="A35" s="6" t="s">
        <v>70</v>
      </c>
      <c r="B35" s="6" t="s">
        <v>559</v>
      </c>
      <c r="C35" s="6" t="s">
        <v>22</v>
      </c>
      <c r="D35" s="6" t="s">
        <v>175</v>
      </c>
      <c r="E35" s="32" t="s">
        <v>561</v>
      </c>
      <c r="F35" s="32" t="s">
        <v>562</v>
      </c>
      <c r="G35" s="6" t="s">
        <v>563</v>
      </c>
      <c r="H35" s="6" t="s">
        <v>62</v>
      </c>
      <c r="I35" s="6" t="s">
        <v>62</v>
      </c>
      <c r="J35" s="6"/>
      <c r="K35" s="6">
        <v>1</v>
      </c>
      <c r="L35" s="6"/>
      <c r="M35" s="6"/>
      <c r="N35" s="6"/>
      <c r="O35" s="6"/>
      <c r="P35" s="6"/>
      <c r="Q35" s="6"/>
      <c r="R35" s="6"/>
      <c r="S35" s="6"/>
      <c r="T35" s="6"/>
      <c r="U35" s="6"/>
      <c r="V35" s="6"/>
      <c r="W35" s="6"/>
      <c r="X35" s="6"/>
      <c r="Y35" s="6"/>
      <c r="Z35" s="6"/>
      <c r="AA35" s="6"/>
      <c r="AB35" s="6"/>
      <c r="AC35" s="6"/>
    </row>
    <row r="36" spans="1:29" ht="285">
      <c r="A36" s="6" t="s">
        <v>52</v>
      </c>
      <c r="B36" s="6" t="s">
        <v>569</v>
      </c>
      <c r="C36" s="6" t="s">
        <v>22</v>
      </c>
      <c r="D36" s="6" t="s">
        <v>24</v>
      </c>
      <c r="E36" s="6" t="s">
        <v>265</v>
      </c>
      <c r="F36" s="6" t="s">
        <v>576</v>
      </c>
      <c r="G36" s="6" t="s">
        <v>583</v>
      </c>
      <c r="H36" s="6" t="s">
        <v>586</v>
      </c>
      <c r="I36" s="6" t="s">
        <v>62</v>
      </c>
      <c r="J36" s="6"/>
      <c r="K36" s="6">
        <v>1</v>
      </c>
      <c r="L36" s="6"/>
      <c r="M36" s="6"/>
      <c r="N36" s="6"/>
      <c r="O36" s="6"/>
      <c r="P36" s="6"/>
      <c r="Q36" s="6"/>
      <c r="R36" s="6"/>
      <c r="S36" s="6"/>
      <c r="T36" s="6"/>
      <c r="U36" s="6"/>
      <c r="V36" s="6"/>
      <c r="W36" s="6"/>
      <c r="X36" s="6"/>
      <c r="Y36" s="6"/>
      <c r="Z36" s="6"/>
      <c r="AA36" s="6"/>
      <c r="AB36" s="6"/>
      <c r="AC36" s="6"/>
    </row>
    <row r="37" spans="1:29" ht="156.75">
      <c r="A37" s="6" t="s">
        <v>52</v>
      </c>
      <c r="B37" s="6" t="s">
        <v>569</v>
      </c>
      <c r="C37" s="6" t="s">
        <v>22</v>
      </c>
      <c r="D37" s="6" t="s">
        <v>33</v>
      </c>
      <c r="E37" s="6" t="s">
        <v>598</v>
      </c>
      <c r="F37" s="6" t="s">
        <v>601</v>
      </c>
      <c r="G37" s="6" t="s">
        <v>603</v>
      </c>
      <c r="H37" s="6" t="s">
        <v>62</v>
      </c>
      <c r="I37" s="6" t="s">
        <v>62</v>
      </c>
      <c r="J37" s="6" t="s">
        <v>604</v>
      </c>
      <c r="K37" s="6">
        <v>1</v>
      </c>
      <c r="L37" s="6"/>
      <c r="M37" s="6"/>
      <c r="N37" s="6"/>
      <c r="O37" s="6"/>
      <c r="P37" s="6"/>
      <c r="Q37" s="6"/>
      <c r="R37" s="6"/>
      <c r="S37" s="6"/>
      <c r="T37" s="6"/>
      <c r="U37" s="6"/>
      <c r="V37" s="6"/>
      <c r="W37" s="6"/>
      <c r="X37" s="6"/>
      <c r="Y37" s="6"/>
      <c r="Z37" s="6"/>
      <c r="AA37" s="6"/>
      <c r="AB37" s="6"/>
      <c r="AC37" s="6"/>
    </row>
    <row r="38" spans="1:29" ht="171">
      <c r="A38" s="6" t="s">
        <v>52</v>
      </c>
      <c r="B38" s="6" t="s">
        <v>569</v>
      </c>
      <c r="C38" s="6" t="s">
        <v>22</v>
      </c>
      <c r="D38" s="6" t="s">
        <v>40</v>
      </c>
      <c r="E38" s="6" t="s">
        <v>380</v>
      </c>
      <c r="F38" s="6" t="s">
        <v>618</v>
      </c>
      <c r="G38" s="6" t="s">
        <v>626</v>
      </c>
      <c r="H38" s="6" t="s">
        <v>62</v>
      </c>
      <c r="I38" s="6" t="s">
        <v>62</v>
      </c>
      <c r="J38" s="6" t="s">
        <v>629</v>
      </c>
      <c r="K38" s="6">
        <v>1</v>
      </c>
      <c r="L38" s="6"/>
      <c r="M38" s="6"/>
      <c r="N38" s="6"/>
      <c r="O38" s="6"/>
      <c r="P38" s="6"/>
      <c r="Q38" s="6"/>
      <c r="R38" s="6"/>
      <c r="S38" s="6"/>
      <c r="T38" s="6"/>
      <c r="U38" s="6"/>
      <c r="V38" s="6"/>
      <c r="W38" s="6"/>
      <c r="X38" s="6"/>
      <c r="Y38" s="6"/>
      <c r="Z38" s="6"/>
      <c r="AA38" s="6"/>
      <c r="AB38" s="6"/>
      <c r="AC38" s="6"/>
    </row>
    <row r="39" spans="1:29" ht="85.5">
      <c r="A39" s="6" t="s">
        <v>70</v>
      </c>
      <c r="B39" s="6"/>
      <c r="C39" s="6" t="s">
        <v>22</v>
      </c>
      <c r="D39" s="6" t="s">
        <v>177</v>
      </c>
      <c r="E39" s="28" t="s">
        <v>632</v>
      </c>
      <c r="F39" s="28" t="s">
        <v>634</v>
      </c>
      <c r="G39" s="28" t="s">
        <v>635</v>
      </c>
      <c r="H39" s="28" t="s">
        <v>62</v>
      </c>
      <c r="I39" s="28" t="s">
        <v>62</v>
      </c>
      <c r="J39" s="28"/>
      <c r="K39" s="28">
        <v>1</v>
      </c>
      <c r="L39" s="28"/>
      <c r="M39" s="6"/>
      <c r="N39" s="6"/>
      <c r="O39" s="6"/>
      <c r="P39" s="6"/>
      <c r="Q39" s="6"/>
      <c r="R39" s="6"/>
      <c r="S39" s="6"/>
      <c r="T39" s="6"/>
      <c r="U39" s="6"/>
      <c r="V39" s="6"/>
      <c r="W39" s="6"/>
      <c r="X39" s="6"/>
      <c r="Y39" s="6"/>
      <c r="Z39" s="6"/>
      <c r="AA39" s="6"/>
      <c r="AB39" s="6"/>
      <c r="AC39" s="6"/>
    </row>
    <row r="40" spans="1:29" ht="99.75">
      <c r="A40" s="6" t="s">
        <v>70</v>
      </c>
      <c r="B40" s="6" t="s">
        <v>645</v>
      </c>
      <c r="C40" s="6" t="s">
        <v>22</v>
      </c>
      <c r="D40" s="6" t="s">
        <v>186</v>
      </c>
      <c r="E40" s="54" t="s">
        <v>650</v>
      </c>
      <c r="F40" s="54" t="s">
        <v>652</v>
      </c>
      <c r="G40" s="54" t="s">
        <v>653</v>
      </c>
      <c r="H40" s="55" t="s">
        <v>62</v>
      </c>
      <c r="I40" s="55" t="s">
        <v>62</v>
      </c>
      <c r="J40" s="54" t="s">
        <v>654</v>
      </c>
      <c r="K40" s="54">
        <v>1</v>
      </c>
      <c r="L40" s="54"/>
      <c r="M40" s="6"/>
      <c r="N40" s="6"/>
      <c r="O40" s="6"/>
      <c r="P40" s="6"/>
      <c r="Q40" s="6"/>
      <c r="R40" s="6"/>
      <c r="S40" s="6"/>
      <c r="T40" s="6"/>
      <c r="U40" s="6"/>
      <c r="V40" s="6"/>
      <c r="W40" s="6"/>
      <c r="X40" s="6"/>
      <c r="Y40" s="6"/>
      <c r="Z40" s="6"/>
      <c r="AA40" s="6"/>
      <c r="AB40" s="6"/>
      <c r="AC40" s="6"/>
    </row>
    <row r="41" spans="1:29" ht="171">
      <c r="A41" s="7" t="s">
        <v>70</v>
      </c>
      <c r="B41" s="7"/>
      <c r="C41" s="7" t="s">
        <v>22</v>
      </c>
      <c r="D41" s="7" t="s">
        <v>196</v>
      </c>
      <c r="E41" s="56" t="s">
        <v>655</v>
      </c>
      <c r="F41" s="56" t="s">
        <v>496</v>
      </c>
      <c r="G41" s="56" t="s">
        <v>658</v>
      </c>
      <c r="H41" s="56" t="s">
        <v>660</v>
      </c>
      <c r="I41" s="57" t="s">
        <v>62</v>
      </c>
      <c r="J41" s="57"/>
      <c r="K41" s="57">
        <v>1</v>
      </c>
      <c r="L41" s="57"/>
      <c r="M41" s="7"/>
      <c r="N41" s="7"/>
      <c r="O41" s="7"/>
      <c r="P41" s="7"/>
      <c r="Q41" s="7"/>
      <c r="R41" s="7"/>
      <c r="S41" s="7"/>
      <c r="T41" s="7"/>
      <c r="U41" s="7"/>
      <c r="V41" s="7"/>
      <c r="W41" s="7"/>
      <c r="X41" s="7"/>
      <c r="Y41" s="7"/>
      <c r="Z41" s="7"/>
      <c r="AA41" s="7"/>
      <c r="AB41" s="7"/>
      <c r="AC41" s="7"/>
    </row>
    <row r="42" spans="1:29" ht="85.5">
      <c r="A42" s="6" t="s">
        <v>70</v>
      </c>
      <c r="B42" s="6"/>
      <c r="C42" s="6" t="s">
        <v>22</v>
      </c>
      <c r="D42" s="6" t="s">
        <v>199</v>
      </c>
      <c r="E42" s="28" t="s">
        <v>670</v>
      </c>
      <c r="F42" s="28" t="s">
        <v>671</v>
      </c>
      <c r="G42" s="28" t="s">
        <v>672</v>
      </c>
      <c r="H42" s="28" t="s">
        <v>62</v>
      </c>
      <c r="I42" s="28" t="s">
        <v>62</v>
      </c>
      <c r="J42" s="28"/>
      <c r="K42" s="28">
        <v>1</v>
      </c>
      <c r="L42" s="28"/>
      <c r="M42" s="6"/>
      <c r="N42" s="6"/>
      <c r="O42" s="6"/>
      <c r="P42" s="6"/>
      <c r="Q42" s="6"/>
      <c r="R42" s="6"/>
      <c r="S42" s="6"/>
      <c r="T42" s="6"/>
      <c r="U42" s="6"/>
      <c r="V42" s="6"/>
      <c r="W42" s="6"/>
      <c r="X42" s="6"/>
      <c r="Y42" s="6"/>
      <c r="Z42" s="6"/>
      <c r="AA42" s="6"/>
      <c r="AB42" s="6"/>
      <c r="AC42" s="6"/>
    </row>
    <row r="43" spans="1:29" ht="114">
      <c r="A43" s="6" t="s">
        <v>70</v>
      </c>
      <c r="B43" s="6" t="s">
        <v>559</v>
      </c>
      <c r="C43" s="6" t="s">
        <v>22</v>
      </c>
      <c r="D43" s="6" t="s">
        <v>211</v>
      </c>
      <c r="E43" s="16" t="s">
        <v>675</v>
      </c>
      <c r="F43" s="16" t="s">
        <v>411</v>
      </c>
      <c r="G43" s="16" t="s">
        <v>679</v>
      </c>
      <c r="H43" s="16" t="s">
        <v>62</v>
      </c>
      <c r="I43" s="16" t="s">
        <v>62</v>
      </c>
      <c r="J43" s="6"/>
      <c r="K43" s="6"/>
      <c r="L43" s="6"/>
      <c r="M43" s="6"/>
      <c r="N43" s="6"/>
      <c r="O43" s="6"/>
      <c r="P43" s="6"/>
      <c r="Q43" s="6"/>
      <c r="R43" s="6"/>
      <c r="S43" s="6"/>
      <c r="T43" s="6"/>
      <c r="U43" s="6"/>
      <c r="V43" s="6"/>
      <c r="W43" s="6"/>
      <c r="X43" s="6"/>
      <c r="Y43" s="6"/>
      <c r="Z43" s="6"/>
      <c r="AA43" s="6"/>
      <c r="AB43" s="6"/>
      <c r="AC43" s="6"/>
    </row>
    <row r="44" spans="1:29" ht="185.25">
      <c r="A44" s="6" t="s">
        <v>52</v>
      </c>
      <c r="B44" s="6" t="s">
        <v>686</v>
      </c>
      <c r="C44" s="6" t="s">
        <v>22</v>
      </c>
      <c r="D44" s="6" t="s">
        <v>71</v>
      </c>
      <c r="E44" s="6" t="s">
        <v>687</v>
      </c>
      <c r="F44" s="6" t="s">
        <v>688</v>
      </c>
      <c r="G44" s="6" t="s">
        <v>689</v>
      </c>
      <c r="H44" s="6" t="s">
        <v>690</v>
      </c>
      <c r="I44" s="6" t="s">
        <v>691</v>
      </c>
      <c r="J44" s="6"/>
      <c r="K44" s="6">
        <v>1</v>
      </c>
      <c r="L44" s="6"/>
      <c r="M44" s="6"/>
      <c r="N44" s="6"/>
      <c r="O44" s="6"/>
      <c r="P44" s="6"/>
      <c r="Q44" s="6"/>
      <c r="R44" s="6"/>
      <c r="S44" s="6"/>
      <c r="T44" s="6"/>
      <c r="U44" s="6"/>
      <c r="V44" s="6"/>
      <c r="W44" s="6"/>
      <c r="X44" s="6"/>
      <c r="Y44" s="6"/>
      <c r="Z44" s="6"/>
      <c r="AA44" s="6"/>
      <c r="AB44" s="6"/>
      <c r="AC44" s="6"/>
    </row>
    <row r="45" spans="1:29" ht="114">
      <c r="A45" s="6" t="s">
        <v>52</v>
      </c>
      <c r="B45" s="6" t="s">
        <v>695</v>
      </c>
      <c r="C45" s="6" t="s">
        <v>22</v>
      </c>
      <c r="D45" s="6" t="s">
        <v>64</v>
      </c>
      <c r="E45" s="38" t="s">
        <v>461</v>
      </c>
      <c r="F45" s="6" t="s">
        <v>699</v>
      </c>
      <c r="G45" s="6" t="s">
        <v>703</v>
      </c>
      <c r="H45" s="6" t="s">
        <v>62</v>
      </c>
      <c r="I45" s="6" t="s">
        <v>62</v>
      </c>
      <c r="J45" s="6"/>
      <c r="K45" s="6">
        <v>1</v>
      </c>
      <c r="L45" s="6"/>
      <c r="M45" s="6"/>
      <c r="N45" s="6"/>
      <c r="O45" s="6"/>
      <c r="P45" s="6"/>
      <c r="Q45" s="6"/>
      <c r="R45" s="6"/>
      <c r="S45" s="6"/>
      <c r="T45" s="6"/>
      <c r="U45" s="6"/>
      <c r="V45" s="6"/>
      <c r="W45" s="6"/>
      <c r="X45" s="6"/>
      <c r="Y45" s="6"/>
      <c r="Z45" s="6"/>
      <c r="AA45" s="6"/>
      <c r="AB45" s="6"/>
      <c r="AC45" s="6"/>
    </row>
    <row r="46" spans="1:29" ht="256.5">
      <c r="A46" s="6" t="s">
        <v>52</v>
      </c>
      <c r="B46" s="6" t="s">
        <v>695</v>
      </c>
      <c r="C46" s="6" t="s">
        <v>22</v>
      </c>
      <c r="D46" s="6" t="s">
        <v>66</v>
      </c>
      <c r="E46" s="6" t="s">
        <v>687</v>
      </c>
      <c r="F46" s="6" t="s">
        <v>128</v>
      </c>
      <c r="G46" s="6" t="s">
        <v>725</v>
      </c>
      <c r="H46" s="6" t="s">
        <v>62</v>
      </c>
      <c r="I46" s="6" t="s">
        <v>62</v>
      </c>
      <c r="J46" s="6"/>
      <c r="K46" s="6">
        <v>1</v>
      </c>
      <c r="L46" s="6"/>
      <c r="M46" s="6"/>
      <c r="N46" s="6"/>
      <c r="O46" s="6"/>
      <c r="P46" s="6"/>
      <c r="Q46" s="6"/>
      <c r="R46" s="6"/>
      <c r="S46" s="6"/>
      <c r="T46" s="6"/>
      <c r="U46" s="6"/>
      <c r="V46" s="6"/>
      <c r="W46" s="6"/>
      <c r="X46" s="6"/>
      <c r="Y46" s="6"/>
      <c r="Z46" s="6"/>
      <c r="AA46" s="6"/>
      <c r="AB46" s="6"/>
      <c r="AC46" s="6"/>
    </row>
    <row r="47" spans="1:29" ht="171">
      <c r="A47" s="6" t="s">
        <v>52</v>
      </c>
      <c r="B47" s="6" t="s">
        <v>726</v>
      </c>
      <c r="C47" s="6" t="s">
        <v>22</v>
      </c>
      <c r="D47" s="6" t="s">
        <v>73</v>
      </c>
      <c r="E47" s="6" t="s">
        <v>518</v>
      </c>
      <c r="F47" s="6" t="s">
        <v>727</v>
      </c>
      <c r="G47" s="6" t="s">
        <v>728</v>
      </c>
      <c r="H47" s="6" t="s">
        <v>729</v>
      </c>
      <c r="I47" s="6" t="s">
        <v>62</v>
      </c>
      <c r="J47" s="6"/>
      <c r="K47" s="6">
        <v>1</v>
      </c>
      <c r="L47" s="6"/>
      <c r="M47" s="6"/>
      <c r="N47" s="6"/>
      <c r="O47" s="6"/>
      <c r="P47" s="6"/>
      <c r="Q47" s="6"/>
      <c r="R47" s="6"/>
      <c r="S47" s="6"/>
      <c r="T47" s="6"/>
      <c r="U47" s="6"/>
      <c r="V47" s="6"/>
      <c r="W47" s="6"/>
      <c r="X47" s="6"/>
      <c r="Y47" s="6"/>
      <c r="Z47" s="6"/>
      <c r="AA47" s="6"/>
      <c r="AB47" s="6"/>
      <c r="AC47" s="6"/>
    </row>
    <row r="48" spans="1:29" ht="142.5">
      <c r="A48" s="6" t="s">
        <v>70</v>
      </c>
      <c r="B48" s="6" t="s">
        <v>741</v>
      </c>
      <c r="C48" s="6" t="s">
        <v>22</v>
      </c>
      <c r="D48" s="6" t="s">
        <v>203</v>
      </c>
      <c r="E48" s="6" t="s">
        <v>745</v>
      </c>
      <c r="F48" s="6" t="s">
        <v>747</v>
      </c>
      <c r="G48" s="6" t="s">
        <v>751</v>
      </c>
      <c r="H48" s="6" t="s">
        <v>62</v>
      </c>
      <c r="I48" s="6" t="s">
        <v>62</v>
      </c>
      <c r="J48" s="6"/>
      <c r="K48" s="6">
        <v>1</v>
      </c>
      <c r="L48" s="6"/>
      <c r="M48" s="6"/>
      <c r="N48" s="6"/>
      <c r="O48" s="6"/>
      <c r="P48" s="6"/>
      <c r="Q48" s="6"/>
      <c r="R48" s="6"/>
      <c r="S48" s="6"/>
      <c r="T48" s="6"/>
      <c r="U48" s="6"/>
      <c r="V48" s="6"/>
      <c r="W48" s="6"/>
      <c r="X48" s="6"/>
      <c r="Y48" s="6"/>
      <c r="Z48" s="6"/>
      <c r="AA48" s="6"/>
      <c r="AB48" s="6"/>
      <c r="AC48" s="6"/>
    </row>
    <row r="49" spans="1:29" ht="256.5">
      <c r="A49" s="16" t="s">
        <v>70</v>
      </c>
      <c r="B49" s="16" t="s">
        <v>741</v>
      </c>
      <c r="C49" s="16" t="s">
        <v>22</v>
      </c>
      <c r="D49" s="16" t="s">
        <v>207</v>
      </c>
      <c r="E49" s="16" t="s">
        <v>762</v>
      </c>
      <c r="F49" s="16" t="s">
        <v>764</v>
      </c>
      <c r="G49" s="16" t="s">
        <v>765</v>
      </c>
      <c r="H49" s="16" t="s">
        <v>62</v>
      </c>
      <c r="I49" s="16" t="s">
        <v>62</v>
      </c>
      <c r="J49" s="16"/>
      <c r="K49" s="16">
        <v>1</v>
      </c>
      <c r="L49" s="16"/>
      <c r="M49" s="16"/>
      <c r="N49" s="16"/>
      <c r="O49" s="16"/>
      <c r="P49" s="16"/>
      <c r="Q49" s="16"/>
      <c r="R49" s="16"/>
      <c r="S49" s="16"/>
      <c r="T49" s="16"/>
      <c r="U49" s="16"/>
      <c r="V49" s="16"/>
      <c r="W49" s="16"/>
      <c r="X49" s="16"/>
      <c r="Y49" s="16"/>
      <c r="Z49" s="16"/>
      <c r="AA49" s="16"/>
      <c r="AB49" s="16"/>
      <c r="AC49" s="16"/>
    </row>
    <row r="50" spans="1:29" ht="228">
      <c r="A50" s="6" t="s">
        <v>70</v>
      </c>
      <c r="B50" s="16" t="s">
        <v>741</v>
      </c>
      <c r="C50" s="6" t="s">
        <v>22</v>
      </c>
      <c r="D50" s="6" t="s">
        <v>208</v>
      </c>
      <c r="E50" s="28" t="s">
        <v>766</v>
      </c>
      <c r="F50" s="28" t="s">
        <v>767</v>
      </c>
      <c r="G50" s="28" t="s">
        <v>769</v>
      </c>
      <c r="H50" s="28" t="s">
        <v>62</v>
      </c>
      <c r="I50" s="28" t="s">
        <v>62</v>
      </c>
      <c r="J50" s="59"/>
      <c r="K50" s="6">
        <v>1</v>
      </c>
      <c r="L50" s="6"/>
      <c r="M50" s="6"/>
      <c r="N50" s="6"/>
      <c r="O50" s="6"/>
      <c r="P50" s="6"/>
      <c r="Q50" s="6"/>
      <c r="R50" s="6"/>
      <c r="S50" s="6"/>
      <c r="T50" s="6"/>
      <c r="U50" s="6"/>
      <c r="V50" s="6"/>
      <c r="W50" s="6"/>
      <c r="X50" s="6"/>
      <c r="Y50" s="6"/>
      <c r="Z50" s="6"/>
      <c r="AA50" s="6"/>
      <c r="AB50" s="6"/>
      <c r="AC50" s="6"/>
    </row>
    <row r="51" spans="1:29" ht="213.75">
      <c r="A51" s="6" t="s">
        <v>70</v>
      </c>
      <c r="B51" s="16" t="s">
        <v>741</v>
      </c>
      <c r="C51" s="6" t="s">
        <v>22</v>
      </c>
      <c r="D51" s="6" t="s">
        <v>209</v>
      </c>
      <c r="E51" s="28" t="s">
        <v>778</v>
      </c>
      <c r="F51" s="28" t="s">
        <v>780</v>
      </c>
      <c r="G51" s="28" t="s">
        <v>783</v>
      </c>
      <c r="H51" s="28" t="s">
        <v>62</v>
      </c>
      <c r="I51" s="28" t="s">
        <v>62</v>
      </c>
      <c r="J51" s="59"/>
      <c r="K51" s="6">
        <v>1</v>
      </c>
      <c r="L51" s="6"/>
      <c r="M51" s="6"/>
      <c r="N51" s="6"/>
      <c r="O51" s="6"/>
      <c r="P51" s="6"/>
      <c r="Q51" s="6"/>
      <c r="R51" s="6"/>
      <c r="S51" s="6"/>
      <c r="T51" s="6"/>
      <c r="U51" s="6"/>
      <c r="V51" s="6"/>
      <c r="W51" s="6"/>
      <c r="X51" s="6"/>
      <c r="Y51" s="6"/>
      <c r="Z51" s="6"/>
      <c r="AA51" s="6"/>
      <c r="AB51" s="6"/>
      <c r="AC51" s="6"/>
    </row>
    <row r="52" spans="1:29" ht="171">
      <c r="A52" s="6" t="s">
        <v>52</v>
      </c>
      <c r="B52" s="6" t="s">
        <v>378</v>
      </c>
      <c r="C52" s="6" t="s">
        <v>22</v>
      </c>
      <c r="D52" s="6" t="s">
        <v>77</v>
      </c>
      <c r="E52" s="6" t="s">
        <v>785</v>
      </c>
      <c r="F52" s="6" t="s">
        <v>786</v>
      </c>
      <c r="G52" s="6" t="s">
        <v>787</v>
      </c>
      <c r="H52" s="6" t="s">
        <v>62</v>
      </c>
      <c r="I52" s="6" t="s">
        <v>62</v>
      </c>
      <c r="J52" s="6" t="s">
        <v>788</v>
      </c>
      <c r="K52" s="6">
        <v>1</v>
      </c>
      <c r="L52" s="6"/>
      <c r="M52" s="6"/>
      <c r="N52" s="6"/>
      <c r="O52" s="6"/>
      <c r="P52" s="6"/>
      <c r="Q52" s="6"/>
      <c r="R52" s="6"/>
      <c r="S52" s="6"/>
      <c r="T52" s="6"/>
      <c r="U52" s="6"/>
      <c r="V52" s="6"/>
      <c r="W52" s="6"/>
      <c r="X52" s="6"/>
      <c r="Y52" s="6"/>
      <c r="Z52" s="6"/>
      <c r="AA52" s="6"/>
      <c r="AB52" s="6"/>
      <c r="AC52" s="6"/>
    </row>
    <row r="53" spans="1:29" ht="114">
      <c r="A53" s="6" t="s">
        <v>52</v>
      </c>
      <c r="B53" s="6" t="s">
        <v>797</v>
      </c>
      <c r="C53" s="6" t="s">
        <v>22</v>
      </c>
      <c r="D53" s="6" t="s">
        <v>84</v>
      </c>
      <c r="E53" s="6" t="s">
        <v>349</v>
      </c>
      <c r="F53" s="6" t="s">
        <v>799</v>
      </c>
      <c r="G53" s="6" t="s">
        <v>800</v>
      </c>
      <c r="H53" s="6" t="s">
        <v>801</v>
      </c>
      <c r="I53" s="6" t="s">
        <v>802</v>
      </c>
      <c r="J53" s="6"/>
      <c r="K53" s="6">
        <v>1</v>
      </c>
      <c r="L53" s="6"/>
      <c r="M53" s="6"/>
      <c r="N53" s="6"/>
      <c r="O53" s="6"/>
      <c r="P53" s="6"/>
      <c r="Q53" s="6"/>
      <c r="R53" s="6"/>
      <c r="S53" s="6"/>
      <c r="T53" s="6"/>
      <c r="U53" s="6"/>
      <c r="V53" s="6"/>
      <c r="W53" s="6"/>
      <c r="X53" s="6"/>
      <c r="Y53" s="6"/>
      <c r="Z53" s="6"/>
      <c r="AA53" s="6"/>
      <c r="AB53" s="6"/>
      <c r="AC53" s="6"/>
    </row>
    <row r="54" spans="1:29" ht="171">
      <c r="A54" s="6" t="s">
        <v>52</v>
      </c>
      <c r="B54" s="6" t="s">
        <v>804</v>
      </c>
      <c r="C54" s="6" t="s">
        <v>22</v>
      </c>
      <c r="D54" s="6" t="s">
        <v>86</v>
      </c>
      <c r="E54" s="6" t="s">
        <v>805</v>
      </c>
      <c r="F54" s="6" t="s">
        <v>806</v>
      </c>
      <c r="G54" s="6" t="s">
        <v>807</v>
      </c>
      <c r="H54" s="6" t="s">
        <v>808</v>
      </c>
      <c r="I54" s="6" t="s">
        <v>809</v>
      </c>
      <c r="J54" s="6"/>
      <c r="K54" s="6">
        <v>1</v>
      </c>
      <c r="L54" s="6"/>
      <c r="M54" s="6"/>
      <c r="N54" s="6"/>
      <c r="O54" s="6"/>
      <c r="P54" s="6"/>
      <c r="Q54" s="6"/>
      <c r="R54" s="6"/>
      <c r="S54" s="6"/>
      <c r="T54" s="6"/>
      <c r="U54" s="6"/>
      <c r="V54" s="6"/>
      <c r="W54" s="6"/>
      <c r="X54" s="6"/>
      <c r="Y54" s="6"/>
      <c r="Z54" s="6"/>
      <c r="AA54" s="6"/>
      <c r="AB54" s="6"/>
      <c r="AC54" s="6"/>
    </row>
    <row r="55" spans="1:29" ht="114">
      <c r="A55" s="6" t="s">
        <v>52</v>
      </c>
      <c r="B55" s="6" t="s">
        <v>817</v>
      </c>
      <c r="C55" s="6" t="s">
        <v>22</v>
      </c>
      <c r="D55" s="6" t="s">
        <v>87</v>
      </c>
      <c r="E55" s="6" t="s">
        <v>805</v>
      </c>
      <c r="F55" s="6" t="s">
        <v>821</v>
      </c>
      <c r="G55" s="6" t="s">
        <v>823</v>
      </c>
      <c r="H55" s="6" t="s">
        <v>824</v>
      </c>
      <c r="I55" s="6" t="s">
        <v>825</v>
      </c>
      <c r="J55" s="6"/>
      <c r="K55" s="6">
        <v>1</v>
      </c>
      <c r="L55" s="6"/>
      <c r="M55" s="6"/>
      <c r="N55" s="6"/>
      <c r="O55" s="6"/>
      <c r="P55" s="6"/>
      <c r="Q55" s="6"/>
      <c r="R55" s="6"/>
      <c r="S55" s="6"/>
      <c r="T55" s="6"/>
      <c r="U55" s="6"/>
      <c r="V55" s="6"/>
      <c r="W55" s="6"/>
      <c r="X55" s="6"/>
      <c r="Y55" s="6"/>
      <c r="Z55" s="6"/>
      <c r="AA55" s="6"/>
      <c r="AB55" s="6"/>
      <c r="AC55" s="6"/>
    </row>
    <row r="56" spans="1:29" ht="14.25">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row>
    <row r="57" spans="1:29" ht="14.25">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row>
    <row r="58" spans="1:29" ht="14.25">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row>
    <row r="59" spans="1:29" ht="14.25">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row>
    <row r="60" spans="1:29" ht="14.25">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row>
    <row r="61" spans="1:29" ht="14.25">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row>
    <row r="62" spans="1:29" ht="14.25">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row>
    <row r="63" spans="1:29" ht="14.25">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row>
    <row r="64" spans="1:29" ht="14.25">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row>
    <row r="65" spans="1:29" ht="14.2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row>
    <row r="66" spans="1:29" ht="14.25">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row>
    <row r="67" spans="1:29" ht="14.25">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row>
    <row r="68" spans="1:29" ht="14.25">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row>
    <row r="69" spans="1:29" ht="14.25">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row>
    <row r="70" spans="1:29" ht="14.25">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row>
    <row r="71" spans="1:29" ht="14.25">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row>
    <row r="72" spans="1:29" ht="14.25">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row>
    <row r="73" spans="1:29" ht="14.25">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row>
    <row r="74" spans="1:29" ht="14.25">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row>
    <row r="75" spans="1:29" ht="14.2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row>
    <row r="76" spans="1:29" ht="14.25">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row>
    <row r="77" spans="1:29" ht="14.25">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row>
    <row r="78" spans="1:29" ht="14.25">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row>
    <row r="79" spans="1:29" ht="14.25">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row>
    <row r="80" spans="1:29" ht="14.25">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row>
    <row r="81" spans="1:29" ht="14.25">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row>
    <row r="82" spans="1:29" ht="14.25">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row>
    <row r="83" spans="1:29" ht="14.25">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row>
    <row r="84" spans="1:29" ht="14.25">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row>
    <row r="85" spans="1:29" ht="14.2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row>
    <row r="86" spans="1:29" ht="14.25">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row>
    <row r="87" spans="1:29" ht="14.25">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row>
    <row r="88" spans="1:29" ht="14.25">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row>
    <row r="89" spans="1:29" ht="14.25">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row>
    <row r="90" spans="1:29" ht="14.25">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row>
    <row r="91" spans="1:29" ht="14.25">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row>
    <row r="92" spans="1:29" ht="14.25">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row>
    <row r="93" spans="1:29" ht="14.25">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row>
    <row r="94" spans="1:29" ht="14.25">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row>
    <row r="95" spans="1:29" ht="14.2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row>
    <row r="96" spans="1:29" ht="14.25">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row>
    <row r="97" spans="1:29" ht="14.25">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row>
    <row r="98" spans="1:29" ht="14.25">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row>
    <row r="99" spans="1:29" ht="14.25">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row>
    <row r="100" spans="1:29" ht="14.2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spans="1:29" ht="14.2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spans="1:29" ht="14.2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spans="1:29" ht="14.2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spans="1:29" ht="14.2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spans="1:29" ht="14.2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spans="1:29" ht="14.2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spans="1:29" ht="14.2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spans="1:29" ht="14.2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spans="1:29" ht="14.2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spans="1:29" ht="14.2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spans="1:29" ht="14.2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spans="1:29" ht="14.2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spans="1:29" ht="14.2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spans="1:29" ht="14.2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spans="1:29" ht="14.2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spans="1:29" ht="14.2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spans="1:29" ht="14.2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spans="1:29" ht="14.2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spans="1:29" ht="14.2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spans="1:29" ht="14.2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spans="1:29" ht="14.2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spans="1:29" ht="14.2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spans="1:29" ht="14.2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spans="1:29" ht="14.2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spans="1:29" ht="14.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spans="1:29" ht="14.2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spans="1:29" ht="14.2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spans="1:29" ht="14.2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spans="1:29" ht="14.2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spans="1:29" ht="14.2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spans="1:29" ht="14.2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spans="1:29" ht="14.2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spans="1:29" ht="14.2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spans="1:29" ht="14.2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spans="1:29" ht="14.2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spans="1:29" ht="14.2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spans="1:29" ht="14.2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spans="1:29" ht="14.2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spans="1:29" ht="14.2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spans="1:29" ht="14.2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spans="1:29" ht="14.2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spans="1:29" ht="14.2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spans="1:29" ht="14.2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spans="1:29" ht="14.2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spans="1:29" ht="14.2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spans="1:29" ht="14.2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spans="1:29" ht="14.2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spans="1:29" ht="14.2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spans="1:29" ht="14.2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spans="1:29" ht="14.2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spans="1:29" ht="14.2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spans="1:29" ht="14.2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spans="1:29" ht="14.2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spans="1:29" ht="14.2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spans="1:29" ht="14.2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spans="1:29" ht="14.2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spans="1:29" ht="14.2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spans="1:29" ht="14.2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spans="1:29" ht="14.2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spans="1:29" ht="14.2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spans="1:29" ht="14.2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spans="1:29" ht="14.2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spans="1:29" ht="14.2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spans="1:29" ht="14.2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spans="1:29" ht="14.2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spans="1:29" ht="14.2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spans="1:29" ht="14.2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spans="1:29" ht="14.2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spans="1:29" ht="14.2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spans="1:29" ht="14.2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spans="1:29" ht="14.2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spans="1:29" ht="14.2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spans="1:29" ht="14.2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spans="1:29" ht="14.2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spans="1:29" ht="14.2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spans="1:29" ht="14.2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spans="1:29" ht="14.2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spans="1:29" ht="14.2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spans="1:29" ht="14.2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spans="1:29" ht="14.2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spans="1:29" ht="14.2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spans="1:29" ht="14.2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spans="1:29" ht="14.2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spans="1:29" ht="14.2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spans="1:29" ht="14.2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spans="1:29" ht="14.2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spans="1:29" ht="14.2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spans="1:29" ht="14.2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spans="1:29" ht="14.2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spans="1:29" ht="14.2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spans="1:29" ht="14.2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spans="1:29" ht="14.2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spans="1:29" ht="14.2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spans="1:29" ht="14.2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spans="1:29" ht="14.2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spans="1:29" ht="14.2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spans="1:29" ht="14.2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spans="1:29" ht="14.2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spans="1:29" ht="14.2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spans="1:29" ht="14.2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spans="1:29" ht="14.2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spans="1:29" ht="14.2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spans="1:29" ht="14.2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spans="1:29" ht="14.2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spans="1:29" ht="14.2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spans="1:29" ht="14.2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spans="1:29" ht="14.2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spans="1:29" ht="14.2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spans="1:29" ht="14.2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spans="1:29" ht="14.2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spans="1:29" ht="14.2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spans="1:29" ht="14.2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spans="1:29" ht="14.2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spans="1:29" ht="14.2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spans="1:29" ht="14.2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spans="1:29" ht="14.2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spans="1:29" ht="14.2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spans="1:29" ht="14.2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spans="1:29" ht="14.2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spans="1:29" ht="14.2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spans="1:29" ht="14.2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spans="1:29" ht="14.2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spans="1:29" ht="14.2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spans="1:29" ht="14.2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spans="1:29" ht="14.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spans="1:29" ht="14.2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spans="1:29" ht="14.2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spans="1:29" ht="14.2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spans="1:29" ht="14.2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spans="1:29" ht="14.2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spans="1:29" ht="14.2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spans="1:29" ht="14.2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spans="1:29" ht="14.2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spans="1:29" ht="14.2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spans="1:29" ht="14.2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spans="1:29" ht="14.2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spans="1:29" ht="14.2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spans="1:29" ht="14.2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spans="1:29" ht="14.2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spans="1:29" ht="14.2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spans="1:29" ht="14.2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spans="1:29" ht="14.2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spans="1:29" ht="14.2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spans="1:29" ht="14.2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spans="1:29" ht="14.2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spans="1:29" ht="14.2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spans="1:29" ht="14.2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spans="1:29" ht="14.2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spans="1:29" ht="14.2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spans="1:29" ht="14.2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spans="1:29" ht="14.2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spans="1:29" ht="14.2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spans="1:29" ht="14.2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spans="1:29" ht="14.2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spans="1:29" ht="14.2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spans="1:29" ht="14.2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spans="1:29" ht="14.2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spans="1:29" ht="14.2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spans="1:29" ht="14.2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spans="1:29" ht="14.2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spans="1:29" ht="14.2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spans="1:29" ht="14.2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spans="1:29" ht="14.2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spans="1:29" ht="14.2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spans="1:29" ht="14.2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spans="1:29" ht="14.2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spans="1:29" ht="14.2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spans="1:29" ht="14.2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spans="1:29" ht="14.2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spans="1:29" ht="14.2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spans="1:29" ht="14.2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spans="1:29" ht="14.2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spans="1:29" ht="14.2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spans="1:29" ht="14.2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spans="1:29" ht="14.2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spans="1:29" ht="14.2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spans="1:29" ht="14.2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spans="1:29" ht="14.2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spans="1:29" ht="14.2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spans="1:29" ht="14.2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spans="1:29" ht="14.2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spans="1:29" ht="14.2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spans="1:29" ht="14.2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spans="1:29" ht="14.2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spans="1:29" ht="14.2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spans="1:29" ht="14.2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spans="1:29" ht="14.2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spans="1:29" ht="14.2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spans="1:29" ht="14.2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spans="1:29" ht="14.2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spans="1:29" ht="14.2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spans="1:29" ht="14.2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spans="1:29" ht="14.2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spans="1:29" ht="14.2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spans="1:29" ht="14.2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spans="1:29" ht="14.2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spans="1:29" ht="14.2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spans="1:29" ht="14.2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spans="1:29" ht="14.2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spans="1:29" ht="14.2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spans="1:29" ht="14.2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spans="1:29" ht="14.2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spans="1:29" ht="14.2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spans="1:29" ht="14.2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spans="1:29" ht="14.2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spans="1:29" ht="14.2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spans="1:29" ht="14.2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spans="1:29" ht="14.2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spans="1:29" ht="14.2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spans="1:29" ht="14.2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spans="1:29" ht="14.2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spans="1:29" ht="14.2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spans="1:29" ht="14.2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spans="1:29" ht="14.2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spans="1:29" ht="14.2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spans="1:29" ht="14.2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spans="1:29" ht="14.2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spans="1:29" ht="14.2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spans="1:29" ht="14.2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spans="1:29" ht="14.2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spans="1:29" ht="14.2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spans="1:29" ht="14.2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spans="1:29" ht="14.2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spans="1:29" ht="14.2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spans="1:29" ht="14.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spans="1:29" ht="14.2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spans="1:29" ht="14.2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spans="1:29" ht="14.2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spans="1:29" ht="14.2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spans="1:29" ht="14.2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spans="1:29" ht="14.2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spans="1:29" ht="14.2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spans="1:29" ht="14.2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spans="1:29" ht="14.2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spans="1:29" ht="14.2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spans="1:29" ht="14.2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spans="1:29" ht="14.2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spans="1:29" ht="14.2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spans="1:29" ht="14.2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spans="1:29" ht="14.2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spans="1:29" ht="14.2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spans="1:29" ht="14.2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spans="1:29" ht="14.2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spans="1:29" ht="14.2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spans="1:29" ht="14.2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spans="1:29" ht="14.2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spans="1:29" ht="14.2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spans="1:29" ht="14.2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spans="1:29" ht="14.2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spans="1:29" ht="14.2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spans="1:29" ht="14.2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spans="1:29" ht="14.2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spans="1:29" ht="14.2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spans="1:29" ht="14.2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spans="1:29" ht="14.2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spans="1:29" ht="14.2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spans="1:29" ht="14.2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spans="1:29" ht="14.2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spans="1:29" ht="14.2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spans="1:29" ht="14.2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spans="1:29" ht="14.2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spans="1:29" ht="14.2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spans="1:29" ht="14.2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spans="1:29" ht="14.2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spans="1:29" ht="14.2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spans="1:29" ht="14.2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spans="1:29" ht="14.2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spans="1:29" ht="14.2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spans="1:29" ht="14.2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spans="1:29" ht="14.2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spans="1:29" ht="14.2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spans="1:29" ht="14.2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spans="1:29" ht="14.2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spans="1:29" ht="14.2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spans="1:29" ht="14.2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spans="1:29" ht="14.2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spans="1:29" ht="14.2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spans="1:29" ht="14.2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spans="1:29" ht="14.2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spans="1:29" ht="14.2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spans="1:29" ht="14.2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spans="1:29" ht="14.2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spans="1:29" ht="14.2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spans="1:29" ht="14.2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spans="1:29" ht="14.2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spans="1:29" ht="14.2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spans="1:29" ht="14.2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spans="1:29" ht="14.2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spans="1:29" ht="14.2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spans="1:29" ht="14.2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spans="1:29" ht="14.2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spans="1:29" ht="14.2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spans="1:29" ht="14.2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spans="1:29" ht="14.2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spans="1:29" ht="14.2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spans="1:29" ht="14.2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spans="1:29" ht="14.2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spans="1:29" ht="14.2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spans="1:29" ht="14.2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spans="1:29" ht="14.2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spans="1:29" ht="14.2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spans="1:29" ht="14.2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spans="1:29" ht="14.2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spans="1:29" ht="14.2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spans="1:29" ht="14.2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spans="1:29" ht="14.2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spans="1:29" ht="14.2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spans="1:29" ht="14.2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spans="1:29" ht="14.2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spans="1:29" ht="14.2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spans="1:29" ht="14.2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spans="1:29" ht="14.2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spans="1:29" ht="14.2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spans="1:29" ht="14.2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spans="1:29" ht="14.2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spans="1:29" ht="14.2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spans="1:29" ht="14.2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spans="1:29" ht="14.2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spans="1:29" ht="14.2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spans="1:29" ht="14.2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spans="1:29" ht="14.2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spans="1:29" ht="14.2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spans="1:29" ht="14.2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spans="1:29" ht="14.2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spans="1:29" ht="1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spans="1:29" ht="14.2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spans="1:29" ht="14.2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spans="1:29" ht="14.2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spans="1:29" ht="14.2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spans="1:29" ht="14.2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spans="1:29" ht="14.2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spans="1:29" ht="14.2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spans="1:29" ht="14.2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spans="1:29" ht="14.2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spans="1:29" ht="14.2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spans="1:29" ht="14.2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spans="1:29" ht="14.2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spans="1:29" ht="14.2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spans="1:29" ht="14.2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spans="1:29" ht="14.2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spans="1:29" ht="14.2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spans="1:29" ht="14.2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spans="1:29" ht="14.2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spans="1:29" ht="14.2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spans="1:29" ht="14.2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spans="1:29" ht="14.2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spans="1:29" ht="14.2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spans="1:29" ht="14.2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spans="1:29" ht="14.2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spans="1:29" ht="14.2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spans="1:29" ht="14.2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spans="1:29" ht="14.2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spans="1:29" ht="14.2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spans="1:29" ht="14.2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spans="1:29" ht="14.2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spans="1:29" ht="14.2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spans="1:29" ht="14.2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spans="1:29" ht="14.2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spans="1:29" ht="14.2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spans="1:29" ht="14.2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spans="1:29" ht="14.2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spans="1:29" ht="14.2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spans="1:29" ht="14.2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spans="1:29" ht="14.2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spans="1:29" ht="14.2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spans="1:29" ht="14.2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spans="1:29" ht="14.2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spans="1:29" ht="14.2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spans="1:29" ht="14.2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spans="1:29" ht="14.2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spans="1:29" ht="14.2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spans="1:29" ht="14.2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spans="1:29" ht="14.2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spans="1:29" ht="14.2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spans="1:29" ht="14.2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spans="1:29" ht="14.2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spans="1:29" ht="14.2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spans="1:29" ht="14.2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spans="1:29" ht="14.2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spans="1:29" ht="14.2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spans="1:29" ht="14.2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spans="1:29" ht="14.2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spans="1:29" ht="14.2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spans="1:29" ht="14.2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spans="1:29" ht="14.2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spans="1:29" ht="14.2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spans="1:29" ht="14.2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spans="1:29" ht="14.2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spans="1:29" ht="14.2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spans="1:29" ht="14.2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spans="1:29" ht="14.2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spans="1:29" ht="14.2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spans="1:29" ht="14.2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spans="1:29" ht="14.2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spans="1:29" ht="14.2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spans="1:29" ht="14.2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spans="1:29" ht="14.2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spans="1:29" ht="14.2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spans="1:29" ht="14.2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spans="1:29" ht="14.2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spans="1:29" ht="14.2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spans="1:29" ht="14.2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spans="1:29" ht="14.2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spans="1:29" ht="14.2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spans="1:29" ht="14.2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spans="1:29" ht="14.2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spans="1:29" ht="14.2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spans="1:29" ht="14.2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spans="1:29" ht="14.2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spans="1:29" ht="14.2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spans="1:29" ht="14.2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spans="1:29" ht="14.2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spans="1:29" ht="14.2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spans="1:29" ht="14.2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spans="1:29" ht="14.2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spans="1:29" ht="14.2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spans="1:29" ht="14.2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spans="1:29" ht="14.2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spans="1:29" ht="14.2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spans="1:29" ht="14.2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spans="1:29" ht="14.2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spans="1:29" ht="14.2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spans="1:29" ht="14.2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spans="1:29" ht="14.2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spans="1:29" ht="14.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spans="1:29" ht="14.2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spans="1:29" ht="14.2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spans="1:29" ht="14.2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spans="1:29" ht="14.2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spans="1:29" ht="14.2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spans="1:29" ht="14.2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spans="1:29" ht="14.2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spans="1:29" ht="14.2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spans="1:29" ht="14.2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spans="1:29" ht="14.2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spans="1:29" ht="14.2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spans="1:29" ht="14.2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spans="1:29" ht="14.2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spans="1:29" ht="14.2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spans="1:29" ht="14.2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spans="1:29" ht="14.2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spans="1:29" ht="14.2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spans="1:29" ht="14.2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spans="1:29" ht="14.2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spans="1:29" ht="14.2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spans="1:29" ht="14.2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spans="1:29" ht="14.2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spans="1:29" ht="14.2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spans="1:29" ht="14.2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spans="1:29" ht="14.2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spans="1:29" ht="14.2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spans="1:29" ht="14.2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spans="1:29" ht="14.2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spans="1:29" ht="14.2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spans="1:29" ht="14.2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spans="1:29" ht="14.2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spans="1:29" ht="14.2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spans="1:29" ht="14.2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spans="1:29" ht="14.2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spans="1:29" ht="14.2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spans="1:29" ht="14.2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spans="1:29" ht="14.2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spans="1:29" ht="14.2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spans="1:29" ht="14.2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spans="1:29" ht="14.2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spans="1:29" ht="14.2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spans="1:29" ht="14.2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spans="1:29" ht="14.2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spans="1:29" ht="14.2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spans="1:29" ht="14.2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spans="1:29" ht="14.2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spans="1:29" ht="14.2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spans="1:29" ht="14.2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spans="1:29" ht="14.2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spans="1:29" ht="14.2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spans="1:29" ht="14.2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spans="1:29" ht="14.2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spans="1:29" ht="14.2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spans="1:29" ht="14.2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spans="1:29" ht="14.2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spans="1:29" ht="14.2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spans="1:29" ht="14.2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spans="1:29" ht="14.2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spans="1:29" ht="14.2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spans="1:29" ht="14.2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spans="1:29" ht="14.2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spans="1:29" ht="14.2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spans="1:29" ht="14.2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spans="1:29" ht="14.2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spans="1:29" ht="14.2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spans="1:29" ht="14.2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spans="1:29" ht="14.2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spans="1:29" ht="14.2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spans="1:29" ht="14.2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spans="1:29" ht="14.2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spans="1:29" ht="14.2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spans="1:29" ht="14.2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spans="1:29" ht="14.2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spans="1:29" ht="14.2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spans="1:29" ht="14.2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spans="1:29" ht="14.2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spans="1:29" ht="14.2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spans="1:29" ht="14.2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spans="1:29" ht="14.2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spans="1:29" ht="14.2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spans="1:29" ht="14.2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spans="1:29" ht="14.2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spans="1:29" ht="14.2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spans="1:29" ht="14.2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spans="1:29" ht="14.2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spans="1:29" ht="14.2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spans="1:29" ht="14.2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spans="1:29" ht="14.2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spans="1:29" ht="14.2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spans="1:29" ht="14.2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spans="1:29" ht="14.2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spans="1:29" ht="14.2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spans="1:29" ht="14.2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spans="1:29" ht="14.2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spans="1:29" ht="14.2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spans="1:29" ht="14.2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spans="1:29" ht="14.2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spans="1:29" ht="14.2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spans="1:29" ht="14.2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spans="1:29" ht="14.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spans="1:29" ht="14.2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spans="1:29" ht="14.2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spans="1:29" ht="14.2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spans="1:29" ht="14.2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spans="1:29" ht="14.2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spans="1:29" ht="14.2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spans="1:29" ht="14.2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spans="1:29" ht="14.2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spans="1:29" ht="14.2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spans="1:29" ht="14.2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spans="1:29" ht="14.2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spans="1:29" ht="14.2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spans="1:29" ht="14.2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spans="1:29" ht="14.2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spans="1:29" ht="14.2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spans="1:29" ht="14.2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spans="1:29" ht="14.2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spans="1:29" ht="14.2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spans="1:29" ht="14.2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spans="1:29" ht="14.2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spans="1:29" ht="14.2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spans="1:29" ht="14.2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spans="1:29" ht="14.2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spans="1:29" ht="14.2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spans="1:29" ht="14.2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spans="1:29" ht="14.2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spans="1:29" ht="14.2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spans="1:29" ht="14.2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spans="1:29" ht="14.2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spans="1:29" ht="14.2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spans="1:29" ht="14.2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spans="1:29" ht="14.2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spans="1:29" ht="14.2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spans="1:29" ht="14.2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spans="1:29" ht="14.2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spans="1:29" ht="14.2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spans="1:29" ht="14.2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spans="1:29" ht="14.2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spans="1:29" ht="14.2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spans="1:29" ht="14.2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spans="1:29" ht="14.2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spans="1:29" ht="14.2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spans="1:29" ht="14.2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spans="1:29" ht="14.2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spans="1:29" ht="14.2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spans="1:29" ht="14.2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spans="1:29" ht="14.2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spans="1:29" ht="14.2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spans="1:29" ht="14.2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spans="1:29" ht="14.2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spans="1:29" ht="14.2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spans="1:29" ht="14.2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spans="1:29" ht="14.2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spans="1:29" ht="14.2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spans="1:29" ht="14.2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spans="1:29" ht="14.2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spans="1:29" ht="14.2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spans="1:29" ht="14.2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spans="1:29" ht="14.2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spans="1:29" ht="14.2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spans="1:29" ht="14.2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spans="1:29" ht="14.2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spans="1:29" ht="14.2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spans="1:29" ht="14.2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spans="1:29" ht="14.2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spans="1:29" ht="14.2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spans="1:29" ht="14.2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spans="1:29" ht="14.2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spans="1:29" ht="14.2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spans="1:29" ht="14.2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spans="1:29" ht="14.2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spans="1:29" ht="14.2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spans="1:29" ht="14.2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spans="1:29" ht="14.2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spans="1:29" ht="14.2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spans="1:29" ht="14.2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spans="1:29" ht="14.2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spans="1:29" ht="14.2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spans="1:29" ht="14.2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spans="1:29" ht="14.2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spans="1:29" ht="14.2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spans="1:29" ht="14.2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spans="1:29" ht="14.2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spans="1:29" ht="14.2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spans="1:29" ht="14.2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spans="1:29" ht="14.2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spans="1:29" ht="14.2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spans="1:29" ht="14.2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spans="1:29" ht="14.2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spans="1:29" ht="14.2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spans="1:29" ht="14.2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spans="1:29" ht="14.2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spans="1:29" ht="14.2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spans="1:29" ht="14.2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spans="1:29" ht="14.2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spans="1:29" ht="14.2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spans="1:29" ht="14.2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spans="1:29" ht="14.2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spans="1:29" ht="14.2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spans="1:29" ht="14.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spans="1:29" ht="14.2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spans="1:29" ht="14.2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spans="1:29" ht="14.2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spans="1:29" ht="14.2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spans="1:29" ht="14.2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spans="1:29" ht="14.2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spans="1:29" ht="14.2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spans="1:29" ht="14.2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spans="1:29" ht="14.2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spans="1:29" ht="14.2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spans="1:29" ht="14.2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spans="1:29" ht="14.2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spans="1:29" ht="14.2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spans="1:29" ht="14.2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spans="1:29" ht="14.2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spans="1:29" ht="14.2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spans="1:29" ht="14.2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spans="1:29" ht="14.2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spans="1:29" ht="14.2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spans="1:29" ht="14.2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spans="1:29" ht="14.2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spans="1:29" ht="14.2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spans="1:29" ht="14.2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spans="1:29" ht="14.2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spans="1:29" ht="14.2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spans="1:29" ht="14.2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spans="1:29" ht="14.2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spans="1:29" ht="14.2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spans="1:29" ht="14.2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spans="1:29" ht="14.2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spans="1:29" ht="14.2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spans="1:29" ht="14.2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spans="1:29" ht="14.2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spans="1:29" ht="14.2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spans="1:29" ht="14.2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spans="1:29" ht="14.2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spans="1:29" ht="14.2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spans="1:29" ht="14.2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spans="1:29" ht="14.2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spans="1:29" ht="14.2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spans="1:29" ht="14.2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spans="1:29" ht="14.2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spans="1:29" ht="14.2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spans="1:29" ht="14.2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spans="1:29" ht="14.2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spans="1:29" ht="14.2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spans="1:29" ht="14.2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spans="1:29" ht="14.2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spans="1:29" ht="14.2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spans="1:29" ht="14.2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spans="1:29" ht="14.2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spans="1:29" ht="14.2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spans="1:29" ht="14.2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spans="1:29" ht="14.2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spans="1:29" ht="14.2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spans="1:29" ht="14.2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spans="1:29" ht="14.2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spans="1:29" ht="14.2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spans="1:29" ht="14.2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spans="1:29" ht="14.2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spans="1:29" ht="14.2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spans="1:29" ht="14.2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spans="1:29" ht="14.2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spans="1:29" ht="14.2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spans="1:29" ht="14.2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spans="1:29" ht="14.2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spans="1:29" ht="14.2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spans="1:29" ht="14.2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spans="1:29" ht="14.2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spans="1:29" ht="14.2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spans="1:29" ht="14.2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spans="1:29" ht="14.2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spans="1:29" ht="14.2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spans="1:29" ht="14.2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spans="1:29" ht="14.2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spans="1:29" ht="14.2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spans="1:29" ht="14.2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spans="1:29" ht="14.2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spans="1:29" ht="14.2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spans="1:29" ht="14.2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spans="1:29" ht="14.2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spans="1:29" ht="14.2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spans="1:29" ht="14.2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spans="1:29" ht="14.2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spans="1:29" ht="14.2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spans="1:29" ht="14.2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spans="1:29" ht="14.2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spans="1:29" ht="14.2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spans="1:29" ht="14.2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spans="1:29" ht="14.2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spans="1:29" ht="14.2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spans="1:29" ht="14.2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spans="1:29" ht="14.2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spans="1:29" ht="14.2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spans="1:29" ht="14.2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spans="1:29" ht="14.2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spans="1:29" ht="14.2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spans="1:29" ht="14.2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spans="1:29" ht="14.2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spans="1:29" ht="14.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spans="1:29" ht="14.2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spans="1:29" ht="14.2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spans="1:29" ht="14.2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spans="1:29" ht="14.2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spans="1:29" ht="14.2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spans="1:29" ht="14.2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spans="1:29" ht="14.2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spans="1:29" ht="14.2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spans="1:29" ht="14.2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spans="1:29" ht="14.2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spans="1:29" ht="14.2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spans="1:29" ht="14.2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spans="1:29" ht="14.2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spans="1:29" ht="14.2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spans="1:29" ht="14.2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spans="1:29" ht="14.2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spans="1:29" ht="14.2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spans="1:29" ht="14.2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spans="1:29" ht="14.2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spans="1:29" ht="14.2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spans="1:29" ht="14.2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spans="1:29" ht="14.2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spans="1:29" ht="14.2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spans="1:29" ht="14.2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spans="1:29" ht="14.2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spans="1:29" ht="14.2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spans="1:29" ht="14.2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spans="1:29" ht="14.2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spans="1:29" ht="14.2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spans="1:29" ht="14.2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spans="1:29" ht="14.2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spans="1:29" ht="14.2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spans="1:29" ht="14.2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spans="1:29" ht="14.2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spans="1:29" ht="14.2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spans="1:29" ht="14.2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spans="1:29" ht="14.2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spans="1:29" ht="14.2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spans="1:29" ht="14.2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spans="1:29" ht="14.2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spans="1:29" ht="14.2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spans="1:29" ht="14.2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spans="1:29" ht="14.2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spans="1:29" ht="14.2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spans="1:29" ht="14.2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spans="1:29" ht="14.2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spans="1:29" ht="14.2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spans="1:29" ht="14.2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spans="1:29" ht="14.2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spans="1:29" ht="14.2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spans="1:29" ht="14.2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spans="1:29" ht="14.2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spans="1:29" ht="14.2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spans="1:29" ht="14.2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spans="1:29" ht="14.2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spans="1:29" ht="14.2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spans="1:29" ht="14.2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spans="1:29" ht="14.2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spans="1:29" ht="14.2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spans="1:29" ht="14.2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spans="1:29" ht="14.2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spans="1:29" ht="14.2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spans="1:29" ht="14.2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spans="1:29" ht="14.2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spans="1:29" ht="14.2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spans="1:29" ht="14.2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spans="1:29" ht="14.2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spans="1:29" ht="14.2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spans="1:29" ht="14.2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spans="1:29" ht="14.2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spans="1:29" ht="14.2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spans="1:29" ht="14.2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spans="1:29" ht="14.2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spans="1:29" ht="14.2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spans="1:29" ht="14.2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spans="1:29" ht="14.2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spans="1:29" ht="14.2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spans="1:29" ht="14.2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spans="1:29" ht="14.2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spans="1:29" ht="14.2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spans="1:29" ht="14.2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spans="1:29" ht="14.2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spans="1:29" ht="14.2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spans="1:29" ht="14.2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spans="1:29" ht="14.2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spans="1:29" ht="14.2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spans="1:29" ht="14.2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spans="1:29" ht="14.2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spans="1:29" ht="14.2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spans="1:29" ht="14.2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spans="1:29" ht="14.2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spans="1:29" ht="14.2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spans="1:29" ht="14.2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spans="1:29" ht="14.2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spans="1:29" ht="14.2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spans="1:29" ht="14.2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spans="1:29" ht="14.2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spans="1:29" ht="14.2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spans="1:29" ht="14.2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spans="1:29" ht="14.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spans="1:29" ht="14.2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spans="1:29" ht="14.2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spans="1:29" ht="14.2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spans="1:29" ht="14.2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spans="1:29" ht="14.2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spans="1:29" ht="14.2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spans="1:29" ht="14.2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spans="1:29" ht="14.2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spans="1:29" ht="14.2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spans="1:29" ht="14.2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spans="1:29" ht="14.2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spans="1:29" ht="14.2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spans="1:29" ht="14.2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spans="1:29" ht="14.2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spans="1:29" ht="14.2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spans="1:29" ht="14.2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spans="1:29" ht="14.2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spans="1:29" ht="14.2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spans="1:29" ht="14.2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spans="1:29" ht="14.2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spans="1:29" ht="14.2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spans="1:29" ht="14.2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spans="1:29" ht="14.2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spans="1:29" ht="14.2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spans="1:29" ht="14.2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spans="1:29" ht="14.2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spans="1:29" ht="14.2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spans="1:29" ht="14.2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spans="1:29" ht="14.2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spans="1:29" ht="14.2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spans="1:29" ht="14.2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spans="1:29" ht="14.2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spans="1:29" ht="14.2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spans="1:29" ht="14.2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spans="1:29" ht="14.2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spans="1:29" ht="14.2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spans="1:29" ht="14.2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spans="1:29" ht="14.2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spans="1:29" ht="14.2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spans="1:29" ht="14.2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spans="1:29" ht="14.2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spans="1:29" ht="14.2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spans="1:29" ht="14.2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spans="1:29" ht="14.2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spans="1:29" ht="14.2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spans="1:29" ht="14.2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spans="1:29" ht="14.2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spans="1:29" ht="14.2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spans="1:29" ht="14.2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spans="1:29" ht="14.2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spans="1:29" ht="14.2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spans="1:29" ht="14.2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spans="1:29" ht="14.2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spans="1:29" ht="14.2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spans="1:29" ht="14.2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spans="1:29" ht="14.2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spans="1:29" ht="14.2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spans="1:29" ht="14.2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spans="1:29" ht="14.2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spans="1:29" ht="14.2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spans="1:29" ht="14.2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spans="1:29" ht="14.2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spans="1:29" ht="14.2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spans="1:29" ht="14.2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spans="1:29" ht="14.2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spans="1:29" ht="14.2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spans="1:29" ht="14.2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spans="1:29" ht="14.2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row r="994" spans="1:29" ht="14.2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row>
    <row r="995" spans="1:29" ht="14.2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row>
    <row r="996" spans="1:29" ht="14.2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row>
    <row r="997" spans="1:29" ht="14.2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row>
    <row r="998" spans="1:29" ht="14.2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row>
  </sheetData>
  <autoFilter ref="A1:AC55" xr:uid="{00000000-0009-0000-0000-000000000000}"/>
  <dataValidations count="1">
    <dataValidation type="list" allowBlank="1" showErrorMessage="1" sqref="C2:C998" xr:uid="{00000000-0002-0000-0000-000000000000}">
      <formula1>"Done,Ongoing"</formula1>
    </dataValidation>
  </dataValidation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993"/>
  <sheetViews>
    <sheetView workbookViewId="0">
      <pane ySplit="3" topLeftCell="A4" activePane="bottomLeft" state="frozen"/>
      <selection pane="bottomLeft" activeCell="AD2" sqref="AD1:AX1048576"/>
    </sheetView>
  </sheetViews>
  <sheetFormatPr defaultColWidth="14.42578125" defaultRowHeight="15.75" customHeight="1"/>
  <cols>
    <col min="1" max="2" width="13.28515625" customWidth="1"/>
    <col min="3" max="3" width="8.85546875" customWidth="1"/>
    <col min="4" max="4" width="32.28515625" customWidth="1"/>
    <col min="5" max="5" width="24" customWidth="1"/>
    <col min="6" max="6" width="16.28515625" customWidth="1"/>
    <col min="7" max="7" width="19.85546875" customWidth="1"/>
    <col min="8" max="8" width="12.140625" customWidth="1"/>
    <col min="9" max="9" width="20.7109375" customWidth="1"/>
    <col min="10" max="10" width="14" customWidth="1"/>
    <col min="11" max="11" width="15" customWidth="1"/>
    <col min="12" max="12" width="10.42578125" customWidth="1"/>
    <col min="13" max="13" width="13.7109375" customWidth="1"/>
    <col min="14" max="14" width="8.7109375" customWidth="1"/>
    <col min="15" max="15" width="14.28515625" customWidth="1"/>
    <col min="16" max="16" width="10.42578125" customWidth="1"/>
    <col min="17" max="17" width="14.140625" customWidth="1"/>
    <col min="18" max="18" width="23.85546875" customWidth="1"/>
    <col min="19" max="21" width="14.140625" customWidth="1"/>
    <col min="22" max="22" width="25.42578125" customWidth="1"/>
    <col min="23" max="24" width="14.140625" customWidth="1"/>
    <col min="25" max="25" width="11" customWidth="1"/>
    <col min="26" max="26" width="19.140625" customWidth="1"/>
    <col min="27" max="27" width="19" customWidth="1"/>
    <col min="28" max="28" width="10.42578125" customWidth="1"/>
    <col min="29" max="29" width="13.7109375" customWidth="1"/>
  </cols>
  <sheetData>
    <row r="1" spans="1:29" ht="13.9">
      <c r="A1" s="170" t="s">
        <v>1</v>
      </c>
      <c r="B1" s="169"/>
      <c r="C1" s="169"/>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169"/>
    </row>
    <row r="2" spans="1:29" ht="13.9">
      <c r="A2" s="3"/>
      <c r="B2" s="171" t="s">
        <v>14</v>
      </c>
      <c r="C2" s="169"/>
      <c r="D2" s="169"/>
      <c r="E2" s="169"/>
      <c r="F2" s="169"/>
      <c r="G2" s="169"/>
      <c r="H2" s="169"/>
      <c r="I2" s="169"/>
      <c r="J2" s="169"/>
      <c r="K2" s="169"/>
      <c r="L2" s="169"/>
      <c r="M2" s="169"/>
      <c r="N2" s="169"/>
      <c r="O2" s="169"/>
      <c r="P2" s="169"/>
      <c r="Q2" s="172" t="s">
        <v>15</v>
      </c>
      <c r="R2" s="169"/>
      <c r="S2" s="169"/>
      <c r="T2" s="169"/>
      <c r="U2" s="169"/>
      <c r="V2" s="171" t="s">
        <v>16</v>
      </c>
      <c r="W2" s="169"/>
      <c r="X2" s="169"/>
      <c r="Y2" s="173" t="s">
        <v>17</v>
      </c>
      <c r="Z2" s="169"/>
      <c r="AA2" s="169"/>
      <c r="AB2" s="174" t="s">
        <v>18</v>
      </c>
      <c r="AC2" s="169"/>
    </row>
    <row r="3" spans="1:29" ht="13.9">
      <c r="A3" s="5" t="s">
        <v>23</v>
      </c>
      <c r="B3" s="5" t="s">
        <v>0</v>
      </c>
      <c r="C3" s="5" t="s">
        <v>28</v>
      </c>
      <c r="D3" s="5" t="s">
        <v>29</v>
      </c>
      <c r="E3" s="5" t="s">
        <v>31</v>
      </c>
      <c r="F3" s="5" t="s">
        <v>34</v>
      </c>
      <c r="G3" s="5" t="s">
        <v>36</v>
      </c>
      <c r="H3" s="5" t="s">
        <v>37</v>
      </c>
      <c r="I3" s="5" t="s">
        <v>38</v>
      </c>
      <c r="J3" s="5" t="s">
        <v>39</v>
      </c>
      <c r="K3" s="5" t="s">
        <v>41</v>
      </c>
      <c r="L3" s="5" t="s">
        <v>42</v>
      </c>
      <c r="M3" s="5" t="s">
        <v>43</v>
      </c>
      <c r="N3" s="5" t="s">
        <v>44</v>
      </c>
      <c r="O3" s="5" t="s">
        <v>45</v>
      </c>
      <c r="P3" s="5" t="s">
        <v>46</v>
      </c>
      <c r="Q3" s="5" t="s">
        <v>47</v>
      </c>
      <c r="R3" s="5" t="s">
        <v>49</v>
      </c>
      <c r="S3" s="5" t="s">
        <v>50</v>
      </c>
      <c r="T3" s="5" t="s">
        <v>51</v>
      </c>
      <c r="U3" s="5" t="s">
        <v>53</v>
      </c>
      <c r="V3" s="5" t="s">
        <v>47</v>
      </c>
      <c r="W3" s="5" t="s">
        <v>49</v>
      </c>
      <c r="X3" s="5" t="s">
        <v>50</v>
      </c>
      <c r="Y3" s="5" t="s">
        <v>47</v>
      </c>
      <c r="Z3" s="5" t="s">
        <v>49</v>
      </c>
      <c r="AA3" s="5" t="s">
        <v>50</v>
      </c>
      <c r="AB3" s="5" t="s">
        <v>59</v>
      </c>
      <c r="AC3" s="5" t="s">
        <v>60</v>
      </c>
    </row>
    <row r="4" spans="1:29" ht="13.9">
      <c r="A4" s="9" t="s">
        <v>70</v>
      </c>
      <c r="B4" s="9" t="s">
        <v>72</v>
      </c>
      <c r="C4" s="9" t="s">
        <v>74</v>
      </c>
      <c r="D4" s="9" t="s">
        <v>75</v>
      </c>
      <c r="E4" s="9" t="s">
        <v>76</v>
      </c>
      <c r="F4" s="3" t="s">
        <v>79</v>
      </c>
      <c r="G4" s="12" t="s">
        <v>81</v>
      </c>
      <c r="H4" s="9" t="s">
        <v>91</v>
      </c>
      <c r="I4" s="3" t="s">
        <v>91</v>
      </c>
      <c r="J4" s="13">
        <f>L4+M4</f>
        <v>322580</v>
      </c>
      <c r="K4" s="9">
        <v>39</v>
      </c>
      <c r="L4" s="3">
        <v>113769</v>
      </c>
      <c r="M4" s="13">
        <v>208811</v>
      </c>
      <c r="N4" s="3" t="s">
        <v>97</v>
      </c>
      <c r="O4" s="9" t="s">
        <v>98</v>
      </c>
      <c r="P4" s="9" t="s">
        <v>99</v>
      </c>
      <c r="Q4" s="15">
        <v>0.92</v>
      </c>
      <c r="R4" s="9" t="s">
        <v>101</v>
      </c>
      <c r="S4" s="9" t="s">
        <v>102</v>
      </c>
      <c r="T4" s="9" t="s">
        <v>79</v>
      </c>
      <c r="U4" s="9" t="s">
        <v>104</v>
      </c>
      <c r="V4" s="9" t="s">
        <v>79</v>
      </c>
      <c r="W4" s="9" t="s">
        <v>79</v>
      </c>
      <c r="X4" s="9" t="s">
        <v>79</v>
      </c>
      <c r="Y4" s="9" t="s">
        <v>79</v>
      </c>
      <c r="Z4" s="9" t="s">
        <v>79</v>
      </c>
      <c r="AA4" s="9" t="s">
        <v>107</v>
      </c>
      <c r="AB4" s="9" t="s">
        <v>109</v>
      </c>
      <c r="AC4" s="9" t="s">
        <v>112</v>
      </c>
    </row>
    <row r="5" spans="1:29" ht="13.9">
      <c r="A5" s="17" t="s">
        <v>70</v>
      </c>
      <c r="B5" s="18" t="s">
        <v>122</v>
      </c>
      <c r="C5" s="17" t="s">
        <v>74</v>
      </c>
      <c r="D5" s="18" t="s">
        <v>75</v>
      </c>
      <c r="E5" s="18" t="s">
        <v>124</v>
      </c>
      <c r="F5" s="18" t="s">
        <v>113</v>
      </c>
      <c r="G5" s="12" t="s">
        <v>125</v>
      </c>
      <c r="H5" s="18" t="s">
        <v>133</v>
      </c>
      <c r="I5" s="21" t="s">
        <v>136</v>
      </c>
      <c r="J5" s="18" t="s">
        <v>137</v>
      </c>
      <c r="K5" s="18" t="s">
        <v>138</v>
      </c>
      <c r="L5" s="18" t="s">
        <v>79</v>
      </c>
      <c r="M5" s="18" t="s">
        <v>79</v>
      </c>
      <c r="N5" s="18" t="s">
        <v>97</v>
      </c>
      <c r="O5" s="17" t="s">
        <v>98</v>
      </c>
      <c r="P5" s="5" t="s">
        <v>79</v>
      </c>
      <c r="Q5" s="18" t="s">
        <v>141</v>
      </c>
      <c r="R5" s="18" t="s">
        <v>143</v>
      </c>
      <c r="S5" s="18" t="s">
        <v>144</v>
      </c>
      <c r="T5" s="5" t="s">
        <v>62</v>
      </c>
      <c r="U5" s="5" t="s">
        <v>62</v>
      </c>
      <c r="V5" s="18" t="s">
        <v>146</v>
      </c>
      <c r="W5" s="18" t="s">
        <v>147</v>
      </c>
      <c r="X5" s="18" t="s">
        <v>149</v>
      </c>
      <c r="Y5" s="18" t="s">
        <v>150</v>
      </c>
      <c r="Z5" s="18" t="s">
        <v>151</v>
      </c>
      <c r="AA5" s="18" t="s">
        <v>152</v>
      </c>
      <c r="AB5" s="18" t="s">
        <v>140</v>
      </c>
      <c r="AC5" s="18" t="s">
        <v>155</v>
      </c>
    </row>
    <row r="6" spans="1:29" ht="13.9">
      <c r="A6" s="17" t="s">
        <v>70</v>
      </c>
      <c r="B6" s="18" t="s">
        <v>122</v>
      </c>
      <c r="C6" s="17" t="s">
        <v>74</v>
      </c>
      <c r="D6" s="18" t="s">
        <v>164</v>
      </c>
      <c r="E6" s="18" t="s">
        <v>124</v>
      </c>
      <c r="F6" s="18" t="s">
        <v>165</v>
      </c>
      <c r="G6" s="12" t="s">
        <v>125</v>
      </c>
      <c r="H6" s="18" t="s">
        <v>133</v>
      </c>
      <c r="I6" s="21" t="s">
        <v>136</v>
      </c>
      <c r="J6" s="18" t="s">
        <v>137</v>
      </c>
      <c r="K6" s="18" t="s">
        <v>172</v>
      </c>
      <c r="L6" s="18" t="s">
        <v>79</v>
      </c>
      <c r="M6" s="18" t="s">
        <v>79</v>
      </c>
      <c r="N6" s="18" t="s">
        <v>97</v>
      </c>
      <c r="O6" s="17" t="s">
        <v>98</v>
      </c>
      <c r="P6" s="5" t="s">
        <v>79</v>
      </c>
      <c r="Q6" s="18" t="s">
        <v>179</v>
      </c>
      <c r="R6" s="18" t="s">
        <v>181</v>
      </c>
      <c r="S6" s="18" t="s">
        <v>183</v>
      </c>
      <c r="T6" s="5" t="s">
        <v>62</v>
      </c>
      <c r="U6" s="5" t="s">
        <v>62</v>
      </c>
      <c r="V6" s="18" t="s">
        <v>188</v>
      </c>
      <c r="W6" s="18" t="s">
        <v>190</v>
      </c>
      <c r="X6" s="18" t="s">
        <v>192</v>
      </c>
      <c r="Y6" s="18" t="s">
        <v>194</v>
      </c>
      <c r="Z6" s="18" t="s">
        <v>197</v>
      </c>
      <c r="AA6" s="18" t="s">
        <v>198</v>
      </c>
      <c r="AB6" s="18" t="s">
        <v>140</v>
      </c>
      <c r="AC6" s="18" t="s">
        <v>155</v>
      </c>
    </row>
    <row r="7" spans="1:29" ht="13.9">
      <c r="A7" s="17" t="s">
        <v>70</v>
      </c>
      <c r="B7" s="18" t="s">
        <v>122</v>
      </c>
      <c r="C7" s="17" t="s">
        <v>74</v>
      </c>
      <c r="D7" s="18" t="s">
        <v>212</v>
      </c>
      <c r="E7" s="18" t="s">
        <v>124</v>
      </c>
      <c r="F7" s="18" t="s">
        <v>215</v>
      </c>
      <c r="G7" s="12" t="s">
        <v>125</v>
      </c>
      <c r="H7" s="18" t="s">
        <v>133</v>
      </c>
      <c r="I7" s="21" t="s">
        <v>136</v>
      </c>
      <c r="J7" s="18" t="s">
        <v>137</v>
      </c>
      <c r="K7" s="18" t="s">
        <v>219</v>
      </c>
      <c r="L7" s="18" t="s">
        <v>79</v>
      </c>
      <c r="M7" s="18" t="s">
        <v>79</v>
      </c>
      <c r="N7" s="18" t="s">
        <v>97</v>
      </c>
      <c r="O7" s="17" t="s">
        <v>98</v>
      </c>
      <c r="P7" s="5" t="s">
        <v>79</v>
      </c>
      <c r="Q7" s="18" t="s">
        <v>225</v>
      </c>
      <c r="R7" s="18" t="s">
        <v>227</v>
      </c>
      <c r="S7" s="18" t="s">
        <v>228</v>
      </c>
      <c r="T7" s="5" t="s">
        <v>62</v>
      </c>
      <c r="U7" s="5" t="s">
        <v>62</v>
      </c>
      <c r="V7" s="18" t="s">
        <v>229</v>
      </c>
      <c r="W7" s="18" t="s">
        <v>231</v>
      </c>
      <c r="X7" s="18" t="s">
        <v>232</v>
      </c>
      <c r="Y7" s="18" t="s">
        <v>233</v>
      </c>
      <c r="Z7" s="18" t="s">
        <v>236</v>
      </c>
      <c r="AA7" s="18" t="s">
        <v>238</v>
      </c>
      <c r="AB7" s="18" t="s">
        <v>140</v>
      </c>
      <c r="AC7" s="18" t="s">
        <v>155</v>
      </c>
    </row>
    <row r="8" spans="1:29" ht="13.9">
      <c r="A8" s="17" t="s">
        <v>70</v>
      </c>
      <c r="B8" s="18" t="s">
        <v>122</v>
      </c>
      <c r="C8" s="17" t="s">
        <v>74</v>
      </c>
      <c r="D8" s="18" t="s">
        <v>246</v>
      </c>
      <c r="E8" s="18" t="s">
        <v>124</v>
      </c>
      <c r="F8" s="18" t="s">
        <v>248</v>
      </c>
      <c r="G8" s="12" t="s">
        <v>125</v>
      </c>
      <c r="H8" s="18" t="s">
        <v>133</v>
      </c>
      <c r="I8" s="21" t="s">
        <v>136</v>
      </c>
      <c r="J8" s="18" t="s">
        <v>137</v>
      </c>
      <c r="K8" s="18" t="s">
        <v>250</v>
      </c>
      <c r="L8" s="18" t="s">
        <v>79</v>
      </c>
      <c r="M8" s="18" t="s">
        <v>79</v>
      </c>
      <c r="N8" s="18" t="s">
        <v>97</v>
      </c>
      <c r="O8" s="17" t="s">
        <v>98</v>
      </c>
      <c r="P8" s="5" t="s">
        <v>79</v>
      </c>
      <c r="Q8" s="18" t="s">
        <v>253</v>
      </c>
      <c r="R8" s="18" t="s">
        <v>255</v>
      </c>
      <c r="S8" s="18" t="s">
        <v>257</v>
      </c>
      <c r="T8" s="5" t="s">
        <v>62</v>
      </c>
      <c r="U8" s="5" t="s">
        <v>62</v>
      </c>
      <c r="V8" s="18" t="s">
        <v>258</v>
      </c>
      <c r="W8" s="18" t="s">
        <v>259</v>
      </c>
      <c r="X8" s="18" t="s">
        <v>260</v>
      </c>
      <c r="Y8" s="18" t="s">
        <v>261</v>
      </c>
      <c r="Z8" s="18" t="s">
        <v>262</v>
      </c>
      <c r="AA8" s="18" t="s">
        <v>263</v>
      </c>
      <c r="AB8" s="18" t="s">
        <v>140</v>
      </c>
      <c r="AC8" s="18" t="s">
        <v>155</v>
      </c>
    </row>
    <row r="9" spans="1:29" ht="13.9">
      <c r="A9" s="17" t="s">
        <v>70</v>
      </c>
      <c r="B9" s="18" t="s">
        <v>122</v>
      </c>
      <c r="C9" s="17" t="s">
        <v>74</v>
      </c>
      <c r="D9" s="18" t="s">
        <v>75</v>
      </c>
      <c r="E9" s="18" t="s">
        <v>275</v>
      </c>
      <c r="F9" s="18" t="s">
        <v>113</v>
      </c>
      <c r="G9" s="12" t="s">
        <v>125</v>
      </c>
      <c r="H9" s="18" t="s">
        <v>133</v>
      </c>
      <c r="I9" s="21" t="s">
        <v>136</v>
      </c>
      <c r="J9" s="18" t="s">
        <v>279</v>
      </c>
      <c r="K9" s="18" t="s">
        <v>281</v>
      </c>
      <c r="L9" s="18" t="s">
        <v>79</v>
      </c>
      <c r="M9" s="18" t="s">
        <v>79</v>
      </c>
      <c r="N9" s="18" t="s">
        <v>97</v>
      </c>
      <c r="O9" s="17" t="s">
        <v>98</v>
      </c>
      <c r="P9" s="5" t="s">
        <v>79</v>
      </c>
      <c r="Q9" s="18" t="s">
        <v>283</v>
      </c>
      <c r="R9" s="18" t="s">
        <v>284</v>
      </c>
      <c r="S9" s="18" t="s">
        <v>285</v>
      </c>
      <c r="T9" s="5" t="s">
        <v>62</v>
      </c>
      <c r="U9" s="5" t="s">
        <v>62</v>
      </c>
      <c r="V9" s="18" t="s">
        <v>288</v>
      </c>
      <c r="W9" s="18" t="s">
        <v>289</v>
      </c>
      <c r="X9" s="18" t="s">
        <v>290</v>
      </c>
      <c r="Y9" s="18" t="s">
        <v>291</v>
      </c>
      <c r="Z9" s="18" t="s">
        <v>292</v>
      </c>
      <c r="AA9" s="18" t="s">
        <v>293</v>
      </c>
      <c r="AB9" s="18" t="s">
        <v>140</v>
      </c>
      <c r="AC9" s="18" t="s">
        <v>155</v>
      </c>
    </row>
    <row r="10" spans="1:29" ht="13.9">
      <c r="A10" s="17" t="s">
        <v>70</v>
      </c>
      <c r="B10" s="18" t="s">
        <v>122</v>
      </c>
      <c r="C10" s="17" t="s">
        <v>74</v>
      </c>
      <c r="D10" s="18" t="s">
        <v>164</v>
      </c>
      <c r="E10" s="18" t="s">
        <v>275</v>
      </c>
      <c r="F10" s="18" t="s">
        <v>165</v>
      </c>
      <c r="G10" s="12" t="s">
        <v>125</v>
      </c>
      <c r="H10" s="18" t="s">
        <v>133</v>
      </c>
      <c r="I10" s="21" t="s">
        <v>136</v>
      </c>
      <c r="J10" s="18" t="s">
        <v>279</v>
      </c>
      <c r="K10" s="18" t="s">
        <v>309</v>
      </c>
      <c r="L10" s="18" t="s">
        <v>79</v>
      </c>
      <c r="M10" s="18" t="s">
        <v>79</v>
      </c>
      <c r="N10" s="18" t="s">
        <v>97</v>
      </c>
      <c r="O10" s="17" t="s">
        <v>98</v>
      </c>
      <c r="P10" s="5" t="s">
        <v>79</v>
      </c>
      <c r="Q10" s="18" t="s">
        <v>313</v>
      </c>
      <c r="R10" s="18" t="s">
        <v>314</v>
      </c>
      <c r="S10" s="18" t="s">
        <v>315</v>
      </c>
      <c r="T10" s="5" t="s">
        <v>62</v>
      </c>
      <c r="U10" s="5" t="s">
        <v>62</v>
      </c>
      <c r="V10" s="18" t="s">
        <v>317</v>
      </c>
      <c r="W10" s="18" t="s">
        <v>318</v>
      </c>
      <c r="X10" s="18" t="s">
        <v>319</v>
      </c>
      <c r="Y10" s="18" t="s">
        <v>320</v>
      </c>
      <c r="Z10" s="18" t="s">
        <v>322</v>
      </c>
      <c r="AA10" s="18" t="s">
        <v>323</v>
      </c>
      <c r="AB10" s="18" t="s">
        <v>140</v>
      </c>
      <c r="AC10" s="18" t="s">
        <v>155</v>
      </c>
    </row>
    <row r="11" spans="1:29" ht="13.9">
      <c r="A11" s="17" t="s">
        <v>70</v>
      </c>
      <c r="B11" s="18" t="s">
        <v>122</v>
      </c>
      <c r="C11" s="17" t="s">
        <v>74</v>
      </c>
      <c r="D11" s="18" t="s">
        <v>212</v>
      </c>
      <c r="E11" s="18" t="s">
        <v>275</v>
      </c>
      <c r="F11" s="18" t="s">
        <v>215</v>
      </c>
      <c r="G11" s="12" t="s">
        <v>125</v>
      </c>
      <c r="H11" s="18" t="s">
        <v>133</v>
      </c>
      <c r="I11" s="21" t="s">
        <v>136</v>
      </c>
      <c r="J11" s="18" t="s">
        <v>279</v>
      </c>
      <c r="K11" s="18" t="s">
        <v>329</v>
      </c>
      <c r="L11" s="18" t="s">
        <v>79</v>
      </c>
      <c r="M11" s="18" t="s">
        <v>79</v>
      </c>
      <c r="N11" s="18" t="s">
        <v>97</v>
      </c>
      <c r="O11" s="17" t="s">
        <v>98</v>
      </c>
      <c r="P11" s="5" t="s">
        <v>79</v>
      </c>
      <c r="Q11" s="18" t="s">
        <v>330</v>
      </c>
      <c r="R11" s="18" t="s">
        <v>331</v>
      </c>
      <c r="S11" s="18" t="s">
        <v>332</v>
      </c>
      <c r="T11" s="5" t="s">
        <v>62</v>
      </c>
      <c r="U11" s="5" t="s">
        <v>62</v>
      </c>
      <c r="V11" s="18" t="s">
        <v>333</v>
      </c>
      <c r="W11" s="18" t="s">
        <v>334</v>
      </c>
      <c r="X11" s="18" t="s">
        <v>336</v>
      </c>
      <c r="Y11" s="18" t="s">
        <v>337</v>
      </c>
      <c r="Z11" s="18" t="s">
        <v>338</v>
      </c>
      <c r="AA11" s="18" t="s">
        <v>340</v>
      </c>
      <c r="AB11" s="18" t="s">
        <v>140</v>
      </c>
      <c r="AC11" s="18" t="s">
        <v>155</v>
      </c>
    </row>
    <row r="12" spans="1:29" ht="13.9">
      <c r="A12" s="17" t="s">
        <v>70</v>
      </c>
      <c r="B12" s="18" t="s">
        <v>122</v>
      </c>
      <c r="C12" s="17" t="s">
        <v>74</v>
      </c>
      <c r="D12" s="18" t="s">
        <v>246</v>
      </c>
      <c r="E12" s="18" t="s">
        <v>275</v>
      </c>
      <c r="F12" s="18" t="s">
        <v>248</v>
      </c>
      <c r="G12" s="12" t="s">
        <v>125</v>
      </c>
      <c r="H12" s="18" t="s">
        <v>133</v>
      </c>
      <c r="I12" s="21" t="s">
        <v>136</v>
      </c>
      <c r="J12" s="18" t="s">
        <v>279</v>
      </c>
      <c r="K12" s="18" t="s">
        <v>361</v>
      </c>
      <c r="L12" s="18" t="s">
        <v>79</v>
      </c>
      <c r="M12" s="18" t="s">
        <v>79</v>
      </c>
      <c r="N12" s="18" t="s">
        <v>97</v>
      </c>
      <c r="O12" s="17" t="s">
        <v>98</v>
      </c>
      <c r="P12" s="5" t="s">
        <v>79</v>
      </c>
      <c r="Q12" s="18" t="s">
        <v>366</v>
      </c>
      <c r="R12" s="18" t="s">
        <v>367</v>
      </c>
      <c r="S12" s="18" t="s">
        <v>369</v>
      </c>
      <c r="T12" s="5" t="s">
        <v>62</v>
      </c>
      <c r="U12" s="5" t="s">
        <v>62</v>
      </c>
      <c r="V12" s="18" t="s">
        <v>370</v>
      </c>
      <c r="W12" s="18" t="s">
        <v>371</v>
      </c>
      <c r="X12" s="18" t="s">
        <v>372</v>
      </c>
      <c r="Y12" s="18" t="s">
        <v>373</v>
      </c>
      <c r="Z12" s="18" t="s">
        <v>374</v>
      </c>
      <c r="AA12" s="18" t="s">
        <v>375</v>
      </c>
      <c r="AB12" s="18" t="s">
        <v>140</v>
      </c>
      <c r="AC12" s="18" t="s">
        <v>155</v>
      </c>
    </row>
    <row r="13" spans="1:29" ht="13.9">
      <c r="A13" s="17" t="s">
        <v>70</v>
      </c>
      <c r="B13" s="18" t="s">
        <v>122</v>
      </c>
      <c r="C13" s="17" t="s">
        <v>74</v>
      </c>
      <c r="D13" s="18" t="s">
        <v>75</v>
      </c>
      <c r="E13" s="18" t="s">
        <v>388</v>
      </c>
      <c r="F13" s="18" t="s">
        <v>113</v>
      </c>
      <c r="G13" s="12" t="s">
        <v>125</v>
      </c>
      <c r="H13" s="18" t="s">
        <v>133</v>
      </c>
      <c r="I13" s="21" t="s">
        <v>136</v>
      </c>
      <c r="J13" s="18" t="s">
        <v>391</v>
      </c>
      <c r="K13" s="18" t="s">
        <v>393</v>
      </c>
      <c r="L13" s="18" t="s">
        <v>79</v>
      </c>
      <c r="M13" s="18" t="s">
        <v>79</v>
      </c>
      <c r="N13" s="18" t="s">
        <v>97</v>
      </c>
      <c r="O13" s="17" t="s">
        <v>98</v>
      </c>
      <c r="P13" s="5" t="s">
        <v>79</v>
      </c>
      <c r="Q13" s="18" t="s">
        <v>398</v>
      </c>
      <c r="R13" s="18" t="s">
        <v>399</v>
      </c>
      <c r="S13" s="18" t="s">
        <v>401</v>
      </c>
      <c r="T13" s="5" t="s">
        <v>62</v>
      </c>
      <c r="U13" s="5" t="s">
        <v>62</v>
      </c>
      <c r="V13" s="18" t="s">
        <v>402</v>
      </c>
      <c r="W13" s="18" t="s">
        <v>403</v>
      </c>
      <c r="X13" s="18" t="s">
        <v>404</v>
      </c>
      <c r="Y13" s="18" t="s">
        <v>405</v>
      </c>
      <c r="Z13" s="18" t="s">
        <v>406</v>
      </c>
      <c r="AA13" s="18" t="s">
        <v>408</v>
      </c>
      <c r="AB13" s="18" t="s">
        <v>140</v>
      </c>
      <c r="AC13" s="18" t="s">
        <v>155</v>
      </c>
    </row>
    <row r="14" spans="1:29" ht="13.9">
      <c r="A14" s="17" t="s">
        <v>70</v>
      </c>
      <c r="B14" s="18" t="s">
        <v>122</v>
      </c>
      <c r="C14" s="17" t="s">
        <v>74</v>
      </c>
      <c r="D14" s="18" t="s">
        <v>164</v>
      </c>
      <c r="E14" s="18" t="s">
        <v>388</v>
      </c>
      <c r="F14" s="18" t="s">
        <v>165</v>
      </c>
      <c r="G14" s="12" t="s">
        <v>125</v>
      </c>
      <c r="H14" s="18" t="s">
        <v>133</v>
      </c>
      <c r="I14" s="21" t="s">
        <v>136</v>
      </c>
      <c r="J14" s="18" t="s">
        <v>391</v>
      </c>
      <c r="K14" s="18" t="s">
        <v>431</v>
      </c>
      <c r="L14" s="18" t="s">
        <v>79</v>
      </c>
      <c r="M14" s="18" t="s">
        <v>79</v>
      </c>
      <c r="N14" s="18" t="s">
        <v>97</v>
      </c>
      <c r="O14" s="17" t="s">
        <v>98</v>
      </c>
      <c r="P14" s="5" t="s">
        <v>79</v>
      </c>
      <c r="Q14" s="18" t="s">
        <v>433</v>
      </c>
      <c r="R14" s="18" t="s">
        <v>435</v>
      </c>
      <c r="S14" s="18" t="s">
        <v>438</v>
      </c>
      <c r="T14" s="5" t="s">
        <v>62</v>
      </c>
      <c r="U14" s="5" t="s">
        <v>62</v>
      </c>
      <c r="V14" s="18" t="s">
        <v>443</v>
      </c>
      <c r="W14" s="18" t="s">
        <v>446</v>
      </c>
      <c r="X14" s="18" t="s">
        <v>447</v>
      </c>
      <c r="Y14" s="18" t="s">
        <v>448</v>
      </c>
      <c r="Z14" s="18" t="s">
        <v>452</v>
      </c>
      <c r="AA14" s="18" t="s">
        <v>455</v>
      </c>
      <c r="AB14" s="18" t="s">
        <v>140</v>
      </c>
      <c r="AC14" s="18" t="s">
        <v>155</v>
      </c>
    </row>
    <row r="15" spans="1:29" ht="13.9">
      <c r="A15" s="17" t="s">
        <v>70</v>
      </c>
      <c r="B15" s="18" t="s">
        <v>122</v>
      </c>
      <c r="C15" s="17" t="s">
        <v>74</v>
      </c>
      <c r="D15" s="18" t="s">
        <v>212</v>
      </c>
      <c r="E15" s="18" t="s">
        <v>388</v>
      </c>
      <c r="F15" s="18" t="s">
        <v>215</v>
      </c>
      <c r="G15" s="12" t="s">
        <v>125</v>
      </c>
      <c r="H15" s="18" t="s">
        <v>133</v>
      </c>
      <c r="I15" s="21" t="s">
        <v>136</v>
      </c>
      <c r="J15" s="18" t="s">
        <v>391</v>
      </c>
      <c r="K15" s="18" t="s">
        <v>464</v>
      </c>
      <c r="L15" s="18" t="s">
        <v>79</v>
      </c>
      <c r="M15" s="18" t="s">
        <v>79</v>
      </c>
      <c r="N15" s="18" t="s">
        <v>97</v>
      </c>
      <c r="O15" s="17" t="s">
        <v>98</v>
      </c>
      <c r="P15" s="5" t="s">
        <v>79</v>
      </c>
      <c r="Q15" s="18" t="s">
        <v>469</v>
      </c>
      <c r="R15" s="18" t="s">
        <v>471</v>
      </c>
      <c r="S15" s="18" t="s">
        <v>473</v>
      </c>
      <c r="T15" s="5" t="s">
        <v>62</v>
      </c>
      <c r="U15" s="5" t="s">
        <v>62</v>
      </c>
      <c r="V15" s="18" t="s">
        <v>479</v>
      </c>
      <c r="W15" s="18" t="s">
        <v>483</v>
      </c>
      <c r="X15" s="18" t="s">
        <v>485</v>
      </c>
      <c r="Y15" s="18" t="s">
        <v>486</v>
      </c>
      <c r="Z15" s="18" t="s">
        <v>487</v>
      </c>
      <c r="AA15" s="18" t="s">
        <v>488</v>
      </c>
      <c r="AB15" s="18" t="s">
        <v>140</v>
      </c>
      <c r="AC15" s="18" t="s">
        <v>155</v>
      </c>
    </row>
    <row r="16" spans="1:29" ht="13.9">
      <c r="A16" s="17" t="s">
        <v>70</v>
      </c>
      <c r="B16" s="18" t="s">
        <v>122</v>
      </c>
      <c r="C16" s="17" t="s">
        <v>74</v>
      </c>
      <c r="D16" s="18" t="s">
        <v>246</v>
      </c>
      <c r="E16" s="18" t="s">
        <v>388</v>
      </c>
      <c r="F16" s="18" t="s">
        <v>248</v>
      </c>
      <c r="G16" s="12" t="s">
        <v>125</v>
      </c>
      <c r="H16" s="18" t="s">
        <v>133</v>
      </c>
      <c r="I16" s="21" t="s">
        <v>136</v>
      </c>
      <c r="J16" s="18" t="s">
        <v>391</v>
      </c>
      <c r="K16" s="18" t="s">
        <v>499</v>
      </c>
      <c r="L16" s="18" t="s">
        <v>79</v>
      </c>
      <c r="M16" s="18" t="s">
        <v>79</v>
      </c>
      <c r="N16" s="18" t="s">
        <v>97</v>
      </c>
      <c r="O16" s="17" t="s">
        <v>98</v>
      </c>
      <c r="P16" s="5" t="s">
        <v>79</v>
      </c>
      <c r="Q16" s="18" t="s">
        <v>500</v>
      </c>
      <c r="R16" s="18" t="s">
        <v>501</v>
      </c>
      <c r="S16" s="18" t="s">
        <v>503</v>
      </c>
      <c r="T16" s="5" t="s">
        <v>62</v>
      </c>
      <c r="U16" s="5" t="s">
        <v>62</v>
      </c>
      <c r="V16" s="18" t="s">
        <v>506</v>
      </c>
      <c r="W16" s="18" t="s">
        <v>507</v>
      </c>
      <c r="X16" s="18" t="s">
        <v>509</v>
      </c>
      <c r="Y16" s="18" t="s">
        <v>512</v>
      </c>
      <c r="Z16" s="18" t="s">
        <v>513</v>
      </c>
      <c r="AA16" s="18" t="s">
        <v>514</v>
      </c>
      <c r="AB16" s="18" t="s">
        <v>140</v>
      </c>
      <c r="AC16" s="18" t="s">
        <v>155</v>
      </c>
    </row>
    <row r="17" spans="1:29" ht="13.9">
      <c r="A17" s="17" t="s">
        <v>70</v>
      </c>
      <c r="B17" s="18" t="s">
        <v>122</v>
      </c>
      <c r="C17" s="17" t="s">
        <v>74</v>
      </c>
      <c r="D17" s="18" t="s">
        <v>75</v>
      </c>
      <c r="E17" s="18" t="s">
        <v>540</v>
      </c>
      <c r="F17" s="18" t="s">
        <v>113</v>
      </c>
      <c r="G17" s="12" t="s">
        <v>125</v>
      </c>
      <c r="H17" s="18" t="s">
        <v>133</v>
      </c>
      <c r="I17" s="21" t="s">
        <v>136</v>
      </c>
      <c r="J17" s="18" t="s">
        <v>547</v>
      </c>
      <c r="K17" s="18" t="s">
        <v>281</v>
      </c>
      <c r="L17" s="18" t="s">
        <v>79</v>
      </c>
      <c r="M17" s="18" t="s">
        <v>79</v>
      </c>
      <c r="N17" s="18" t="s">
        <v>97</v>
      </c>
      <c r="O17" s="17" t="s">
        <v>98</v>
      </c>
      <c r="P17" s="5" t="s">
        <v>79</v>
      </c>
      <c r="Q17" s="18" t="s">
        <v>550</v>
      </c>
      <c r="R17" s="18" t="s">
        <v>551</v>
      </c>
      <c r="S17" s="18" t="s">
        <v>552</v>
      </c>
      <c r="T17" s="5" t="s">
        <v>62</v>
      </c>
      <c r="U17" s="5" t="s">
        <v>62</v>
      </c>
      <c r="V17" s="18" t="s">
        <v>553</v>
      </c>
      <c r="W17" s="18" t="s">
        <v>554</v>
      </c>
      <c r="X17" s="18" t="s">
        <v>555</v>
      </c>
      <c r="Y17" s="18" t="s">
        <v>556</v>
      </c>
      <c r="Z17" s="18" t="s">
        <v>557</v>
      </c>
      <c r="AA17" s="18" t="s">
        <v>558</v>
      </c>
      <c r="AB17" s="18" t="s">
        <v>140</v>
      </c>
      <c r="AC17" s="18" t="s">
        <v>155</v>
      </c>
    </row>
    <row r="18" spans="1:29" ht="13.9">
      <c r="A18" s="17" t="s">
        <v>70</v>
      </c>
      <c r="B18" s="18" t="s">
        <v>122</v>
      </c>
      <c r="C18" s="17" t="s">
        <v>74</v>
      </c>
      <c r="D18" s="18" t="s">
        <v>164</v>
      </c>
      <c r="E18" s="18" t="s">
        <v>540</v>
      </c>
      <c r="F18" s="18" t="s">
        <v>165</v>
      </c>
      <c r="G18" s="12" t="s">
        <v>125</v>
      </c>
      <c r="H18" s="18" t="s">
        <v>133</v>
      </c>
      <c r="I18" s="21" t="s">
        <v>136</v>
      </c>
      <c r="J18" s="18" t="s">
        <v>547</v>
      </c>
      <c r="K18" s="18" t="s">
        <v>566</v>
      </c>
      <c r="L18" s="18" t="s">
        <v>79</v>
      </c>
      <c r="M18" s="18" t="s">
        <v>79</v>
      </c>
      <c r="N18" s="18" t="s">
        <v>97</v>
      </c>
      <c r="O18" s="17" t="s">
        <v>98</v>
      </c>
      <c r="P18" s="5" t="s">
        <v>79</v>
      </c>
      <c r="Q18" s="18" t="s">
        <v>572</v>
      </c>
      <c r="R18" s="18" t="s">
        <v>574</v>
      </c>
      <c r="S18" s="18" t="s">
        <v>577</v>
      </c>
      <c r="T18" s="5" t="s">
        <v>62</v>
      </c>
      <c r="U18" s="5" t="s">
        <v>62</v>
      </c>
      <c r="V18" s="18" t="s">
        <v>580</v>
      </c>
      <c r="W18" s="18" t="s">
        <v>582</v>
      </c>
      <c r="X18" s="18" t="s">
        <v>585</v>
      </c>
      <c r="Y18" s="18" t="s">
        <v>587</v>
      </c>
      <c r="Z18" s="18" t="s">
        <v>588</v>
      </c>
      <c r="AA18" s="18" t="s">
        <v>589</v>
      </c>
      <c r="AB18" s="18" t="s">
        <v>140</v>
      </c>
      <c r="AC18" s="18" t="s">
        <v>155</v>
      </c>
    </row>
    <row r="19" spans="1:29" ht="13.9">
      <c r="A19" s="17" t="s">
        <v>70</v>
      </c>
      <c r="B19" s="18" t="s">
        <v>122</v>
      </c>
      <c r="C19" s="17" t="s">
        <v>74</v>
      </c>
      <c r="D19" s="18" t="s">
        <v>212</v>
      </c>
      <c r="E19" s="18" t="s">
        <v>540</v>
      </c>
      <c r="F19" s="18" t="s">
        <v>215</v>
      </c>
      <c r="G19" s="12" t="s">
        <v>125</v>
      </c>
      <c r="H19" s="18" t="s">
        <v>133</v>
      </c>
      <c r="I19" s="21" t="s">
        <v>136</v>
      </c>
      <c r="J19" s="18" t="s">
        <v>547</v>
      </c>
      <c r="K19" s="18" t="s">
        <v>605</v>
      </c>
      <c r="L19" s="18" t="s">
        <v>79</v>
      </c>
      <c r="M19" s="18" t="s">
        <v>79</v>
      </c>
      <c r="N19" s="18" t="s">
        <v>97</v>
      </c>
      <c r="O19" s="17" t="s">
        <v>98</v>
      </c>
      <c r="P19" s="5" t="s">
        <v>79</v>
      </c>
      <c r="Q19" s="18" t="s">
        <v>608</v>
      </c>
      <c r="R19" s="18" t="s">
        <v>610</v>
      </c>
      <c r="S19" s="18" t="s">
        <v>612</v>
      </c>
      <c r="T19" s="5" t="s">
        <v>62</v>
      </c>
      <c r="U19" s="5" t="s">
        <v>62</v>
      </c>
      <c r="V19" s="18" t="s">
        <v>615</v>
      </c>
      <c r="W19" s="18" t="s">
        <v>617</v>
      </c>
      <c r="X19" s="18" t="s">
        <v>619</v>
      </c>
      <c r="Y19" s="18" t="s">
        <v>621</v>
      </c>
      <c r="Z19" s="18" t="s">
        <v>624</v>
      </c>
      <c r="AA19" s="18" t="s">
        <v>627</v>
      </c>
      <c r="AB19" s="18" t="s">
        <v>140</v>
      </c>
      <c r="AC19" s="18" t="s">
        <v>155</v>
      </c>
    </row>
    <row r="20" spans="1:29" ht="13.9">
      <c r="A20" s="17" t="s">
        <v>70</v>
      </c>
      <c r="B20" s="18" t="s">
        <v>122</v>
      </c>
      <c r="C20" s="17" t="s">
        <v>74</v>
      </c>
      <c r="D20" s="18" t="s">
        <v>246</v>
      </c>
      <c r="E20" s="18" t="s">
        <v>540</v>
      </c>
      <c r="F20" s="18" t="s">
        <v>248</v>
      </c>
      <c r="G20" s="12" t="s">
        <v>125</v>
      </c>
      <c r="H20" s="18" t="s">
        <v>133</v>
      </c>
      <c r="I20" s="21" t="s">
        <v>136</v>
      </c>
      <c r="J20" s="18" t="s">
        <v>547</v>
      </c>
      <c r="K20" s="18" t="s">
        <v>637</v>
      </c>
      <c r="L20" s="18" t="s">
        <v>79</v>
      </c>
      <c r="M20" s="18" t="s">
        <v>79</v>
      </c>
      <c r="N20" s="18" t="s">
        <v>97</v>
      </c>
      <c r="O20" s="17" t="s">
        <v>98</v>
      </c>
      <c r="P20" s="5" t="s">
        <v>79</v>
      </c>
      <c r="Q20" s="18" t="s">
        <v>638</v>
      </c>
      <c r="R20" s="18" t="s">
        <v>640</v>
      </c>
      <c r="S20" s="18" t="s">
        <v>641</v>
      </c>
      <c r="T20" s="5" t="s">
        <v>62</v>
      </c>
      <c r="U20" s="5" t="s">
        <v>62</v>
      </c>
      <c r="V20" s="18" t="s">
        <v>643</v>
      </c>
      <c r="W20" s="18" t="s">
        <v>644</v>
      </c>
      <c r="X20" s="18" t="s">
        <v>646</v>
      </c>
      <c r="Y20" s="18" t="s">
        <v>648</v>
      </c>
      <c r="Z20" s="18" t="s">
        <v>649</v>
      </c>
      <c r="AA20" s="18" t="s">
        <v>651</v>
      </c>
      <c r="AB20" s="18" t="s">
        <v>140</v>
      </c>
      <c r="AC20" s="18" t="s">
        <v>155</v>
      </c>
    </row>
    <row r="21" spans="1:29" ht="13.9">
      <c r="A21" s="17" t="s">
        <v>70</v>
      </c>
      <c r="B21" s="18" t="s">
        <v>122</v>
      </c>
      <c r="C21" s="17" t="s">
        <v>74</v>
      </c>
      <c r="D21" s="18" t="s">
        <v>75</v>
      </c>
      <c r="E21" s="18" t="s">
        <v>656</v>
      </c>
      <c r="F21" s="18" t="s">
        <v>113</v>
      </c>
      <c r="G21" s="12" t="s">
        <v>125</v>
      </c>
      <c r="H21" s="18" t="s">
        <v>133</v>
      </c>
      <c r="I21" s="21" t="s">
        <v>136</v>
      </c>
      <c r="J21" s="18" t="s">
        <v>661</v>
      </c>
      <c r="K21" s="18" t="s">
        <v>281</v>
      </c>
      <c r="L21" s="18" t="s">
        <v>79</v>
      </c>
      <c r="M21" s="18" t="s">
        <v>79</v>
      </c>
      <c r="N21" s="18" t="s">
        <v>97</v>
      </c>
      <c r="O21" s="17" t="s">
        <v>98</v>
      </c>
      <c r="P21" s="5" t="s">
        <v>79</v>
      </c>
      <c r="Q21" s="18" t="s">
        <v>662</v>
      </c>
      <c r="R21" s="18" t="s">
        <v>663</v>
      </c>
      <c r="S21" s="18" t="s">
        <v>149</v>
      </c>
      <c r="T21" s="5" t="s">
        <v>62</v>
      </c>
      <c r="U21" s="5" t="s">
        <v>62</v>
      </c>
      <c r="V21" s="18" t="s">
        <v>664</v>
      </c>
      <c r="W21" s="18" t="s">
        <v>665</v>
      </c>
      <c r="X21" s="18" t="s">
        <v>666</v>
      </c>
      <c r="Y21" s="18" t="s">
        <v>667</v>
      </c>
      <c r="Z21" s="18" t="s">
        <v>668</v>
      </c>
      <c r="AA21" s="18" t="s">
        <v>669</v>
      </c>
      <c r="AB21" s="18" t="s">
        <v>140</v>
      </c>
      <c r="AC21" s="18" t="s">
        <v>155</v>
      </c>
    </row>
    <row r="22" spans="1:29" ht="13.9">
      <c r="A22" s="17" t="s">
        <v>70</v>
      </c>
      <c r="B22" s="18" t="s">
        <v>122</v>
      </c>
      <c r="C22" s="17" t="s">
        <v>74</v>
      </c>
      <c r="D22" s="18" t="s">
        <v>164</v>
      </c>
      <c r="E22" s="18" t="s">
        <v>656</v>
      </c>
      <c r="F22" s="18" t="s">
        <v>165</v>
      </c>
      <c r="G22" s="12" t="s">
        <v>125</v>
      </c>
      <c r="H22" s="18" t="s">
        <v>133</v>
      </c>
      <c r="I22" s="21" t="s">
        <v>136</v>
      </c>
      <c r="J22" s="18" t="s">
        <v>661</v>
      </c>
      <c r="K22" s="18" t="s">
        <v>566</v>
      </c>
      <c r="L22" s="18" t="s">
        <v>79</v>
      </c>
      <c r="M22" s="18" t="s">
        <v>79</v>
      </c>
      <c r="N22" s="18" t="s">
        <v>97</v>
      </c>
      <c r="O22" s="17" t="s">
        <v>98</v>
      </c>
      <c r="P22" s="5" t="s">
        <v>79</v>
      </c>
      <c r="Q22" s="18" t="s">
        <v>692</v>
      </c>
      <c r="R22" s="18" t="s">
        <v>693</v>
      </c>
      <c r="S22" s="18" t="s">
        <v>694</v>
      </c>
      <c r="T22" s="5" t="s">
        <v>62</v>
      </c>
      <c r="U22" s="5" t="s">
        <v>62</v>
      </c>
      <c r="V22" s="18" t="s">
        <v>696</v>
      </c>
      <c r="W22" s="18" t="s">
        <v>697</v>
      </c>
      <c r="X22" s="18" t="s">
        <v>698</v>
      </c>
      <c r="Y22" s="18" t="s">
        <v>700</v>
      </c>
      <c r="Z22" s="18" t="s">
        <v>701</v>
      </c>
      <c r="AA22" s="18" t="s">
        <v>702</v>
      </c>
      <c r="AB22" s="18" t="s">
        <v>140</v>
      </c>
      <c r="AC22" s="18" t="s">
        <v>155</v>
      </c>
    </row>
    <row r="23" spans="1:29" ht="13.9">
      <c r="A23" s="17" t="s">
        <v>70</v>
      </c>
      <c r="B23" s="18" t="s">
        <v>122</v>
      </c>
      <c r="C23" s="17" t="s">
        <v>74</v>
      </c>
      <c r="D23" s="18" t="s">
        <v>212</v>
      </c>
      <c r="E23" s="18" t="s">
        <v>656</v>
      </c>
      <c r="F23" s="18" t="s">
        <v>215</v>
      </c>
      <c r="G23" s="12" t="s">
        <v>125</v>
      </c>
      <c r="H23" s="18" t="s">
        <v>133</v>
      </c>
      <c r="I23" s="21" t="s">
        <v>136</v>
      </c>
      <c r="J23" s="18" t="s">
        <v>661</v>
      </c>
      <c r="K23" s="18" t="s">
        <v>329</v>
      </c>
      <c r="L23" s="18" t="s">
        <v>79</v>
      </c>
      <c r="M23" s="18" t="s">
        <v>79</v>
      </c>
      <c r="N23" s="18" t="s">
        <v>97</v>
      </c>
      <c r="O23" s="17" t="s">
        <v>98</v>
      </c>
      <c r="P23" s="5" t="s">
        <v>79</v>
      </c>
      <c r="Q23" s="18" t="s">
        <v>730</v>
      </c>
      <c r="R23" s="18" t="s">
        <v>731</v>
      </c>
      <c r="S23" s="18" t="s">
        <v>732</v>
      </c>
      <c r="T23" s="5" t="s">
        <v>62</v>
      </c>
      <c r="U23" s="5" t="s">
        <v>62</v>
      </c>
      <c r="V23" s="18" t="s">
        <v>733</v>
      </c>
      <c r="W23" s="18" t="s">
        <v>734</v>
      </c>
      <c r="X23" s="18" t="s">
        <v>735</v>
      </c>
      <c r="Y23" s="18" t="s">
        <v>736</v>
      </c>
      <c r="Z23" s="18" t="s">
        <v>737</v>
      </c>
      <c r="AA23" s="18" t="s">
        <v>738</v>
      </c>
      <c r="AB23" s="18" t="s">
        <v>140</v>
      </c>
      <c r="AC23" s="18" t="s">
        <v>155</v>
      </c>
    </row>
    <row r="24" spans="1:29" ht="13.9">
      <c r="A24" s="17" t="s">
        <v>70</v>
      </c>
      <c r="B24" s="18" t="s">
        <v>122</v>
      </c>
      <c r="C24" s="17" t="s">
        <v>74</v>
      </c>
      <c r="D24" s="18" t="s">
        <v>246</v>
      </c>
      <c r="E24" s="18" t="s">
        <v>656</v>
      </c>
      <c r="F24" s="18" t="s">
        <v>248</v>
      </c>
      <c r="G24" s="12" t="s">
        <v>125</v>
      </c>
      <c r="H24" s="18" t="s">
        <v>133</v>
      </c>
      <c r="I24" s="21" t="s">
        <v>136</v>
      </c>
      <c r="J24" s="18" t="s">
        <v>661</v>
      </c>
      <c r="K24" s="18" t="s">
        <v>499</v>
      </c>
      <c r="L24" s="18" t="s">
        <v>79</v>
      </c>
      <c r="M24" s="18" t="s">
        <v>79</v>
      </c>
      <c r="N24" s="18" t="s">
        <v>97</v>
      </c>
      <c r="O24" s="17" t="s">
        <v>98</v>
      </c>
      <c r="P24" s="5" t="s">
        <v>79</v>
      </c>
      <c r="Q24" s="18" t="s">
        <v>754</v>
      </c>
      <c r="R24" s="18" t="s">
        <v>755</v>
      </c>
      <c r="S24" s="18" t="s">
        <v>756</v>
      </c>
      <c r="T24" s="5" t="s">
        <v>62</v>
      </c>
      <c r="U24" s="5" t="s">
        <v>62</v>
      </c>
      <c r="V24" s="18" t="s">
        <v>757</v>
      </c>
      <c r="W24" s="18" t="s">
        <v>758</v>
      </c>
      <c r="X24" s="18" t="s">
        <v>759</v>
      </c>
      <c r="Y24" s="18" t="s">
        <v>760</v>
      </c>
      <c r="Z24" s="18" t="s">
        <v>761</v>
      </c>
      <c r="AA24" s="18" t="s">
        <v>763</v>
      </c>
      <c r="AB24" s="18" t="s">
        <v>140</v>
      </c>
      <c r="AC24" s="18" t="s">
        <v>155</v>
      </c>
    </row>
    <row r="25" spans="1:29" ht="13.9">
      <c r="A25" s="17" t="s">
        <v>70</v>
      </c>
      <c r="B25" s="18" t="s">
        <v>122</v>
      </c>
      <c r="C25" s="17" t="s">
        <v>74</v>
      </c>
      <c r="D25" s="18" t="s">
        <v>75</v>
      </c>
      <c r="E25" s="18" t="s">
        <v>768</v>
      </c>
      <c r="F25" s="18" t="s">
        <v>113</v>
      </c>
      <c r="G25" s="12" t="s">
        <v>125</v>
      </c>
      <c r="H25" s="18" t="s">
        <v>133</v>
      </c>
      <c r="I25" s="21" t="s">
        <v>136</v>
      </c>
      <c r="J25" s="18" t="s">
        <v>770</v>
      </c>
      <c r="K25" s="18" t="s">
        <v>772</v>
      </c>
      <c r="L25" s="18" t="s">
        <v>79</v>
      </c>
      <c r="M25" s="18" t="s">
        <v>79</v>
      </c>
      <c r="N25" s="18" t="s">
        <v>97</v>
      </c>
      <c r="O25" s="17" t="s">
        <v>98</v>
      </c>
      <c r="P25" s="5" t="s">
        <v>79</v>
      </c>
      <c r="Q25" s="18" t="s">
        <v>773</v>
      </c>
      <c r="R25" s="18" t="s">
        <v>774</v>
      </c>
      <c r="S25" s="18" t="s">
        <v>763</v>
      </c>
      <c r="T25" s="5" t="s">
        <v>62</v>
      </c>
      <c r="U25" s="5" t="s">
        <v>62</v>
      </c>
      <c r="V25" s="18" t="s">
        <v>775</v>
      </c>
      <c r="W25" s="18" t="s">
        <v>776</v>
      </c>
      <c r="X25" s="18" t="s">
        <v>777</v>
      </c>
      <c r="Y25" s="18" t="s">
        <v>779</v>
      </c>
      <c r="Z25" s="18" t="s">
        <v>781</v>
      </c>
      <c r="AA25" s="18" t="s">
        <v>782</v>
      </c>
      <c r="AB25" s="18" t="s">
        <v>140</v>
      </c>
      <c r="AC25" s="18" t="s">
        <v>155</v>
      </c>
    </row>
    <row r="26" spans="1:29" ht="13.9">
      <c r="A26" s="17" t="s">
        <v>70</v>
      </c>
      <c r="B26" s="18" t="s">
        <v>122</v>
      </c>
      <c r="C26" s="17" t="s">
        <v>74</v>
      </c>
      <c r="D26" s="18" t="s">
        <v>164</v>
      </c>
      <c r="E26" s="18" t="s">
        <v>768</v>
      </c>
      <c r="F26" s="18" t="s">
        <v>165</v>
      </c>
      <c r="G26" s="12" t="s">
        <v>125</v>
      </c>
      <c r="H26" s="18" t="s">
        <v>133</v>
      </c>
      <c r="I26" s="21" t="s">
        <v>136</v>
      </c>
      <c r="J26" s="18" t="s">
        <v>770</v>
      </c>
      <c r="K26" s="18" t="s">
        <v>566</v>
      </c>
      <c r="L26" s="18" t="s">
        <v>79</v>
      </c>
      <c r="M26" s="18" t="s">
        <v>79</v>
      </c>
      <c r="N26" s="18" t="s">
        <v>97</v>
      </c>
      <c r="O26" s="17" t="s">
        <v>98</v>
      </c>
      <c r="P26" s="5" t="s">
        <v>79</v>
      </c>
      <c r="Q26" s="18" t="s">
        <v>789</v>
      </c>
      <c r="R26" s="18" t="s">
        <v>790</v>
      </c>
      <c r="S26" s="18" t="s">
        <v>791</v>
      </c>
      <c r="T26" s="5" t="s">
        <v>62</v>
      </c>
      <c r="U26" s="5" t="s">
        <v>62</v>
      </c>
      <c r="V26" s="18" t="s">
        <v>792</v>
      </c>
      <c r="W26" s="18" t="s">
        <v>793</v>
      </c>
      <c r="X26" s="18" t="s">
        <v>794</v>
      </c>
      <c r="Y26" s="18" t="s">
        <v>795</v>
      </c>
      <c r="Z26" s="18" t="s">
        <v>796</v>
      </c>
      <c r="AA26" s="18" t="s">
        <v>798</v>
      </c>
      <c r="AB26" s="18" t="s">
        <v>140</v>
      </c>
      <c r="AC26" s="18" t="s">
        <v>155</v>
      </c>
    </row>
    <row r="27" spans="1:29" ht="13.9">
      <c r="A27" s="17" t="s">
        <v>70</v>
      </c>
      <c r="B27" s="18" t="s">
        <v>122</v>
      </c>
      <c r="C27" s="17" t="s">
        <v>74</v>
      </c>
      <c r="D27" s="18" t="s">
        <v>212</v>
      </c>
      <c r="E27" s="18" t="s">
        <v>768</v>
      </c>
      <c r="F27" s="18" t="s">
        <v>215</v>
      </c>
      <c r="G27" s="12" t="s">
        <v>125</v>
      </c>
      <c r="H27" s="18" t="s">
        <v>133</v>
      </c>
      <c r="I27" s="21" t="s">
        <v>136</v>
      </c>
      <c r="J27" s="18" t="s">
        <v>770</v>
      </c>
      <c r="K27" s="18" t="s">
        <v>329</v>
      </c>
      <c r="L27" s="18" t="s">
        <v>79</v>
      </c>
      <c r="M27" s="18" t="s">
        <v>79</v>
      </c>
      <c r="N27" s="18" t="s">
        <v>97</v>
      </c>
      <c r="O27" s="17" t="s">
        <v>98</v>
      </c>
      <c r="P27" s="5" t="s">
        <v>79</v>
      </c>
      <c r="Q27" s="18" t="s">
        <v>810</v>
      </c>
      <c r="R27" s="18" t="s">
        <v>811</v>
      </c>
      <c r="S27" s="18" t="s">
        <v>812</v>
      </c>
      <c r="T27" s="5" t="s">
        <v>62</v>
      </c>
      <c r="U27" s="5" t="s">
        <v>62</v>
      </c>
      <c r="V27" s="18" t="s">
        <v>813</v>
      </c>
      <c r="W27" s="18" t="s">
        <v>814</v>
      </c>
      <c r="X27" s="18" t="s">
        <v>815</v>
      </c>
      <c r="Y27" s="18" t="s">
        <v>816</v>
      </c>
      <c r="Z27" s="18" t="s">
        <v>818</v>
      </c>
      <c r="AA27" s="18" t="s">
        <v>819</v>
      </c>
      <c r="AB27" s="18" t="s">
        <v>140</v>
      </c>
      <c r="AC27" s="18" t="s">
        <v>155</v>
      </c>
    </row>
    <row r="28" spans="1:29" ht="13.9">
      <c r="A28" s="17" t="s">
        <v>70</v>
      </c>
      <c r="B28" s="18" t="s">
        <v>122</v>
      </c>
      <c r="C28" s="17" t="s">
        <v>74</v>
      </c>
      <c r="D28" s="18" t="s">
        <v>246</v>
      </c>
      <c r="E28" s="18" t="s">
        <v>768</v>
      </c>
      <c r="F28" s="18" t="s">
        <v>248</v>
      </c>
      <c r="G28" s="12" t="s">
        <v>125</v>
      </c>
      <c r="H28" s="18" t="s">
        <v>133</v>
      </c>
      <c r="I28" s="21" t="s">
        <v>136</v>
      </c>
      <c r="J28" s="18" t="s">
        <v>770</v>
      </c>
      <c r="K28" s="18" t="s">
        <v>499</v>
      </c>
      <c r="L28" s="18" t="s">
        <v>79</v>
      </c>
      <c r="M28" s="18" t="s">
        <v>79</v>
      </c>
      <c r="N28" s="18" t="s">
        <v>97</v>
      </c>
      <c r="O28" s="17" t="s">
        <v>98</v>
      </c>
      <c r="P28" s="5" t="s">
        <v>79</v>
      </c>
      <c r="Q28" s="18" t="s">
        <v>838</v>
      </c>
      <c r="R28" s="18" t="s">
        <v>839</v>
      </c>
      <c r="S28" s="18" t="s">
        <v>840</v>
      </c>
      <c r="T28" s="5" t="s">
        <v>62</v>
      </c>
      <c r="U28" s="5" t="s">
        <v>62</v>
      </c>
      <c r="V28" s="18" t="s">
        <v>841</v>
      </c>
      <c r="W28" s="18" t="s">
        <v>842</v>
      </c>
      <c r="X28" s="18" t="s">
        <v>843</v>
      </c>
      <c r="Y28" s="18" t="s">
        <v>844</v>
      </c>
      <c r="Z28" s="18" t="s">
        <v>845</v>
      </c>
      <c r="AA28" s="18" t="s">
        <v>846</v>
      </c>
      <c r="AB28" s="18" t="s">
        <v>140</v>
      </c>
      <c r="AC28" s="18" t="s">
        <v>155</v>
      </c>
    </row>
    <row r="29" spans="1:29" ht="13.9">
      <c r="A29" s="9" t="s">
        <v>70</v>
      </c>
      <c r="B29" s="9" t="s">
        <v>162</v>
      </c>
      <c r="C29" s="9" t="s">
        <v>74</v>
      </c>
      <c r="D29" s="9" t="s">
        <v>127</v>
      </c>
      <c r="E29" s="9" t="s">
        <v>128</v>
      </c>
      <c r="F29" s="9" t="s">
        <v>79</v>
      </c>
      <c r="G29" s="9" t="s">
        <v>79</v>
      </c>
      <c r="H29" s="9" t="s">
        <v>91</v>
      </c>
      <c r="I29" s="9" t="s">
        <v>169</v>
      </c>
      <c r="J29" s="65" t="s">
        <v>171</v>
      </c>
      <c r="K29" s="9">
        <v>13</v>
      </c>
      <c r="L29" s="9" t="s">
        <v>174</v>
      </c>
      <c r="M29" s="65" t="s">
        <v>176</v>
      </c>
      <c r="N29" s="9" t="s">
        <v>79</v>
      </c>
      <c r="O29" s="9" t="s">
        <v>98</v>
      </c>
      <c r="P29" s="9" t="s">
        <v>178</v>
      </c>
      <c r="Q29" s="9" t="s">
        <v>180</v>
      </c>
      <c r="R29" s="9" t="s">
        <v>182</v>
      </c>
      <c r="S29" s="9" t="s">
        <v>184</v>
      </c>
      <c r="T29" s="9" t="s">
        <v>185</v>
      </c>
      <c r="U29" s="9" t="s">
        <v>187</v>
      </c>
      <c r="V29" s="9" t="s">
        <v>189</v>
      </c>
      <c r="W29" s="9" t="s">
        <v>191</v>
      </c>
      <c r="X29" s="9" t="s">
        <v>193</v>
      </c>
      <c r="Y29" s="9" t="s">
        <v>195</v>
      </c>
      <c r="Z29" s="9" t="s">
        <v>200</v>
      </c>
      <c r="AA29" s="9" t="s">
        <v>201</v>
      </c>
      <c r="AB29" s="9" t="s">
        <v>109</v>
      </c>
      <c r="AC29" s="9" t="s">
        <v>204</v>
      </c>
    </row>
    <row r="30" spans="1:29" ht="13.9">
      <c r="A30" s="17" t="s">
        <v>70</v>
      </c>
      <c r="B30" s="18" t="s">
        <v>210</v>
      </c>
      <c r="C30" s="18" t="s">
        <v>74</v>
      </c>
      <c r="D30" s="18" t="s">
        <v>853</v>
      </c>
      <c r="E30" s="18" t="s">
        <v>362</v>
      </c>
      <c r="F30" s="21" t="s">
        <v>79</v>
      </c>
      <c r="G30" s="66"/>
      <c r="H30" s="18" t="s">
        <v>133</v>
      </c>
      <c r="I30" s="18" t="s">
        <v>218</v>
      </c>
      <c r="J30" s="21" t="s">
        <v>855</v>
      </c>
      <c r="K30" s="18" t="s">
        <v>856</v>
      </c>
      <c r="L30" s="21" t="s">
        <v>79</v>
      </c>
      <c r="M30" s="21" t="s">
        <v>79</v>
      </c>
      <c r="N30" s="21" t="s">
        <v>79</v>
      </c>
      <c r="O30" s="18" t="s">
        <v>98</v>
      </c>
      <c r="P30" s="18" t="s">
        <v>857</v>
      </c>
      <c r="Q30" s="17" t="s">
        <v>858</v>
      </c>
      <c r="R30" s="18" t="s">
        <v>859</v>
      </c>
      <c r="S30" s="18" t="s">
        <v>860</v>
      </c>
      <c r="T30" s="17" t="s">
        <v>62</v>
      </c>
      <c r="U30" s="17" t="s">
        <v>62</v>
      </c>
      <c r="V30" s="18" t="s">
        <v>861</v>
      </c>
      <c r="W30" s="17" t="s">
        <v>862</v>
      </c>
      <c r="X30" s="18" t="s">
        <v>863</v>
      </c>
      <c r="Y30" s="18" t="s">
        <v>864</v>
      </c>
      <c r="Z30" s="18" t="s">
        <v>865</v>
      </c>
      <c r="AA30" s="18" t="s">
        <v>866</v>
      </c>
      <c r="AB30" s="18" t="s">
        <v>109</v>
      </c>
      <c r="AC30" s="18" t="s">
        <v>145</v>
      </c>
    </row>
    <row r="31" spans="1:29" ht="13.9">
      <c r="A31" s="17" t="s">
        <v>70</v>
      </c>
      <c r="B31" s="18" t="s">
        <v>210</v>
      </c>
      <c r="C31" s="18" t="s">
        <v>74</v>
      </c>
      <c r="D31" s="18" t="s">
        <v>868</v>
      </c>
      <c r="E31" s="18" t="s">
        <v>362</v>
      </c>
      <c r="F31" s="21" t="s">
        <v>79</v>
      </c>
      <c r="G31" s="66"/>
      <c r="H31" s="18" t="s">
        <v>133</v>
      </c>
      <c r="I31" s="18" t="s">
        <v>218</v>
      </c>
      <c r="J31" s="21" t="s">
        <v>855</v>
      </c>
      <c r="K31" s="18" t="s">
        <v>870</v>
      </c>
      <c r="L31" s="21" t="s">
        <v>79</v>
      </c>
      <c r="M31" s="21" t="s">
        <v>79</v>
      </c>
      <c r="N31" s="21" t="s">
        <v>79</v>
      </c>
      <c r="O31" s="18" t="s">
        <v>98</v>
      </c>
      <c r="P31" s="18" t="s">
        <v>872</v>
      </c>
      <c r="Q31" s="17" t="s">
        <v>873</v>
      </c>
      <c r="R31" s="18" t="s">
        <v>874</v>
      </c>
      <c r="S31" s="18" t="s">
        <v>876</v>
      </c>
      <c r="T31" s="17" t="s">
        <v>62</v>
      </c>
      <c r="U31" s="17" t="s">
        <v>62</v>
      </c>
      <c r="V31" s="18" t="s">
        <v>877</v>
      </c>
      <c r="W31" s="17" t="s">
        <v>878</v>
      </c>
      <c r="X31" s="18" t="s">
        <v>879</v>
      </c>
      <c r="Y31" s="18" t="s">
        <v>880</v>
      </c>
      <c r="Z31" s="18" t="s">
        <v>881</v>
      </c>
      <c r="AA31" s="18" t="s">
        <v>882</v>
      </c>
      <c r="AB31" s="18" t="s">
        <v>109</v>
      </c>
      <c r="AC31" s="18" t="s">
        <v>145</v>
      </c>
    </row>
    <row r="32" spans="1:29" ht="13.9">
      <c r="A32" s="17" t="s">
        <v>70</v>
      </c>
      <c r="B32" s="18" t="s">
        <v>210</v>
      </c>
      <c r="C32" s="18" t="s">
        <v>74</v>
      </c>
      <c r="D32" s="18" t="s">
        <v>886</v>
      </c>
      <c r="E32" s="18" t="s">
        <v>362</v>
      </c>
      <c r="F32" s="21" t="s">
        <v>79</v>
      </c>
      <c r="G32" s="66"/>
      <c r="H32" s="18" t="s">
        <v>133</v>
      </c>
      <c r="I32" s="18" t="s">
        <v>218</v>
      </c>
      <c r="J32" s="21" t="s">
        <v>855</v>
      </c>
      <c r="K32" s="18" t="s">
        <v>888</v>
      </c>
      <c r="L32" s="21" t="s">
        <v>79</v>
      </c>
      <c r="M32" s="21" t="s">
        <v>79</v>
      </c>
      <c r="N32" s="21" t="s">
        <v>79</v>
      </c>
      <c r="O32" s="18" t="s">
        <v>98</v>
      </c>
      <c r="P32" s="18" t="s">
        <v>890</v>
      </c>
      <c r="Q32" s="17" t="s">
        <v>891</v>
      </c>
      <c r="R32" s="18" t="s">
        <v>892</v>
      </c>
      <c r="S32" s="18" t="s">
        <v>893</v>
      </c>
      <c r="T32" s="17" t="s">
        <v>62</v>
      </c>
      <c r="U32" s="17" t="s">
        <v>62</v>
      </c>
      <c r="V32" s="18" t="s">
        <v>894</v>
      </c>
      <c r="W32" s="17" t="s">
        <v>895</v>
      </c>
      <c r="X32" s="18" t="s">
        <v>896</v>
      </c>
      <c r="Y32" s="18" t="s">
        <v>897</v>
      </c>
      <c r="Z32" s="18" t="s">
        <v>898</v>
      </c>
      <c r="AA32" s="18" t="s">
        <v>899</v>
      </c>
      <c r="AB32" s="18" t="s">
        <v>109</v>
      </c>
      <c r="AC32" s="18" t="s">
        <v>145</v>
      </c>
    </row>
    <row r="33" spans="1:29" ht="13.9">
      <c r="A33" s="17" t="s">
        <v>70</v>
      </c>
      <c r="B33" s="18" t="s">
        <v>210</v>
      </c>
      <c r="C33" s="18" t="s">
        <v>74</v>
      </c>
      <c r="D33" s="18" t="s">
        <v>213</v>
      </c>
      <c r="E33" s="18" t="s">
        <v>362</v>
      </c>
      <c r="F33" s="21" t="s">
        <v>79</v>
      </c>
      <c r="G33" s="66"/>
      <c r="H33" s="18" t="s">
        <v>133</v>
      </c>
      <c r="I33" s="18" t="s">
        <v>218</v>
      </c>
      <c r="J33" s="21" t="s">
        <v>855</v>
      </c>
      <c r="K33" s="18" t="s">
        <v>902</v>
      </c>
      <c r="L33" s="21" t="s">
        <v>79</v>
      </c>
      <c r="M33" s="21" t="s">
        <v>79</v>
      </c>
      <c r="N33" s="21" t="s">
        <v>79</v>
      </c>
      <c r="O33" s="18" t="s">
        <v>98</v>
      </c>
      <c r="P33" s="18" t="s">
        <v>224</v>
      </c>
      <c r="Q33" s="17" t="s">
        <v>903</v>
      </c>
      <c r="R33" s="18" t="s">
        <v>904</v>
      </c>
      <c r="S33" s="18" t="s">
        <v>905</v>
      </c>
      <c r="T33" s="17" t="s">
        <v>62</v>
      </c>
      <c r="U33" s="17" t="s">
        <v>62</v>
      </c>
      <c r="V33" s="18" t="s">
        <v>906</v>
      </c>
      <c r="W33" s="17" t="s">
        <v>907</v>
      </c>
      <c r="X33" s="18" t="s">
        <v>908</v>
      </c>
      <c r="Y33" s="18" t="s">
        <v>909</v>
      </c>
      <c r="Z33" s="18" t="s">
        <v>910</v>
      </c>
      <c r="AA33" s="18" t="s">
        <v>911</v>
      </c>
      <c r="AB33" s="18" t="s">
        <v>109</v>
      </c>
      <c r="AC33" s="18" t="s">
        <v>145</v>
      </c>
    </row>
    <row r="34" spans="1:29" ht="13.9">
      <c r="A34" s="17" t="s">
        <v>70</v>
      </c>
      <c r="B34" s="18" t="s">
        <v>210</v>
      </c>
      <c r="C34" s="18" t="s">
        <v>74</v>
      </c>
      <c r="D34" s="18" t="s">
        <v>853</v>
      </c>
      <c r="E34" s="18" t="s">
        <v>915</v>
      </c>
      <c r="F34" s="21" t="s">
        <v>79</v>
      </c>
      <c r="G34" s="66"/>
      <c r="H34" s="18" t="s">
        <v>133</v>
      </c>
      <c r="I34" s="18" t="s">
        <v>218</v>
      </c>
      <c r="J34" s="21" t="s">
        <v>79</v>
      </c>
      <c r="K34" s="18" t="s">
        <v>856</v>
      </c>
      <c r="L34" s="21" t="s">
        <v>79</v>
      </c>
      <c r="M34" s="21" t="s">
        <v>79</v>
      </c>
      <c r="N34" s="21" t="s">
        <v>79</v>
      </c>
      <c r="O34" s="18" t="s">
        <v>98</v>
      </c>
      <c r="P34" s="18" t="s">
        <v>857</v>
      </c>
      <c r="Q34" s="17" t="s">
        <v>916</v>
      </c>
      <c r="R34" s="18" t="s">
        <v>917</v>
      </c>
      <c r="S34" s="18" t="s">
        <v>918</v>
      </c>
      <c r="T34" s="17" t="s">
        <v>62</v>
      </c>
      <c r="U34" s="17" t="s">
        <v>62</v>
      </c>
      <c r="V34" s="18" t="s">
        <v>919</v>
      </c>
      <c r="W34" s="17" t="s">
        <v>920</v>
      </c>
      <c r="X34" s="18" t="s">
        <v>921</v>
      </c>
      <c r="Y34" s="18" t="s">
        <v>922</v>
      </c>
      <c r="Z34" s="18" t="s">
        <v>923</v>
      </c>
      <c r="AA34" s="18" t="s">
        <v>924</v>
      </c>
      <c r="AB34" s="18" t="s">
        <v>109</v>
      </c>
      <c r="AC34" s="18" t="s">
        <v>145</v>
      </c>
    </row>
    <row r="35" spans="1:29" ht="13.9">
      <c r="A35" s="17" t="s">
        <v>70</v>
      </c>
      <c r="B35" s="18" t="s">
        <v>210</v>
      </c>
      <c r="C35" s="18" t="s">
        <v>74</v>
      </c>
      <c r="D35" s="18" t="s">
        <v>868</v>
      </c>
      <c r="E35" s="18" t="s">
        <v>915</v>
      </c>
      <c r="F35" s="21" t="s">
        <v>79</v>
      </c>
      <c r="G35" s="66"/>
      <c r="H35" s="18" t="s">
        <v>133</v>
      </c>
      <c r="I35" s="18" t="s">
        <v>218</v>
      </c>
      <c r="J35" s="21" t="s">
        <v>79</v>
      </c>
      <c r="K35" s="18" t="s">
        <v>870</v>
      </c>
      <c r="L35" s="21" t="s">
        <v>79</v>
      </c>
      <c r="M35" s="21" t="s">
        <v>79</v>
      </c>
      <c r="N35" s="21" t="s">
        <v>79</v>
      </c>
      <c r="O35" s="18" t="s">
        <v>98</v>
      </c>
      <c r="P35" s="18" t="s">
        <v>872</v>
      </c>
      <c r="Q35" s="17" t="s">
        <v>928</v>
      </c>
      <c r="R35" s="18" t="s">
        <v>929</v>
      </c>
      <c r="S35" s="18" t="s">
        <v>930</v>
      </c>
      <c r="T35" s="17" t="s">
        <v>62</v>
      </c>
      <c r="U35" s="17" t="s">
        <v>62</v>
      </c>
      <c r="V35" s="18" t="s">
        <v>931</v>
      </c>
      <c r="W35" s="17" t="s">
        <v>932</v>
      </c>
      <c r="X35" s="18" t="s">
        <v>933</v>
      </c>
      <c r="Y35" s="18" t="s">
        <v>934</v>
      </c>
      <c r="Z35" s="18" t="s">
        <v>935</v>
      </c>
      <c r="AA35" s="18" t="s">
        <v>936</v>
      </c>
      <c r="AB35" s="18" t="s">
        <v>109</v>
      </c>
      <c r="AC35" s="18" t="s">
        <v>145</v>
      </c>
    </row>
    <row r="36" spans="1:29" ht="13.9">
      <c r="A36" s="17" t="s">
        <v>70</v>
      </c>
      <c r="B36" s="18" t="s">
        <v>210</v>
      </c>
      <c r="C36" s="18" t="s">
        <v>74</v>
      </c>
      <c r="D36" s="18" t="s">
        <v>886</v>
      </c>
      <c r="E36" s="18" t="s">
        <v>915</v>
      </c>
      <c r="F36" s="21" t="s">
        <v>79</v>
      </c>
      <c r="G36" s="66"/>
      <c r="H36" s="18" t="s">
        <v>133</v>
      </c>
      <c r="I36" s="18" t="s">
        <v>218</v>
      </c>
      <c r="J36" s="21" t="s">
        <v>79</v>
      </c>
      <c r="K36" s="18" t="s">
        <v>888</v>
      </c>
      <c r="L36" s="21" t="s">
        <v>79</v>
      </c>
      <c r="M36" s="21" t="s">
        <v>79</v>
      </c>
      <c r="N36" s="21" t="s">
        <v>79</v>
      </c>
      <c r="O36" s="18" t="s">
        <v>98</v>
      </c>
      <c r="P36" s="18" t="s">
        <v>890</v>
      </c>
      <c r="Q36" s="17" t="s">
        <v>938</v>
      </c>
      <c r="R36" s="18" t="s">
        <v>939</v>
      </c>
      <c r="S36" s="18" t="s">
        <v>940</v>
      </c>
      <c r="T36" s="17" t="s">
        <v>62</v>
      </c>
      <c r="U36" s="17" t="s">
        <v>62</v>
      </c>
      <c r="V36" s="18" t="s">
        <v>942</v>
      </c>
      <c r="W36" s="17" t="s">
        <v>943</v>
      </c>
      <c r="X36" s="18" t="s">
        <v>944</v>
      </c>
      <c r="Y36" s="18" t="s">
        <v>946</v>
      </c>
      <c r="Z36" s="18" t="s">
        <v>947</v>
      </c>
      <c r="AA36" s="18" t="s">
        <v>948</v>
      </c>
      <c r="AB36" s="18" t="s">
        <v>109</v>
      </c>
      <c r="AC36" s="18" t="s">
        <v>145</v>
      </c>
    </row>
    <row r="37" spans="1:29" ht="13.9">
      <c r="A37" s="17" t="s">
        <v>70</v>
      </c>
      <c r="B37" s="18" t="s">
        <v>210</v>
      </c>
      <c r="C37" s="18" t="s">
        <v>74</v>
      </c>
      <c r="D37" s="18" t="s">
        <v>213</v>
      </c>
      <c r="E37" s="18" t="s">
        <v>915</v>
      </c>
      <c r="F37" s="21" t="s">
        <v>79</v>
      </c>
      <c r="G37" s="66"/>
      <c r="H37" s="18" t="s">
        <v>133</v>
      </c>
      <c r="I37" s="18" t="s">
        <v>218</v>
      </c>
      <c r="J37" s="21" t="s">
        <v>79</v>
      </c>
      <c r="K37" s="18" t="s">
        <v>902</v>
      </c>
      <c r="L37" s="21" t="s">
        <v>79</v>
      </c>
      <c r="M37" s="21" t="s">
        <v>79</v>
      </c>
      <c r="N37" s="21" t="s">
        <v>79</v>
      </c>
      <c r="O37" s="18" t="s">
        <v>98</v>
      </c>
      <c r="P37" s="18" t="s">
        <v>224</v>
      </c>
      <c r="Q37" s="17" t="s">
        <v>952</v>
      </c>
      <c r="R37" s="18" t="s">
        <v>953</v>
      </c>
      <c r="S37" s="18" t="s">
        <v>954</v>
      </c>
      <c r="T37" s="17" t="s">
        <v>62</v>
      </c>
      <c r="U37" s="17" t="s">
        <v>62</v>
      </c>
      <c r="V37" s="18" t="s">
        <v>956</v>
      </c>
      <c r="W37" s="17" t="s">
        <v>957</v>
      </c>
      <c r="X37" s="18" t="s">
        <v>958</v>
      </c>
      <c r="Y37" s="18" t="s">
        <v>959</v>
      </c>
      <c r="Z37" s="18" t="s">
        <v>960</v>
      </c>
      <c r="AA37" s="18" t="s">
        <v>961</v>
      </c>
      <c r="AB37" s="18" t="s">
        <v>109</v>
      </c>
      <c r="AC37" s="18" t="s">
        <v>145</v>
      </c>
    </row>
    <row r="38" spans="1:29" ht="13.9">
      <c r="A38" s="17" t="s">
        <v>70</v>
      </c>
      <c r="B38" s="18" t="s">
        <v>210</v>
      </c>
      <c r="C38" s="18" t="s">
        <v>74</v>
      </c>
      <c r="D38" s="18" t="s">
        <v>853</v>
      </c>
      <c r="E38" s="18" t="s">
        <v>965</v>
      </c>
      <c r="F38" s="21" t="s">
        <v>79</v>
      </c>
      <c r="G38" s="66"/>
      <c r="H38" s="18" t="s">
        <v>133</v>
      </c>
      <c r="I38" s="18" t="s">
        <v>218</v>
      </c>
      <c r="J38" s="21" t="s">
        <v>79</v>
      </c>
      <c r="K38" s="18" t="s">
        <v>856</v>
      </c>
      <c r="L38" s="21" t="s">
        <v>79</v>
      </c>
      <c r="M38" s="21" t="s">
        <v>79</v>
      </c>
      <c r="N38" s="21" t="s">
        <v>79</v>
      </c>
      <c r="O38" s="18" t="s">
        <v>98</v>
      </c>
      <c r="P38" s="18" t="s">
        <v>857</v>
      </c>
      <c r="Q38" s="17" t="s">
        <v>967</v>
      </c>
      <c r="R38" s="18" t="s">
        <v>968</v>
      </c>
      <c r="S38" s="18" t="s">
        <v>970</v>
      </c>
      <c r="T38" s="17" t="s">
        <v>62</v>
      </c>
      <c r="U38" s="17" t="s">
        <v>62</v>
      </c>
      <c r="V38" s="18" t="s">
        <v>107</v>
      </c>
      <c r="W38" s="17" t="s">
        <v>971</v>
      </c>
      <c r="X38" s="18" t="s">
        <v>973</v>
      </c>
      <c r="Y38" s="18" t="s">
        <v>974</v>
      </c>
      <c r="Z38" s="18" t="s">
        <v>975</v>
      </c>
      <c r="AA38" s="18" t="s">
        <v>976</v>
      </c>
      <c r="AB38" s="18" t="s">
        <v>109</v>
      </c>
      <c r="AC38" s="18" t="s">
        <v>145</v>
      </c>
    </row>
    <row r="39" spans="1:29" ht="13.9">
      <c r="A39" s="17" t="s">
        <v>70</v>
      </c>
      <c r="B39" s="18" t="s">
        <v>210</v>
      </c>
      <c r="C39" s="18" t="s">
        <v>74</v>
      </c>
      <c r="D39" s="18" t="s">
        <v>868</v>
      </c>
      <c r="E39" s="18" t="s">
        <v>965</v>
      </c>
      <c r="F39" s="21" t="s">
        <v>79</v>
      </c>
      <c r="G39" s="66"/>
      <c r="H39" s="18" t="s">
        <v>133</v>
      </c>
      <c r="I39" s="18" t="s">
        <v>218</v>
      </c>
      <c r="J39" s="21" t="s">
        <v>79</v>
      </c>
      <c r="K39" s="18" t="s">
        <v>870</v>
      </c>
      <c r="L39" s="21" t="s">
        <v>79</v>
      </c>
      <c r="M39" s="21" t="s">
        <v>79</v>
      </c>
      <c r="N39" s="21" t="s">
        <v>79</v>
      </c>
      <c r="O39" s="18" t="s">
        <v>98</v>
      </c>
      <c r="P39" s="18" t="s">
        <v>872</v>
      </c>
      <c r="Q39" s="17" t="s">
        <v>978</v>
      </c>
      <c r="R39" s="18" t="s">
        <v>979</v>
      </c>
      <c r="S39" s="18" t="s">
        <v>980</v>
      </c>
      <c r="T39" s="17" t="s">
        <v>62</v>
      </c>
      <c r="U39" s="17" t="s">
        <v>62</v>
      </c>
      <c r="V39" s="18" t="s">
        <v>931</v>
      </c>
      <c r="W39" s="17" t="s">
        <v>981</v>
      </c>
      <c r="X39" s="18" t="s">
        <v>982</v>
      </c>
      <c r="Y39" s="18" t="s">
        <v>974</v>
      </c>
      <c r="Z39" s="18" t="s">
        <v>983</v>
      </c>
      <c r="AA39" s="18" t="s">
        <v>984</v>
      </c>
      <c r="AB39" s="18" t="s">
        <v>109</v>
      </c>
      <c r="AC39" s="18" t="s">
        <v>145</v>
      </c>
    </row>
    <row r="40" spans="1:29" ht="13.9">
      <c r="A40" s="17" t="s">
        <v>70</v>
      </c>
      <c r="B40" s="18" t="s">
        <v>210</v>
      </c>
      <c r="C40" s="18" t="s">
        <v>74</v>
      </c>
      <c r="D40" s="18" t="s">
        <v>886</v>
      </c>
      <c r="E40" s="18" t="s">
        <v>965</v>
      </c>
      <c r="F40" s="21" t="s">
        <v>79</v>
      </c>
      <c r="G40" s="66"/>
      <c r="H40" s="18" t="s">
        <v>133</v>
      </c>
      <c r="I40" s="18" t="s">
        <v>218</v>
      </c>
      <c r="J40" s="21" t="s">
        <v>79</v>
      </c>
      <c r="K40" s="18" t="s">
        <v>888</v>
      </c>
      <c r="L40" s="21" t="s">
        <v>79</v>
      </c>
      <c r="M40" s="21" t="s">
        <v>79</v>
      </c>
      <c r="N40" s="21" t="s">
        <v>79</v>
      </c>
      <c r="O40" s="18" t="s">
        <v>98</v>
      </c>
      <c r="P40" s="18" t="s">
        <v>890</v>
      </c>
      <c r="Q40" s="17" t="s">
        <v>988</v>
      </c>
      <c r="R40" s="18" t="s">
        <v>989</v>
      </c>
      <c r="S40" s="18" t="s">
        <v>990</v>
      </c>
      <c r="T40" s="17" t="s">
        <v>62</v>
      </c>
      <c r="U40" s="17" t="s">
        <v>62</v>
      </c>
      <c r="V40" s="18" t="s">
        <v>400</v>
      </c>
      <c r="W40" s="17" t="s">
        <v>991</v>
      </c>
      <c r="X40" s="18" t="s">
        <v>992</v>
      </c>
      <c r="Y40" s="18" t="s">
        <v>993</v>
      </c>
      <c r="Z40" s="18" t="s">
        <v>994</v>
      </c>
      <c r="AA40" s="18" t="s">
        <v>995</v>
      </c>
      <c r="AB40" s="18" t="s">
        <v>109</v>
      </c>
      <c r="AC40" s="18" t="s">
        <v>145</v>
      </c>
    </row>
    <row r="41" spans="1:29" ht="13.9">
      <c r="A41" s="17" t="s">
        <v>70</v>
      </c>
      <c r="B41" s="18" t="s">
        <v>210</v>
      </c>
      <c r="C41" s="18" t="s">
        <v>74</v>
      </c>
      <c r="D41" s="18" t="s">
        <v>213</v>
      </c>
      <c r="E41" s="18" t="s">
        <v>965</v>
      </c>
      <c r="F41" s="21" t="s">
        <v>79</v>
      </c>
      <c r="G41" s="66"/>
      <c r="H41" s="18" t="s">
        <v>133</v>
      </c>
      <c r="I41" s="18" t="s">
        <v>218</v>
      </c>
      <c r="J41" s="21" t="s">
        <v>79</v>
      </c>
      <c r="K41" s="18" t="s">
        <v>902</v>
      </c>
      <c r="L41" s="21" t="s">
        <v>79</v>
      </c>
      <c r="M41" s="21" t="s">
        <v>79</v>
      </c>
      <c r="N41" s="21" t="s">
        <v>79</v>
      </c>
      <c r="O41" s="18" t="s">
        <v>98</v>
      </c>
      <c r="P41" s="18" t="s">
        <v>224</v>
      </c>
      <c r="Q41" s="17" t="s">
        <v>996</v>
      </c>
      <c r="R41" s="18" t="s">
        <v>997</v>
      </c>
      <c r="S41" s="18" t="s">
        <v>998</v>
      </c>
      <c r="T41" s="17" t="s">
        <v>62</v>
      </c>
      <c r="U41" s="17" t="s">
        <v>62</v>
      </c>
      <c r="V41" s="18" t="s">
        <v>107</v>
      </c>
      <c r="W41" s="17" t="s">
        <v>999</v>
      </c>
      <c r="X41" s="18" t="s">
        <v>1000</v>
      </c>
      <c r="Y41" s="18" t="s">
        <v>1001</v>
      </c>
      <c r="Z41" s="18" t="s">
        <v>1002</v>
      </c>
      <c r="AA41" s="18" t="s">
        <v>1003</v>
      </c>
      <c r="AB41" s="18" t="s">
        <v>109</v>
      </c>
      <c r="AC41" s="18" t="s">
        <v>145</v>
      </c>
    </row>
    <row r="42" spans="1:29" ht="13.9">
      <c r="A42" s="66" t="s">
        <v>70</v>
      </c>
      <c r="B42" s="71" t="s">
        <v>210</v>
      </c>
      <c r="C42" s="71" t="s">
        <v>74</v>
      </c>
      <c r="D42" s="71" t="s">
        <v>853</v>
      </c>
      <c r="E42" s="71" t="s">
        <v>1007</v>
      </c>
      <c r="F42" s="71" t="s">
        <v>1008</v>
      </c>
      <c r="G42" s="66"/>
      <c r="H42" s="71" t="s">
        <v>133</v>
      </c>
      <c r="I42" s="71" t="s">
        <v>218</v>
      </c>
      <c r="J42" s="71" t="s">
        <v>1009</v>
      </c>
      <c r="K42" s="71" t="s">
        <v>1010</v>
      </c>
      <c r="L42" s="71"/>
      <c r="M42" s="71"/>
      <c r="N42" s="71"/>
      <c r="O42" s="71" t="s">
        <v>98</v>
      </c>
      <c r="P42" s="71" t="s">
        <v>857</v>
      </c>
      <c r="Q42" s="66" t="s">
        <v>1011</v>
      </c>
      <c r="R42" s="71" t="s">
        <v>1012</v>
      </c>
      <c r="S42" s="71" t="s">
        <v>1013</v>
      </c>
      <c r="T42" s="66"/>
      <c r="U42" s="71"/>
      <c r="V42" s="71"/>
      <c r="W42" s="66"/>
      <c r="X42" s="71"/>
      <c r="Y42" s="71" t="s">
        <v>1014</v>
      </c>
      <c r="Z42" s="71"/>
      <c r="AA42" s="71"/>
      <c r="AB42" s="71" t="s">
        <v>109</v>
      </c>
      <c r="AC42" s="71" t="s">
        <v>145</v>
      </c>
    </row>
    <row r="43" spans="1:29" ht="13.9">
      <c r="A43" s="66" t="s">
        <v>70</v>
      </c>
      <c r="B43" s="71" t="s">
        <v>210</v>
      </c>
      <c r="C43" s="71" t="s">
        <v>74</v>
      </c>
      <c r="D43" s="71" t="s">
        <v>868</v>
      </c>
      <c r="E43" s="71" t="s">
        <v>1007</v>
      </c>
      <c r="F43" s="71" t="s">
        <v>1019</v>
      </c>
      <c r="G43" s="66"/>
      <c r="H43" s="71" t="s">
        <v>133</v>
      </c>
      <c r="I43" s="71" t="s">
        <v>218</v>
      </c>
      <c r="J43" s="71" t="s">
        <v>1009</v>
      </c>
      <c r="K43" s="71" t="s">
        <v>1020</v>
      </c>
      <c r="L43" s="71"/>
      <c r="M43" s="71"/>
      <c r="N43" s="71"/>
      <c r="O43" s="71" t="s">
        <v>98</v>
      </c>
      <c r="P43" s="71" t="s">
        <v>872</v>
      </c>
      <c r="Q43" s="66" t="s">
        <v>1022</v>
      </c>
      <c r="R43" s="71" t="s">
        <v>1024</v>
      </c>
      <c r="S43" s="71" t="s">
        <v>1025</v>
      </c>
      <c r="T43" s="66"/>
      <c r="U43" s="71"/>
      <c r="V43" s="71"/>
      <c r="W43" s="66"/>
      <c r="X43" s="71"/>
      <c r="Y43" s="71" t="s">
        <v>1014</v>
      </c>
      <c r="Z43" s="71"/>
      <c r="AA43" s="71"/>
      <c r="AB43" s="71" t="s">
        <v>109</v>
      </c>
      <c r="AC43" s="71" t="s">
        <v>145</v>
      </c>
    </row>
    <row r="44" spans="1:29" ht="13.9">
      <c r="A44" s="66" t="s">
        <v>70</v>
      </c>
      <c r="B44" s="71" t="s">
        <v>210</v>
      </c>
      <c r="C44" s="71" t="s">
        <v>74</v>
      </c>
      <c r="D44" s="71" t="s">
        <v>886</v>
      </c>
      <c r="E44" s="71" t="s">
        <v>1007</v>
      </c>
      <c r="F44" s="71" t="s">
        <v>1027</v>
      </c>
      <c r="G44" s="66"/>
      <c r="H44" s="71" t="s">
        <v>133</v>
      </c>
      <c r="I44" s="71" t="s">
        <v>218</v>
      </c>
      <c r="J44" s="71" t="s">
        <v>1009</v>
      </c>
      <c r="K44" s="71" t="s">
        <v>1028</v>
      </c>
      <c r="L44" s="71"/>
      <c r="M44" s="71"/>
      <c r="N44" s="71"/>
      <c r="O44" s="71" t="s">
        <v>98</v>
      </c>
      <c r="P44" s="71" t="s">
        <v>890</v>
      </c>
      <c r="Q44" s="66" t="s">
        <v>1029</v>
      </c>
      <c r="R44" s="71" t="s">
        <v>1030</v>
      </c>
      <c r="S44" s="71" t="s">
        <v>1031</v>
      </c>
      <c r="T44" s="66"/>
      <c r="U44" s="71"/>
      <c r="V44" s="71"/>
      <c r="W44" s="66"/>
      <c r="X44" s="71"/>
      <c r="Y44" s="71" t="s">
        <v>1014</v>
      </c>
      <c r="Z44" s="71"/>
      <c r="AA44" s="71"/>
      <c r="AB44" s="71" t="s">
        <v>109</v>
      </c>
      <c r="AC44" s="71" t="s">
        <v>145</v>
      </c>
    </row>
    <row r="45" spans="1:29" ht="13.9">
      <c r="A45" s="66" t="s">
        <v>70</v>
      </c>
      <c r="B45" s="71" t="s">
        <v>210</v>
      </c>
      <c r="C45" s="71" t="s">
        <v>74</v>
      </c>
      <c r="D45" s="71" t="s">
        <v>213</v>
      </c>
      <c r="E45" s="71" t="s">
        <v>1007</v>
      </c>
      <c r="F45" s="71" t="s">
        <v>217</v>
      </c>
      <c r="G45" s="66"/>
      <c r="H45" s="71" t="s">
        <v>133</v>
      </c>
      <c r="I45" s="71" t="s">
        <v>218</v>
      </c>
      <c r="J45" s="71" t="s">
        <v>1009</v>
      </c>
      <c r="K45" s="71" t="s">
        <v>1033</v>
      </c>
      <c r="L45" s="71"/>
      <c r="M45" s="71"/>
      <c r="N45" s="71"/>
      <c r="O45" s="71" t="s">
        <v>98</v>
      </c>
      <c r="P45" s="71" t="s">
        <v>224</v>
      </c>
      <c r="Q45" s="66" t="s">
        <v>1034</v>
      </c>
      <c r="R45" s="71" t="s">
        <v>1035</v>
      </c>
      <c r="S45" s="71" t="s">
        <v>1036</v>
      </c>
      <c r="T45" s="66"/>
      <c r="U45" s="71"/>
      <c r="V45" s="71"/>
      <c r="W45" s="66"/>
      <c r="X45" s="71"/>
      <c r="Y45" s="71" t="s">
        <v>1014</v>
      </c>
      <c r="Z45" s="71"/>
      <c r="AA45" s="71"/>
      <c r="AB45" s="71" t="s">
        <v>109</v>
      </c>
      <c r="AC45" s="71" t="s">
        <v>145</v>
      </c>
    </row>
    <row r="46" spans="1:29" ht="13.9">
      <c r="A46" s="66" t="s">
        <v>70</v>
      </c>
      <c r="B46" s="71" t="s">
        <v>210</v>
      </c>
      <c r="C46" s="71" t="s">
        <v>74</v>
      </c>
      <c r="D46" s="71" t="s">
        <v>853</v>
      </c>
      <c r="E46" s="71" t="s">
        <v>1039</v>
      </c>
      <c r="F46" s="71" t="s">
        <v>1008</v>
      </c>
      <c r="G46" s="66"/>
      <c r="H46" s="71" t="s">
        <v>133</v>
      </c>
      <c r="I46" s="71" t="s">
        <v>218</v>
      </c>
      <c r="J46" s="71" t="s">
        <v>1040</v>
      </c>
      <c r="K46" s="71" t="s">
        <v>1041</v>
      </c>
      <c r="L46" s="71"/>
      <c r="M46" s="71"/>
      <c r="N46" s="71"/>
      <c r="O46" s="71" t="s">
        <v>98</v>
      </c>
      <c r="P46" s="71" t="s">
        <v>857</v>
      </c>
      <c r="Q46" s="66" t="s">
        <v>1042</v>
      </c>
      <c r="R46" s="71" t="s">
        <v>1043</v>
      </c>
      <c r="S46" s="71" t="s">
        <v>1044</v>
      </c>
      <c r="T46" s="66"/>
      <c r="U46" s="71"/>
      <c r="V46" s="71"/>
      <c r="W46" s="66"/>
      <c r="X46" s="71"/>
      <c r="Y46" s="71" t="s">
        <v>1014</v>
      </c>
      <c r="Z46" s="71"/>
      <c r="AA46" s="71"/>
      <c r="AB46" s="71" t="s">
        <v>109</v>
      </c>
      <c r="AC46" s="71" t="s">
        <v>145</v>
      </c>
    </row>
    <row r="47" spans="1:29" ht="13.9">
      <c r="A47" s="66" t="s">
        <v>70</v>
      </c>
      <c r="B47" s="71" t="s">
        <v>210</v>
      </c>
      <c r="C47" s="71" t="s">
        <v>74</v>
      </c>
      <c r="D47" s="71" t="s">
        <v>868</v>
      </c>
      <c r="E47" s="71" t="s">
        <v>1039</v>
      </c>
      <c r="F47" s="71" t="s">
        <v>1019</v>
      </c>
      <c r="G47" s="66"/>
      <c r="H47" s="71" t="s">
        <v>133</v>
      </c>
      <c r="I47" s="71" t="s">
        <v>218</v>
      </c>
      <c r="J47" s="71" t="s">
        <v>1040</v>
      </c>
      <c r="K47" s="71" t="s">
        <v>1048</v>
      </c>
      <c r="L47" s="71"/>
      <c r="M47" s="71"/>
      <c r="N47" s="71"/>
      <c r="O47" s="71" t="s">
        <v>98</v>
      </c>
      <c r="P47" s="71" t="s">
        <v>872</v>
      </c>
      <c r="Q47" s="66" t="s">
        <v>1049</v>
      </c>
      <c r="R47" s="71" t="s">
        <v>1050</v>
      </c>
      <c r="S47" s="71" t="s">
        <v>1051</v>
      </c>
      <c r="T47" s="66"/>
      <c r="U47" s="71"/>
      <c r="V47" s="71"/>
      <c r="W47" s="66"/>
      <c r="X47" s="71"/>
      <c r="Y47" s="71" t="s">
        <v>1014</v>
      </c>
      <c r="Z47" s="71"/>
      <c r="AA47" s="71"/>
      <c r="AB47" s="71" t="s">
        <v>109</v>
      </c>
      <c r="AC47" s="71" t="s">
        <v>145</v>
      </c>
    </row>
    <row r="48" spans="1:29" ht="13.9">
      <c r="A48" s="66" t="s">
        <v>70</v>
      </c>
      <c r="B48" s="71" t="s">
        <v>210</v>
      </c>
      <c r="C48" s="71" t="s">
        <v>74</v>
      </c>
      <c r="D48" s="71" t="s">
        <v>886</v>
      </c>
      <c r="E48" s="71" t="s">
        <v>1039</v>
      </c>
      <c r="F48" s="71" t="s">
        <v>1027</v>
      </c>
      <c r="G48" s="66"/>
      <c r="H48" s="71" t="s">
        <v>133</v>
      </c>
      <c r="I48" s="71" t="s">
        <v>218</v>
      </c>
      <c r="J48" s="71" t="s">
        <v>1040</v>
      </c>
      <c r="K48" s="71" t="s">
        <v>1055</v>
      </c>
      <c r="L48" s="71"/>
      <c r="M48" s="71"/>
      <c r="N48" s="71"/>
      <c r="O48" s="71" t="s">
        <v>98</v>
      </c>
      <c r="P48" s="71" t="s">
        <v>890</v>
      </c>
      <c r="Q48" s="66" t="s">
        <v>1011</v>
      </c>
      <c r="R48" s="71" t="s">
        <v>1057</v>
      </c>
      <c r="S48" s="71" t="s">
        <v>1059</v>
      </c>
      <c r="T48" s="66"/>
      <c r="U48" s="71"/>
      <c r="V48" s="71"/>
      <c r="W48" s="66"/>
      <c r="X48" s="71"/>
      <c r="Y48" s="71" t="s">
        <v>1014</v>
      </c>
      <c r="Z48" s="71"/>
      <c r="AA48" s="71"/>
      <c r="AB48" s="71" t="s">
        <v>109</v>
      </c>
      <c r="AC48" s="71" t="s">
        <v>145</v>
      </c>
    </row>
    <row r="49" spans="1:29" ht="13.9">
      <c r="A49" s="66" t="s">
        <v>70</v>
      </c>
      <c r="B49" s="71" t="s">
        <v>210</v>
      </c>
      <c r="C49" s="71" t="s">
        <v>74</v>
      </c>
      <c r="D49" s="71" t="s">
        <v>213</v>
      </c>
      <c r="E49" s="71" t="s">
        <v>1039</v>
      </c>
      <c r="F49" s="71" t="s">
        <v>217</v>
      </c>
      <c r="G49" s="66"/>
      <c r="H49" s="71" t="s">
        <v>133</v>
      </c>
      <c r="I49" s="71" t="s">
        <v>218</v>
      </c>
      <c r="J49" s="71" t="s">
        <v>1040</v>
      </c>
      <c r="K49" s="71" t="s">
        <v>1061</v>
      </c>
      <c r="L49" s="71"/>
      <c r="M49" s="71"/>
      <c r="N49" s="71"/>
      <c r="O49" s="71" t="s">
        <v>98</v>
      </c>
      <c r="P49" s="71" t="s">
        <v>224</v>
      </c>
      <c r="Q49" s="66" t="s">
        <v>1062</v>
      </c>
      <c r="R49" s="71" t="s">
        <v>1063</v>
      </c>
      <c r="S49" s="71" t="s">
        <v>1064</v>
      </c>
      <c r="T49" s="66"/>
      <c r="U49" s="71"/>
      <c r="V49" s="71"/>
      <c r="W49" s="66"/>
      <c r="X49" s="71"/>
      <c r="Y49" s="71" t="s">
        <v>1014</v>
      </c>
      <c r="Z49" s="71"/>
      <c r="AA49" s="71"/>
      <c r="AB49" s="71" t="s">
        <v>109</v>
      </c>
      <c r="AC49" s="71" t="s">
        <v>145</v>
      </c>
    </row>
    <row r="50" spans="1:29" ht="13.9">
      <c r="A50" s="66" t="s">
        <v>70</v>
      </c>
      <c r="B50" s="71" t="s">
        <v>210</v>
      </c>
      <c r="C50" s="71" t="s">
        <v>74</v>
      </c>
      <c r="D50" s="71" t="s">
        <v>853</v>
      </c>
      <c r="E50" s="71" t="s">
        <v>1068</v>
      </c>
      <c r="F50" s="71" t="s">
        <v>1008</v>
      </c>
      <c r="G50" s="66"/>
      <c r="H50" s="71" t="s">
        <v>133</v>
      </c>
      <c r="I50" s="71" t="s">
        <v>218</v>
      </c>
      <c r="J50" s="71" t="s">
        <v>1069</v>
      </c>
      <c r="K50" s="71" t="s">
        <v>281</v>
      </c>
      <c r="L50" s="71"/>
      <c r="M50" s="71"/>
      <c r="N50" s="71"/>
      <c r="O50" s="71" t="s">
        <v>98</v>
      </c>
      <c r="P50" s="71" t="s">
        <v>857</v>
      </c>
      <c r="Q50" s="66" t="s">
        <v>1070</v>
      </c>
      <c r="R50" s="71" t="s">
        <v>1071</v>
      </c>
      <c r="S50" s="71" t="s">
        <v>1072</v>
      </c>
      <c r="T50" s="66"/>
      <c r="U50" s="71"/>
      <c r="V50" s="71"/>
      <c r="W50" s="66"/>
      <c r="X50" s="71"/>
      <c r="Y50" s="71" t="s">
        <v>1014</v>
      </c>
      <c r="Z50" s="71"/>
      <c r="AA50" s="71"/>
      <c r="AB50" s="71" t="s">
        <v>109</v>
      </c>
      <c r="AC50" s="71" t="s">
        <v>145</v>
      </c>
    </row>
    <row r="51" spans="1:29" ht="13.9">
      <c r="A51" s="66" t="s">
        <v>70</v>
      </c>
      <c r="B51" s="71" t="s">
        <v>210</v>
      </c>
      <c r="C51" s="71" t="s">
        <v>74</v>
      </c>
      <c r="D51" s="71" t="s">
        <v>868</v>
      </c>
      <c r="E51" s="71" t="s">
        <v>1068</v>
      </c>
      <c r="F51" s="71" t="s">
        <v>1019</v>
      </c>
      <c r="G51" s="66"/>
      <c r="H51" s="71" t="s">
        <v>133</v>
      </c>
      <c r="I51" s="71" t="s">
        <v>218</v>
      </c>
      <c r="J51" s="71" t="s">
        <v>1069</v>
      </c>
      <c r="K51" s="71" t="s">
        <v>1076</v>
      </c>
      <c r="L51" s="71"/>
      <c r="M51" s="71"/>
      <c r="N51" s="71"/>
      <c r="O51" s="71" t="s">
        <v>98</v>
      </c>
      <c r="P51" s="71" t="s">
        <v>872</v>
      </c>
      <c r="Q51" s="66" t="s">
        <v>1070</v>
      </c>
      <c r="R51" s="71" t="s">
        <v>1071</v>
      </c>
      <c r="S51" s="71" t="s">
        <v>1077</v>
      </c>
      <c r="T51" s="66"/>
      <c r="U51" s="71"/>
      <c r="V51" s="71"/>
      <c r="W51" s="66"/>
      <c r="X51" s="71"/>
      <c r="Y51" s="71" t="s">
        <v>1014</v>
      </c>
      <c r="Z51" s="71"/>
      <c r="AA51" s="71"/>
      <c r="AB51" s="71" t="s">
        <v>109</v>
      </c>
      <c r="AC51" s="71" t="s">
        <v>145</v>
      </c>
    </row>
    <row r="52" spans="1:29" ht="13.9">
      <c r="A52" s="66" t="s">
        <v>70</v>
      </c>
      <c r="B52" s="71" t="s">
        <v>210</v>
      </c>
      <c r="C52" s="71" t="s">
        <v>74</v>
      </c>
      <c r="D52" s="71" t="s">
        <v>886</v>
      </c>
      <c r="E52" s="71" t="s">
        <v>1068</v>
      </c>
      <c r="F52" s="71" t="s">
        <v>1027</v>
      </c>
      <c r="G52" s="66"/>
      <c r="H52" s="71" t="s">
        <v>133</v>
      </c>
      <c r="I52" s="71" t="s">
        <v>218</v>
      </c>
      <c r="J52" s="71" t="s">
        <v>1069</v>
      </c>
      <c r="K52" s="71" t="s">
        <v>1082</v>
      </c>
      <c r="L52" s="71"/>
      <c r="M52" s="71"/>
      <c r="N52" s="71"/>
      <c r="O52" s="71" t="s">
        <v>98</v>
      </c>
      <c r="P52" s="71" t="s">
        <v>890</v>
      </c>
      <c r="Q52" s="66" t="s">
        <v>1070</v>
      </c>
      <c r="R52" s="71" t="s">
        <v>1071</v>
      </c>
      <c r="S52" s="71" t="s">
        <v>1090</v>
      </c>
      <c r="T52" s="66"/>
      <c r="U52" s="71"/>
      <c r="V52" s="71"/>
      <c r="W52" s="66"/>
      <c r="X52" s="71"/>
      <c r="Y52" s="71" t="s">
        <v>1014</v>
      </c>
      <c r="Z52" s="71"/>
      <c r="AA52" s="71"/>
      <c r="AB52" s="71" t="s">
        <v>109</v>
      </c>
      <c r="AC52" s="71" t="s">
        <v>145</v>
      </c>
    </row>
    <row r="53" spans="1:29" ht="13.9">
      <c r="A53" s="66" t="s">
        <v>70</v>
      </c>
      <c r="B53" s="71" t="s">
        <v>210</v>
      </c>
      <c r="C53" s="71" t="s">
        <v>74</v>
      </c>
      <c r="D53" s="71" t="s">
        <v>213</v>
      </c>
      <c r="E53" s="71" t="s">
        <v>1068</v>
      </c>
      <c r="F53" s="71" t="s">
        <v>217</v>
      </c>
      <c r="G53" s="66"/>
      <c r="H53" s="71" t="s">
        <v>133</v>
      </c>
      <c r="I53" s="71" t="s">
        <v>218</v>
      </c>
      <c r="J53" s="71" t="s">
        <v>1069</v>
      </c>
      <c r="K53" s="71" t="s">
        <v>1095</v>
      </c>
      <c r="L53" s="71"/>
      <c r="M53" s="71"/>
      <c r="N53" s="71"/>
      <c r="O53" s="71" t="s">
        <v>98</v>
      </c>
      <c r="P53" s="71" t="s">
        <v>224</v>
      </c>
      <c r="Q53" s="66" t="s">
        <v>1022</v>
      </c>
      <c r="R53" s="71" t="s">
        <v>1097</v>
      </c>
      <c r="S53" s="71" t="s">
        <v>1098</v>
      </c>
      <c r="T53" s="66"/>
      <c r="U53" s="71"/>
      <c r="V53" s="71"/>
      <c r="W53" s="66"/>
      <c r="X53" s="71"/>
      <c r="Y53" s="71" t="s">
        <v>1014</v>
      </c>
      <c r="Z53" s="71"/>
      <c r="AA53" s="71"/>
      <c r="AB53" s="71" t="s">
        <v>109</v>
      </c>
      <c r="AC53" s="71" t="s">
        <v>145</v>
      </c>
    </row>
    <row r="54" spans="1:29" ht="13.9">
      <c r="A54" s="66" t="s">
        <v>70</v>
      </c>
      <c r="B54" s="71" t="s">
        <v>210</v>
      </c>
      <c r="C54" s="71" t="s">
        <v>74</v>
      </c>
      <c r="D54" s="71" t="s">
        <v>853</v>
      </c>
      <c r="E54" s="71" t="s">
        <v>1100</v>
      </c>
      <c r="F54" s="71" t="s">
        <v>1008</v>
      </c>
      <c r="G54" s="66"/>
      <c r="H54" s="71" t="s">
        <v>133</v>
      </c>
      <c r="I54" s="71" t="s">
        <v>218</v>
      </c>
      <c r="J54" s="71" t="s">
        <v>1101</v>
      </c>
      <c r="K54" s="71" t="s">
        <v>1102</v>
      </c>
      <c r="L54" s="71"/>
      <c r="M54" s="71"/>
      <c r="N54" s="71"/>
      <c r="O54" s="71" t="s">
        <v>98</v>
      </c>
      <c r="P54" s="71" t="s">
        <v>857</v>
      </c>
      <c r="Q54" s="66" t="s">
        <v>1105</v>
      </c>
      <c r="R54" s="71" t="s">
        <v>1106</v>
      </c>
      <c r="S54" s="71" t="s">
        <v>1107</v>
      </c>
      <c r="T54" s="66"/>
      <c r="U54" s="71"/>
      <c r="V54" s="71" t="s">
        <v>1108</v>
      </c>
      <c r="W54" s="66" t="s">
        <v>1109</v>
      </c>
      <c r="X54" s="71" t="s">
        <v>1110</v>
      </c>
      <c r="Y54" s="71" t="s">
        <v>1112</v>
      </c>
      <c r="Z54" s="71" t="s">
        <v>1113</v>
      </c>
      <c r="AA54" s="71" t="s">
        <v>1114</v>
      </c>
      <c r="AB54" s="71" t="s">
        <v>109</v>
      </c>
      <c r="AC54" s="71" t="s">
        <v>145</v>
      </c>
    </row>
    <row r="55" spans="1:29" ht="13.9">
      <c r="A55" s="66" t="s">
        <v>70</v>
      </c>
      <c r="B55" s="71" t="s">
        <v>210</v>
      </c>
      <c r="C55" s="71" t="s">
        <v>74</v>
      </c>
      <c r="D55" s="71" t="s">
        <v>868</v>
      </c>
      <c r="E55" s="71" t="s">
        <v>1100</v>
      </c>
      <c r="F55" s="71" t="s">
        <v>1019</v>
      </c>
      <c r="G55" s="66"/>
      <c r="H55" s="71" t="s">
        <v>133</v>
      </c>
      <c r="I55" s="71" t="s">
        <v>218</v>
      </c>
      <c r="J55" s="71" t="s">
        <v>1101</v>
      </c>
      <c r="K55" s="71" t="s">
        <v>1117</v>
      </c>
      <c r="L55" s="71"/>
      <c r="M55" s="71"/>
      <c r="N55" s="71"/>
      <c r="O55" s="71" t="s">
        <v>98</v>
      </c>
      <c r="P55" s="71" t="s">
        <v>872</v>
      </c>
      <c r="Q55" s="66" t="s">
        <v>1118</v>
      </c>
      <c r="R55" s="71" t="s">
        <v>1119</v>
      </c>
      <c r="S55" s="71" t="s">
        <v>1120</v>
      </c>
      <c r="T55" s="66"/>
      <c r="U55" s="71"/>
      <c r="V55" s="71" t="s">
        <v>1121</v>
      </c>
      <c r="W55" s="66" t="s">
        <v>1122</v>
      </c>
      <c r="X55" s="71" t="s">
        <v>1123</v>
      </c>
      <c r="Y55" s="71" t="s">
        <v>1124</v>
      </c>
      <c r="Z55" s="71" t="s">
        <v>1125</v>
      </c>
      <c r="AA55" s="71" t="s">
        <v>1126</v>
      </c>
      <c r="AB55" s="71" t="s">
        <v>109</v>
      </c>
      <c r="AC55" s="71" t="s">
        <v>145</v>
      </c>
    </row>
    <row r="56" spans="1:29" ht="13.9">
      <c r="A56" s="66" t="s">
        <v>70</v>
      </c>
      <c r="B56" s="71" t="s">
        <v>210</v>
      </c>
      <c r="C56" s="71" t="s">
        <v>74</v>
      </c>
      <c r="D56" s="71" t="s">
        <v>886</v>
      </c>
      <c r="E56" s="71" t="s">
        <v>1100</v>
      </c>
      <c r="F56" s="71" t="s">
        <v>1027</v>
      </c>
      <c r="G56" s="66"/>
      <c r="H56" s="71" t="s">
        <v>133</v>
      </c>
      <c r="I56" s="71" t="s">
        <v>218</v>
      </c>
      <c r="J56" s="71" t="s">
        <v>1101</v>
      </c>
      <c r="K56" s="71" t="s">
        <v>1128</v>
      </c>
      <c r="L56" s="71"/>
      <c r="M56" s="71"/>
      <c r="N56" s="71"/>
      <c r="O56" s="71" t="s">
        <v>98</v>
      </c>
      <c r="P56" s="71" t="s">
        <v>890</v>
      </c>
      <c r="Q56" s="66" t="s">
        <v>1129</v>
      </c>
      <c r="R56" s="71" t="s">
        <v>1130</v>
      </c>
      <c r="S56" s="71" t="s">
        <v>1131</v>
      </c>
      <c r="T56" s="66"/>
      <c r="U56" s="71"/>
      <c r="V56" s="71" t="s">
        <v>400</v>
      </c>
      <c r="W56" s="66" t="s">
        <v>1132</v>
      </c>
      <c r="X56" s="71" t="s">
        <v>1133</v>
      </c>
      <c r="Y56" s="71" t="s">
        <v>1134</v>
      </c>
      <c r="Z56" s="71" t="s">
        <v>1135</v>
      </c>
      <c r="AA56" s="71" t="s">
        <v>1136</v>
      </c>
      <c r="AB56" s="71" t="s">
        <v>109</v>
      </c>
      <c r="AC56" s="71" t="s">
        <v>145</v>
      </c>
    </row>
    <row r="57" spans="1:29" ht="13.9">
      <c r="A57" s="66" t="s">
        <v>70</v>
      </c>
      <c r="B57" s="71" t="s">
        <v>210</v>
      </c>
      <c r="C57" s="71" t="s">
        <v>74</v>
      </c>
      <c r="D57" s="71" t="s">
        <v>213</v>
      </c>
      <c r="E57" s="71" t="s">
        <v>1100</v>
      </c>
      <c r="F57" s="71" t="s">
        <v>217</v>
      </c>
      <c r="G57" s="66"/>
      <c r="H57" s="71" t="s">
        <v>133</v>
      </c>
      <c r="I57" s="71" t="s">
        <v>218</v>
      </c>
      <c r="J57" s="71" t="s">
        <v>1101</v>
      </c>
      <c r="K57" s="71" t="s">
        <v>1061</v>
      </c>
      <c r="L57" s="71"/>
      <c r="M57" s="71"/>
      <c r="N57" s="71"/>
      <c r="O57" s="71" t="s">
        <v>98</v>
      </c>
      <c r="P57" s="71" t="s">
        <v>224</v>
      </c>
      <c r="Q57" s="66" t="s">
        <v>1137</v>
      </c>
      <c r="R57" s="71" t="s">
        <v>1138</v>
      </c>
      <c r="S57" s="71" t="s">
        <v>1140</v>
      </c>
      <c r="T57" s="66"/>
      <c r="U57" s="71"/>
      <c r="V57" s="71" t="s">
        <v>1134</v>
      </c>
      <c r="W57" s="66" t="s">
        <v>1141</v>
      </c>
      <c r="X57" s="71" t="s">
        <v>1142</v>
      </c>
      <c r="Y57" s="71" t="s">
        <v>1143</v>
      </c>
      <c r="Z57" s="71" t="s">
        <v>1144</v>
      </c>
      <c r="AA57" s="71" t="s">
        <v>1146</v>
      </c>
      <c r="AB57" s="71" t="s">
        <v>109</v>
      </c>
      <c r="AC57" s="71" t="s">
        <v>145</v>
      </c>
    </row>
    <row r="58" spans="1:29" ht="13.9">
      <c r="A58" s="66" t="s">
        <v>70</v>
      </c>
      <c r="B58" s="71" t="s">
        <v>210</v>
      </c>
      <c r="C58" s="71" t="s">
        <v>74</v>
      </c>
      <c r="D58" s="71" t="s">
        <v>853</v>
      </c>
      <c r="E58" s="71" t="s">
        <v>1151</v>
      </c>
      <c r="F58" s="71" t="s">
        <v>1008</v>
      </c>
      <c r="G58" s="66"/>
      <c r="H58" s="71" t="s">
        <v>133</v>
      </c>
      <c r="I58" s="71" t="s">
        <v>218</v>
      </c>
      <c r="J58" s="71" t="s">
        <v>1152</v>
      </c>
      <c r="K58" s="71" t="s">
        <v>281</v>
      </c>
      <c r="L58" s="71"/>
      <c r="M58" s="71"/>
      <c r="N58" s="71"/>
      <c r="O58" s="71" t="s">
        <v>98</v>
      </c>
      <c r="P58" s="71" t="s">
        <v>857</v>
      </c>
      <c r="Q58" s="66" t="s">
        <v>1153</v>
      </c>
      <c r="R58" s="71" t="s">
        <v>1154</v>
      </c>
      <c r="S58" s="71" t="s">
        <v>1155</v>
      </c>
      <c r="T58" s="66"/>
      <c r="U58" s="71"/>
      <c r="V58" s="71" t="s">
        <v>894</v>
      </c>
      <c r="W58" s="66" t="s">
        <v>1157</v>
      </c>
      <c r="X58" s="71" t="s">
        <v>1158</v>
      </c>
      <c r="Y58" s="71" t="s">
        <v>1160</v>
      </c>
      <c r="Z58" s="71" t="s">
        <v>1161</v>
      </c>
      <c r="AA58" s="71" t="s">
        <v>1163</v>
      </c>
      <c r="AB58" s="71" t="s">
        <v>109</v>
      </c>
      <c r="AC58" s="71" t="s">
        <v>145</v>
      </c>
    </row>
    <row r="59" spans="1:29" ht="13.9">
      <c r="A59" s="66" t="s">
        <v>70</v>
      </c>
      <c r="B59" s="71" t="s">
        <v>210</v>
      </c>
      <c r="C59" s="71" t="s">
        <v>74</v>
      </c>
      <c r="D59" s="71" t="s">
        <v>868</v>
      </c>
      <c r="E59" s="71" t="s">
        <v>1151</v>
      </c>
      <c r="F59" s="71" t="s">
        <v>1019</v>
      </c>
      <c r="G59" s="66"/>
      <c r="H59" s="71" t="s">
        <v>133</v>
      </c>
      <c r="I59" s="71" t="s">
        <v>218</v>
      </c>
      <c r="J59" s="71" t="s">
        <v>1152</v>
      </c>
      <c r="K59" s="71" t="s">
        <v>1076</v>
      </c>
      <c r="L59" s="71"/>
      <c r="M59" s="71"/>
      <c r="N59" s="71"/>
      <c r="O59" s="71" t="s">
        <v>98</v>
      </c>
      <c r="P59" s="71" t="s">
        <v>872</v>
      </c>
      <c r="Q59" s="66" t="s">
        <v>1166</v>
      </c>
      <c r="R59" s="71" t="s">
        <v>1167</v>
      </c>
      <c r="S59" s="71" t="s">
        <v>1168</v>
      </c>
      <c r="T59" s="66"/>
      <c r="U59" s="71"/>
      <c r="V59" s="71" t="s">
        <v>1143</v>
      </c>
      <c r="W59" s="66" t="s">
        <v>1169</v>
      </c>
      <c r="X59" s="71" t="s">
        <v>1170</v>
      </c>
      <c r="Y59" s="71" t="s">
        <v>1171</v>
      </c>
      <c r="Z59" s="71" t="s">
        <v>1172</v>
      </c>
      <c r="AA59" s="71" t="s">
        <v>1173</v>
      </c>
      <c r="AB59" s="71" t="s">
        <v>109</v>
      </c>
      <c r="AC59" s="71" t="s">
        <v>145</v>
      </c>
    </row>
    <row r="60" spans="1:29" ht="13.9">
      <c r="A60" s="66" t="s">
        <v>70</v>
      </c>
      <c r="B60" s="71" t="s">
        <v>210</v>
      </c>
      <c r="C60" s="71" t="s">
        <v>74</v>
      </c>
      <c r="D60" s="71" t="s">
        <v>886</v>
      </c>
      <c r="E60" s="71" t="s">
        <v>1151</v>
      </c>
      <c r="F60" s="71" t="s">
        <v>1027</v>
      </c>
      <c r="G60" s="66"/>
      <c r="H60" s="71" t="s">
        <v>133</v>
      </c>
      <c r="I60" s="71" t="s">
        <v>218</v>
      </c>
      <c r="J60" s="71" t="s">
        <v>1152</v>
      </c>
      <c r="K60" s="71" t="s">
        <v>1082</v>
      </c>
      <c r="L60" s="71"/>
      <c r="M60" s="71"/>
      <c r="N60" s="71"/>
      <c r="O60" s="71" t="s">
        <v>98</v>
      </c>
      <c r="P60" s="71" t="s">
        <v>890</v>
      </c>
      <c r="Q60" s="66" t="s">
        <v>1175</v>
      </c>
      <c r="R60" s="71" t="s">
        <v>1176</v>
      </c>
      <c r="S60" s="71" t="s">
        <v>1177</v>
      </c>
      <c r="T60" s="66"/>
      <c r="U60" s="71"/>
      <c r="V60" s="71" t="s">
        <v>1178</v>
      </c>
      <c r="W60" s="66" t="s">
        <v>1176</v>
      </c>
      <c r="X60" s="71" t="s">
        <v>1179</v>
      </c>
      <c r="Y60" s="71" t="s">
        <v>1121</v>
      </c>
      <c r="Z60" s="71" t="s">
        <v>1180</v>
      </c>
      <c r="AA60" s="71" t="s">
        <v>1182</v>
      </c>
      <c r="AB60" s="71" t="s">
        <v>109</v>
      </c>
      <c r="AC60" s="71" t="s">
        <v>145</v>
      </c>
    </row>
    <row r="61" spans="1:29" ht="13.9">
      <c r="A61" s="66" t="s">
        <v>70</v>
      </c>
      <c r="B61" s="71" t="s">
        <v>210</v>
      </c>
      <c r="C61" s="71" t="s">
        <v>74</v>
      </c>
      <c r="D61" s="71" t="s">
        <v>213</v>
      </c>
      <c r="E61" s="71" t="s">
        <v>1151</v>
      </c>
      <c r="F61" s="71" t="s">
        <v>217</v>
      </c>
      <c r="G61" s="66"/>
      <c r="H61" s="71" t="s">
        <v>133</v>
      </c>
      <c r="I61" s="71" t="s">
        <v>218</v>
      </c>
      <c r="J61" s="71" t="s">
        <v>1152</v>
      </c>
      <c r="K61" s="71" t="s">
        <v>1095</v>
      </c>
      <c r="L61" s="71"/>
      <c r="M61" s="71"/>
      <c r="N61" s="71"/>
      <c r="O61" s="71" t="s">
        <v>98</v>
      </c>
      <c r="P61" s="71" t="s">
        <v>224</v>
      </c>
      <c r="Q61" s="66" t="s">
        <v>1183</v>
      </c>
      <c r="R61" s="71" t="s">
        <v>1184</v>
      </c>
      <c r="S61" s="71" t="s">
        <v>1186</v>
      </c>
      <c r="T61" s="66"/>
      <c r="U61" s="71"/>
      <c r="V61" s="71" t="s">
        <v>1187</v>
      </c>
      <c r="W61" s="66" t="s">
        <v>1188</v>
      </c>
      <c r="X61" s="71" t="s">
        <v>1189</v>
      </c>
      <c r="Y61" s="71" t="s">
        <v>1190</v>
      </c>
      <c r="Z61" s="71" t="s">
        <v>1191</v>
      </c>
      <c r="AA61" s="71" t="s">
        <v>1192</v>
      </c>
      <c r="AB61" s="71" t="s">
        <v>109</v>
      </c>
      <c r="AC61" s="71" t="s">
        <v>145</v>
      </c>
    </row>
    <row r="62" spans="1:29" ht="13.9">
      <c r="A62" s="17" t="s">
        <v>70</v>
      </c>
      <c r="B62" s="18" t="s">
        <v>210</v>
      </c>
      <c r="C62" s="18" t="s">
        <v>74</v>
      </c>
      <c r="D62" s="18" t="s">
        <v>853</v>
      </c>
      <c r="E62" s="18" t="s">
        <v>1194</v>
      </c>
      <c r="F62" s="21" t="s">
        <v>79</v>
      </c>
      <c r="G62" s="66"/>
      <c r="H62" s="18" t="s">
        <v>133</v>
      </c>
      <c r="I62" s="18" t="s">
        <v>1195</v>
      </c>
      <c r="J62" s="18">
        <v>1331010</v>
      </c>
      <c r="K62" s="18" t="s">
        <v>1102</v>
      </c>
      <c r="L62" s="18" t="s">
        <v>1196</v>
      </c>
      <c r="M62" s="18" t="s">
        <v>1197</v>
      </c>
      <c r="N62" s="21" t="s">
        <v>79</v>
      </c>
      <c r="O62" s="18" t="s">
        <v>98</v>
      </c>
      <c r="P62" s="18" t="s">
        <v>857</v>
      </c>
      <c r="Q62" s="17" t="s">
        <v>1198</v>
      </c>
      <c r="R62" s="18" t="s">
        <v>1199</v>
      </c>
      <c r="S62" s="18" t="s">
        <v>1200</v>
      </c>
      <c r="T62" s="17" t="s">
        <v>62</v>
      </c>
      <c r="U62" s="17" t="s">
        <v>62</v>
      </c>
      <c r="V62" s="18" t="s">
        <v>1187</v>
      </c>
      <c r="W62" s="17" t="s">
        <v>1201</v>
      </c>
      <c r="X62" s="18" t="s">
        <v>1187</v>
      </c>
      <c r="Y62" s="18" t="s">
        <v>1202</v>
      </c>
      <c r="Z62" s="18" t="s">
        <v>1203</v>
      </c>
      <c r="AA62" s="18" t="s">
        <v>1204</v>
      </c>
      <c r="AB62" s="18" t="s">
        <v>109</v>
      </c>
      <c r="AC62" s="18" t="s">
        <v>145</v>
      </c>
    </row>
    <row r="63" spans="1:29" ht="13.9">
      <c r="A63" s="17" t="s">
        <v>70</v>
      </c>
      <c r="B63" s="18" t="s">
        <v>210</v>
      </c>
      <c r="C63" s="18" t="s">
        <v>74</v>
      </c>
      <c r="D63" s="18" t="s">
        <v>868</v>
      </c>
      <c r="E63" s="18" t="s">
        <v>1194</v>
      </c>
      <c r="F63" s="21" t="s">
        <v>79</v>
      </c>
      <c r="G63" s="66"/>
      <c r="H63" s="18" t="s">
        <v>133</v>
      </c>
      <c r="I63" s="18" t="s">
        <v>1195</v>
      </c>
      <c r="J63" s="18">
        <v>1331010</v>
      </c>
      <c r="K63" s="18" t="s">
        <v>1117</v>
      </c>
      <c r="L63" s="18" t="s">
        <v>1196</v>
      </c>
      <c r="M63" s="18" t="s">
        <v>1197</v>
      </c>
      <c r="N63" s="21" t="s">
        <v>79</v>
      </c>
      <c r="O63" s="18" t="s">
        <v>98</v>
      </c>
      <c r="P63" s="18" t="s">
        <v>872</v>
      </c>
      <c r="Q63" s="17" t="s">
        <v>1211</v>
      </c>
      <c r="R63" s="18" t="s">
        <v>1212</v>
      </c>
      <c r="S63" s="18" t="s">
        <v>1213</v>
      </c>
      <c r="T63" s="17" t="s">
        <v>62</v>
      </c>
      <c r="U63" s="17" t="s">
        <v>62</v>
      </c>
      <c r="V63" s="18" t="s">
        <v>1190</v>
      </c>
      <c r="W63" s="17" t="s">
        <v>1214</v>
      </c>
      <c r="X63" s="18" t="s">
        <v>1215</v>
      </c>
      <c r="Y63" s="18" t="s">
        <v>1216</v>
      </c>
      <c r="Z63" s="18" t="s">
        <v>1217</v>
      </c>
      <c r="AA63" s="18" t="s">
        <v>1218</v>
      </c>
      <c r="AB63" s="18" t="s">
        <v>109</v>
      </c>
      <c r="AC63" s="18" t="s">
        <v>145</v>
      </c>
    </row>
    <row r="64" spans="1:29" ht="13.9">
      <c r="A64" s="17" t="s">
        <v>70</v>
      </c>
      <c r="B64" s="18" t="s">
        <v>210</v>
      </c>
      <c r="C64" s="18" t="s">
        <v>74</v>
      </c>
      <c r="D64" s="18" t="s">
        <v>886</v>
      </c>
      <c r="E64" s="18" t="s">
        <v>1194</v>
      </c>
      <c r="F64" s="21" t="s">
        <v>79</v>
      </c>
      <c r="G64" s="66"/>
      <c r="H64" s="18" t="s">
        <v>133</v>
      </c>
      <c r="I64" s="18" t="s">
        <v>1195</v>
      </c>
      <c r="J64" s="18">
        <v>1331010</v>
      </c>
      <c r="K64" s="18" t="s">
        <v>1128</v>
      </c>
      <c r="L64" s="18" t="s">
        <v>1196</v>
      </c>
      <c r="M64" s="18" t="s">
        <v>1197</v>
      </c>
      <c r="N64" s="21" t="s">
        <v>79</v>
      </c>
      <c r="O64" s="18" t="s">
        <v>98</v>
      </c>
      <c r="P64" s="18" t="s">
        <v>890</v>
      </c>
      <c r="Q64" s="17" t="s">
        <v>623</v>
      </c>
      <c r="R64" s="18" t="s">
        <v>1227</v>
      </c>
      <c r="S64" s="18" t="s">
        <v>1228</v>
      </c>
      <c r="T64" s="17" t="s">
        <v>62</v>
      </c>
      <c r="U64" s="17" t="s">
        <v>62</v>
      </c>
      <c r="V64" s="18" t="s">
        <v>1229</v>
      </c>
      <c r="W64" s="17" t="s">
        <v>1230</v>
      </c>
      <c r="X64" s="18" t="s">
        <v>1231</v>
      </c>
      <c r="Y64" s="18" t="s">
        <v>1171</v>
      </c>
      <c r="Z64" s="18" t="s">
        <v>1232</v>
      </c>
      <c r="AA64" s="18" t="s">
        <v>1233</v>
      </c>
      <c r="AB64" s="18" t="s">
        <v>109</v>
      </c>
      <c r="AC64" s="18" t="s">
        <v>145</v>
      </c>
    </row>
    <row r="65" spans="1:29" ht="13.9">
      <c r="A65" s="17" t="s">
        <v>70</v>
      </c>
      <c r="B65" s="18" t="s">
        <v>210</v>
      </c>
      <c r="C65" s="18" t="s">
        <v>74</v>
      </c>
      <c r="D65" s="18" t="s">
        <v>213</v>
      </c>
      <c r="E65" s="18" t="s">
        <v>1194</v>
      </c>
      <c r="F65" s="21" t="s">
        <v>79</v>
      </c>
      <c r="G65" s="66"/>
      <c r="H65" s="18" t="s">
        <v>133</v>
      </c>
      <c r="I65" s="18" t="s">
        <v>1195</v>
      </c>
      <c r="J65" s="18">
        <v>1331010</v>
      </c>
      <c r="K65" s="18" t="s">
        <v>1061</v>
      </c>
      <c r="L65" s="18" t="s">
        <v>1196</v>
      </c>
      <c r="M65" s="18" t="s">
        <v>1197</v>
      </c>
      <c r="N65" s="21" t="s">
        <v>79</v>
      </c>
      <c r="O65" s="18" t="s">
        <v>98</v>
      </c>
      <c r="P65" s="18" t="s">
        <v>224</v>
      </c>
      <c r="Q65" s="17" t="s">
        <v>1236</v>
      </c>
      <c r="R65" s="18" t="s">
        <v>1237</v>
      </c>
      <c r="S65" s="18" t="s">
        <v>1238</v>
      </c>
      <c r="T65" s="17" t="s">
        <v>62</v>
      </c>
      <c r="U65" s="17" t="s">
        <v>62</v>
      </c>
      <c r="V65" s="18" t="s">
        <v>897</v>
      </c>
      <c r="W65" s="17" t="s">
        <v>1239</v>
      </c>
      <c r="X65" s="18" t="s">
        <v>1240</v>
      </c>
      <c r="Y65" s="18" t="s">
        <v>1241</v>
      </c>
      <c r="Z65" s="18" t="s">
        <v>1242</v>
      </c>
      <c r="AA65" s="18" t="s">
        <v>1243</v>
      </c>
      <c r="AB65" s="18" t="s">
        <v>109</v>
      </c>
      <c r="AC65" s="18" t="s">
        <v>145</v>
      </c>
    </row>
    <row r="66" spans="1:29" ht="13.9">
      <c r="A66" s="17" t="s">
        <v>70</v>
      </c>
      <c r="B66" s="18" t="s">
        <v>210</v>
      </c>
      <c r="C66" s="18" t="s">
        <v>74</v>
      </c>
      <c r="D66" s="18" t="s">
        <v>853</v>
      </c>
      <c r="E66" s="18" t="s">
        <v>1245</v>
      </c>
      <c r="F66" s="21" t="s">
        <v>79</v>
      </c>
      <c r="G66" s="66"/>
      <c r="H66" s="18" t="s">
        <v>133</v>
      </c>
      <c r="I66" s="18" t="s">
        <v>1246</v>
      </c>
      <c r="J66" s="18">
        <v>807553</v>
      </c>
      <c r="K66" s="18" t="s">
        <v>1247</v>
      </c>
      <c r="L66" s="18" t="s">
        <v>1248</v>
      </c>
      <c r="M66" s="18" t="s">
        <v>1249</v>
      </c>
      <c r="N66" s="21" t="s">
        <v>79</v>
      </c>
      <c r="O66" s="18" t="s">
        <v>98</v>
      </c>
      <c r="P66" s="18" t="s">
        <v>857</v>
      </c>
      <c r="Q66" s="17" t="s">
        <v>1250</v>
      </c>
      <c r="R66" s="18" t="s">
        <v>1251</v>
      </c>
      <c r="S66" s="18" t="s">
        <v>1252</v>
      </c>
      <c r="T66" s="17" t="s">
        <v>62</v>
      </c>
      <c r="U66" s="17" t="s">
        <v>62</v>
      </c>
      <c r="V66" s="18" t="s">
        <v>1253</v>
      </c>
      <c r="W66" s="17" t="s">
        <v>1254</v>
      </c>
      <c r="X66" s="18" t="s">
        <v>1255</v>
      </c>
      <c r="Y66" s="18" t="s">
        <v>1256</v>
      </c>
      <c r="Z66" s="18" t="s">
        <v>1257</v>
      </c>
      <c r="AA66" s="18" t="s">
        <v>1258</v>
      </c>
      <c r="AB66" s="18" t="s">
        <v>109</v>
      </c>
      <c r="AC66" s="18" t="s">
        <v>145</v>
      </c>
    </row>
    <row r="67" spans="1:29" ht="13.9">
      <c r="A67" s="17" t="s">
        <v>70</v>
      </c>
      <c r="B67" s="18" t="s">
        <v>210</v>
      </c>
      <c r="C67" s="18" t="s">
        <v>74</v>
      </c>
      <c r="D67" s="18" t="s">
        <v>868</v>
      </c>
      <c r="E67" s="18" t="s">
        <v>1245</v>
      </c>
      <c r="F67" s="21" t="s">
        <v>79</v>
      </c>
      <c r="G67" s="66"/>
      <c r="H67" s="18" t="s">
        <v>133</v>
      </c>
      <c r="I67" s="18" t="s">
        <v>1246</v>
      </c>
      <c r="J67" s="18">
        <v>807553</v>
      </c>
      <c r="K67" s="18" t="s">
        <v>1260</v>
      </c>
      <c r="L67" s="18" t="s">
        <v>1248</v>
      </c>
      <c r="M67" s="18" t="s">
        <v>1249</v>
      </c>
      <c r="N67" s="21" t="s">
        <v>79</v>
      </c>
      <c r="O67" s="18" t="s">
        <v>98</v>
      </c>
      <c r="P67" s="18" t="s">
        <v>872</v>
      </c>
      <c r="Q67" s="17" t="s">
        <v>1262</v>
      </c>
      <c r="R67" s="18" t="s">
        <v>1263</v>
      </c>
      <c r="S67" s="18" t="s">
        <v>1265</v>
      </c>
      <c r="T67" s="17" t="s">
        <v>62</v>
      </c>
      <c r="U67" s="17" t="s">
        <v>62</v>
      </c>
      <c r="V67" s="18" t="s">
        <v>894</v>
      </c>
      <c r="W67" s="17" t="s">
        <v>1266</v>
      </c>
      <c r="X67" s="18" t="s">
        <v>1267</v>
      </c>
      <c r="Y67" s="18" t="s">
        <v>919</v>
      </c>
      <c r="Z67" s="18" t="s">
        <v>1268</v>
      </c>
      <c r="AA67" s="18" t="s">
        <v>1269</v>
      </c>
      <c r="AB67" s="18" t="s">
        <v>109</v>
      </c>
      <c r="AC67" s="18" t="s">
        <v>145</v>
      </c>
    </row>
    <row r="68" spans="1:29" ht="13.9">
      <c r="A68" s="17" t="s">
        <v>70</v>
      </c>
      <c r="B68" s="18" t="s">
        <v>210</v>
      </c>
      <c r="C68" s="18" t="s">
        <v>74</v>
      </c>
      <c r="D68" s="18" t="s">
        <v>886</v>
      </c>
      <c r="E68" s="18" t="s">
        <v>1245</v>
      </c>
      <c r="F68" s="21" t="s">
        <v>79</v>
      </c>
      <c r="G68" s="66"/>
      <c r="H68" s="18" t="s">
        <v>133</v>
      </c>
      <c r="I68" s="18" t="s">
        <v>1246</v>
      </c>
      <c r="J68" s="18">
        <v>807553</v>
      </c>
      <c r="K68" s="18" t="s">
        <v>888</v>
      </c>
      <c r="L68" s="18" t="s">
        <v>1248</v>
      </c>
      <c r="M68" s="18" t="s">
        <v>1249</v>
      </c>
      <c r="N68" s="21" t="s">
        <v>79</v>
      </c>
      <c r="O68" s="18" t="s">
        <v>98</v>
      </c>
      <c r="P68" s="18" t="s">
        <v>890</v>
      </c>
      <c r="Q68" s="17" t="s">
        <v>1271</v>
      </c>
      <c r="R68" s="18" t="s">
        <v>1273</v>
      </c>
      <c r="S68" s="18" t="s">
        <v>1274</v>
      </c>
      <c r="T68" s="17" t="s">
        <v>62</v>
      </c>
      <c r="U68" s="17" t="s">
        <v>62</v>
      </c>
      <c r="V68" s="18" t="s">
        <v>1275</v>
      </c>
      <c r="W68" s="17" t="s">
        <v>1277</v>
      </c>
      <c r="X68" s="18" t="s">
        <v>1278</v>
      </c>
      <c r="Y68" s="18" t="s">
        <v>1160</v>
      </c>
      <c r="Z68" s="18" t="s">
        <v>1280</v>
      </c>
      <c r="AA68" s="18" t="s">
        <v>1281</v>
      </c>
      <c r="AB68" s="18" t="s">
        <v>109</v>
      </c>
      <c r="AC68" s="18" t="s">
        <v>145</v>
      </c>
    </row>
    <row r="69" spans="1:29" ht="13.9">
      <c r="A69" s="17" t="s">
        <v>70</v>
      </c>
      <c r="B69" s="18" t="s">
        <v>210</v>
      </c>
      <c r="C69" s="18" t="s">
        <v>74</v>
      </c>
      <c r="D69" s="18" t="s">
        <v>213</v>
      </c>
      <c r="E69" s="18" t="s">
        <v>1245</v>
      </c>
      <c r="F69" s="21" t="s">
        <v>79</v>
      </c>
      <c r="G69" s="66"/>
      <c r="H69" s="18" t="s">
        <v>133</v>
      </c>
      <c r="I69" s="18" t="s">
        <v>1246</v>
      </c>
      <c r="J69" s="18">
        <v>807553</v>
      </c>
      <c r="K69" s="18" t="s">
        <v>1283</v>
      </c>
      <c r="L69" s="18" t="s">
        <v>1248</v>
      </c>
      <c r="M69" s="18" t="s">
        <v>1249</v>
      </c>
      <c r="N69" s="21" t="s">
        <v>79</v>
      </c>
      <c r="O69" s="18" t="s">
        <v>98</v>
      </c>
      <c r="P69" s="18" t="s">
        <v>224</v>
      </c>
      <c r="Q69" s="17" t="s">
        <v>1285</v>
      </c>
      <c r="R69" s="18" t="s">
        <v>1286</v>
      </c>
      <c r="S69" s="18" t="s">
        <v>1287</v>
      </c>
      <c r="T69" s="17" t="s">
        <v>62</v>
      </c>
      <c r="U69" s="17" t="s">
        <v>62</v>
      </c>
      <c r="V69" s="18" t="s">
        <v>1289</v>
      </c>
      <c r="W69" s="17" t="s">
        <v>1291</v>
      </c>
      <c r="X69" s="18" t="s">
        <v>1292</v>
      </c>
      <c r="Y69" s="18" t="s">
        <v>1293</v>
      </c>
      <c r="Z69" s="18" t="s">
        <v>1294</v>
      </c>
      <c r="AA69" s="18" t="s">
        <v>1295</v>
      </c>
      <c r="AB69" s="18" t="s">
        <v>109</v>
      </c>
      <c r="AC69" s="18" t="s">
        <v>145</v>
      </c>
    </row>
    <row r="70" spans="1:29" ht="13.9">
      <c r="A70" s="66" t="s">
        <v>70</v>
      </c>
      <c r="B70" s="71" t="s">
        <v>210</v>
      </c>
      <c r="C70" s="71" t="s">
        <v>74</v>
      </c>
      <c r="D70" s="71" t="s">
        <v>853</v>
      </c>
      <c r="E70" s="71" t="s">
        <v>1007</v>
      </c>
      <c r="F70" s="71" t="s">
        <v>1008</v>
      </c>
      <c r="G70" s="66"/>
      <c r="H70" s="71" t="s">
        <v>133</v>
      </c>
      <c r="I70" s="71" t="s">
        <v>218</v>
      </c>
      <c r="J70" s="71" t="s">
        <v>1009</v>
      </c>
      <c r="K70" s="71" t="s">
        <v>1010</v>
      </c>
      <c r="L70" s="71"/>
      <c r="M70" s="71"/>
      <c r="N70" s="71"/>
      <c r="O70" s="71" t="s">
        <v>129</v>
      </c>
      <c r="P70" s="71" t="s">
        <v>857</v>
      </c>
      <c r="Q70" s="66" t="s">
        <v>1014</v>
      </c>
      <c r="R70" s="71"/>
      <c r="S70" s="71"/>
      <c r="T70" s="66"/>
      <c r="U70" s="71"/>
      <c r="V70" s="71" t="s">
        <v>1297</v>
      </c>
      <c r="W70" s="66" t="s">
        <v>1298</v>
      </c>
      <c r="X70" s="71" t="s">
        <v>1299</v>
      </c>
      <c r="Y70" s="71" t="s">
        <v>1300</v>
      </c>
      <c r="Z70" s="71" t="s">
        <v>1301</v>
      </c>
      <c r="AA70" s="71" t="s">
        <v>1302</v>
      </c>
      <c r="AB70" s="71" t="s">
        <v>109</v>
      </c>
      <c r="AC70" s="71" t="s">
        <v>145</v>
      </c>
    </row>
    <row r="71" spans="1:29" ht="13.9">
      <c r="A71" s="66" t="s">
        <v>70</v>
      </c>
      <c r="B71" s="71" t="s">
        <v>210</v>
      </c>
      <c r="C71" s="71" t="s">
        <v>74</v>
      </c>
      <c r="D71" s="71" t="s">
        <v>868</v>
      </c>
      <c r="E71" s="71" t="s">
        <v>1007</v>
      </c>
      <c r="F71" s="71" t="s">
        <v>1019</v>
      </c>
      <c r="G71" s="66"/>
      <c r="H71" s="71" t="s">
        <v>133</v>
      </c>
      <c r="I71" s="71" t="s">
        <v>218</v>
      </c>
      <c r="J71" s="71" t="s">
        <v>1009</v>
      </c>
      <c r="K71" s="71" t="s">
        <v>1020</v>
      </c>
      <c r="L71" s="71"/>
      <c r="M71" s="71"/>
      <c r="N71" s="71"/>
      <c r="O71" s="71" t="s">
        <v>129</v>
      </c>
      <c r="P71" s="71" t="s">
        <v>872</v>
      </c>
      <c r="Q71" s="66" t="s">
        <v>1014</v>
      </c>
      <c r="R71" s="71"/>
      <c r="S71" s="71"/>
      <c r="T71" s="66"/>
      <c r="U71" s="71"/>
      <c r="V71" s="71" t="s">
        <v>1304</v>
      </c>
      <c r="W71" s="66" t="s">
        <v>1305</v>
      </c>
      <c r="X71" s="71" t="s">
        <v>1306</v>
      </c>
      <c r="Y71" s="71" t="s">
        <v>1134</v>
      </c>
      <c r="Z71" s="71" t="s">
        <v>1308</v>
      </c>
      <c r="AA71" s="71" t="s">
        <v>1310</v>
      </c>
      <c r="AB71" s="71" t="s">
        <v>109</v>
      </c>
      <c r="AC71" s="71" t="s">
        <v>145</v>
      </c>
    </row>
    <row r="72" spans="1:29" ht="13.9">
      <c r="A72" s="66" t="s">
        <v>70</v>
      </c>
      <c r="B72" s="71" t="s">
        <v>210</v>
      </c>
      <c r="C72" s="71" t="s">
        <v>74</v>
      </c>
      <c r="D72" s="71" t="s">
        <v>886</v>
      </c>
      <c r="E72" s="71" t="s">
        <v>1007</v>
      </c>
      <c r="F72" s="71" t="s">
        <v>1027</v>
      </c>
      <c r="G72" s="66"/>
      <c r="H72" s="71" t="s">
        <v>133</v>
      </c>
      <c r="I72" s="71" t="s">
        <v>218</v>
      </c>
      <c r="J72" s="71" t="s">
        <v>1009</v>
      </c>
      <c r="K72" s="71" t="s">
        <v>1028</v>
      </c>
      <c r="L72" s="71"/>
      <c r="M72" s="71"/>
      <c r="N72" s="71"/>
      <c r="O72" s="71" t="s">
        <v>129</v>
      </c>
      <c r="P72" s="71" t="s">
        <v>890</v>
      </c>
      <c r="Q72" s="66" t="s">
        <v>1014</v>
      </c>
      <c r="R72" s="71"/>
      <c r="S72" s="71"/>
      <c r="T72" s="66"/>
      <c r="U72" s="71"/>
      <c r="V72" s="71" t="s">
        <v>1314</v>
      </c>
      <c r="W72" s="66" t="s">
        <v>1315</v>
      </c>
      <c r="X72" s="71" t="s">
        <v>1316</v>
      </c>
      <c r="Y72" s="71" t="s">
        <v>1143</v>
      </c>
      <c r="Z72" s="71" t="s">
        <v>1317</v>
      </c>
      <c r="AA72" s="71" t="s">
        <v>1318</v>
      </c>
      <c r="AB72" s="71" t="s">
        <v>109</v>
      </c>
      <c r="AC72" s="71" t="s">
        <v>145</v>
      </c>
    </row>
    <row r="73" spans="1:29" ht="13.9">
      <c r="A73" s="66" t="s">
        <v>70</v>
      </c>
      <c r="B73" s="71" t="s">
        <v>210</v>
      </c>
      <c r="C73" s="71" t="s">
        <v>74</v>
      </c>
      <c r="D73" s="71" t="s">
        <v>213</v>
      </c>
      <c r="E73" s="71" t="s">
        <v>1007</v>
      </c>
      <c r="F73" s="71" t="s">
        <v>217</v>
      </c>
      <c r="G73" s="66"/>
      <c r="H73" s="71" t="s">
        <v>133</v>
      </c>
      <c r="I73" s="71" t="s">
        <v>218</v>
      </c>
      <c r="J73" s="71" t="s">
        <v>1009</v>
      </c>
      <c r="K73" s="71" t="s">
        <v>1033</v>
      </c>
      <c r="L73" s="71"/>
      <c r="M73" s="71"/>
      <c r="N73" s="71"/>
      <c r="O73" s="71" t="s">
        <v>129</v>
      </c>
      <c r="P73" s="71" t="s">
        <v>224</v>
      </c>
      <c r="Q73" s="66" t="s">
        <v>1014</v>
      </c>
      <c r="R73" s="71"/>
      <c r="S73" s="71"/>
      <c r="T73" s="66"/>
      <c r="U73" s="71"/>
      <c r="V73" s="71" t="s">
        <v>1326</v>
      </c>
      <c r="W73" s="66" t="s">
        <v>1327</v>
      </c>
      <c r="X73" s="71" t="s">
        <v>1328</v>
      </c>
      <c r="Y73" s="71" t="s">
        <v>1329</v>
      </c>
      <c r="Z73" s="71" t="s">
        <v>1330</v>
      </c>
      <c r="AA73" s="71" t="s">
        <v>1331</v>
      </c>
      <c r="AB73" s="71" t="s">
        <v>109</v>
      </c>
      <c r="AC73" s="71" t="s">
        <v>145</v>
      </c>
    </row>
    <row r="74" spans="1:29" ht="13.9">
      <c r="A74" s="66" t="s">
        <v>70</v>
      </c>
      <c r="B74" s="71" t="s">
        <v>210</v>
      </c>
      <c r="C74" s="71" t="s">
        <v>74</v>
      </c>
      <c r="D74" s="71" t="s">
        <v>853</v>
      </c>
      <c r="E74" s="71" t="s">
        <v>1039</v>
      </c>
      <c r="F74" s="71" t="s">
        <v>1008</v>
      </c>
      <c r="G74" s="66"/>
      <c r="H74" s="71" t="s">
        <v>133</v>
      </c>
      <c r="I74" s="71" t="s">
        <v>218</v>
      </c>
      <c r="J74" s="71" t="s">
        <v>1040</v>
      </c>
      <c r="K74" s="71" t="s">
        <v>1041</v>
      </c>
      <c r="L74" s="71"/>
      <c r="M74" s="71"/>
      <c r="N74" s="71"/>
      <c r="O74" s="71" t="s">
        <v>129</v>
      </c>
      <c r="P74" s="71" t="s">
        <v>857</v>
      </c>
      <c r="Q74" s="66" t="s">
        <v>1014</v>
      </c>
      <c r="R74" s="71"/>
      <c r="S74" s="71"/>
      <c r="T74" s="66"/>
      <c r="U74" s="71"/>
      <c r="V74" s="71" t="s">
        <v>1337</v>
      </c>
      <c r="W74" s="66" t="s">
        <v>1338</v>
      </c>
      <c r="X74" s="71" t="s">
        <v>1339</v>
      </c>
      <c r="Y74" s="71" t="s">
        <v>1340</v>
      </c>
      <c r="Z74" s="71" t="s">
        <v>1341</v>
      </c>
      <c r="AA74" s="71" t="s">
        <v>1342</v>
      </c>
      <c r="AB74" s="71" t="s">
        <v>109</v>
      </c>
      <c r="AC74" s="71" t="s">
        <v>145</v>
      </c>
    </row>
    <row r="75" spans="1:29" ht="13.9">
      <c r="A75" s="66" t="s">
        <v>70</v>
      </c>
      <c r="B75" s="71" t="s">
        <v>210</v>
      </c>
      <c r="C75" s="71" t="s">
        <v>74</v>
      </c>
      <c r="D75" s="71" t="s">
        <v>868</v>
      </c>
      <c r="E75" s="71" t="s">
        <v>1039</v>
      </c>
      <c r="F75" s="71" t="s">
        <v>1019</v>
      </c>
      <c r="G75" s="66"/>
      <c r="H75" s="71" t="s">
        <v>133</v>
      </c>
      <c r="I75" s="71" t="s">
        <v>218</v>
      </c>
      <c r="J75" s="71" t="s">
        <v>1040</v>
      </c>
      <c r="K75" s="71" t="s">
        <v>1048</v>
      </c>
      <c r="L75" s="71"/>
      <c r="M75" s="71"/>
      <c r="N75" s="71"/>
      <c r="O75" s="71" t="s">
        <v>129</v>
      </c>
      <c r="P75" s="71" t="s">
        <v>872</v>
      </c>
      <c r="Q75" s="66" t="s">
        <v>1014</v>
      </c>
      <c r="R75" s="71"/>
      <c r="S75" s="71"/>
      <c r="T75" s="66"/>
      <c r="U75" s="71"/>
      <c r="V75" s="71" t="s">
        <v>1022</v>
      </c>
      <c r="W75" s="66" t="s">
        <v>1349</v>
      </c>
      <c r="X75" s="71" t="s">
        <v>1350</v>
      </c>
      <c r="Y75" s="71" t="s">
        <v>1351</v>
      </c>
      <c r="Z75" s="71" t="s">
        <v>1352</v>
      </c>
      <c r="AA75" s="71" t="s">
        <v>1353</v>
      </c>
      <c r="AB75" s="71" t="s">
        <v>109</v>
      </c>
      <c r="AC75" s="71" t="s">
        <v>145</v>
      </c>
    </row>
    <row r="76" spans="1:29" ht="13.9">
      <c r="A76" s="66" t="s">
        <v>70</v>
      </c>
      <c r="B76" s="71" t="s">
        <v>210</v>
      </c>
      <c r="C76" s="71" t="s">
        <v>74</v>
      </c>
      <c r="D76" s="71" t="s">
        <v>886</v>
      </c>
      <c r="E76" s="71" t="s">
        <v>1039</v>
      </c>
      <c r="F76" s="71" t="s">
        <v>1027</v>
      </c>
      <c r="G76" s="66"/>
      <c r="H76" s="71" t="s">
        <v>133</v>
      </c>
      <c r="I76" s="71" t="s">
        <v>218</v>
      </c>
      <c r="J76" s="71" t="s">
        <v>1040</v>
      </c>
      <c r="K76" s="71" t="s">
        <v>1055</v>
      </c>
      <c r="L76" s="71"/>
      <c r="M76" s="71"/>
      <c r="N76" s="71"/>
      <c r="O76" s="71" t="s">
        <v>129</v>
      </c>
      <c r="P76" s="71" t="s">
        <v>890</v>
      </c>
      <c r="Q76" s="66" t="s">
        <v>1014</v>
      </c>
      <c r="R76" s="71"/>
      <c r="S76" s="71"/>
      <c r="T76" s="66"/>
      <c r="U76" s="71"/>
      <c r="V76" s="71" t="s">
        <v>1359</v>
      </c>
      <c r="W76" s="66" t="s">
        <v>1360</v>
      </c>
      <c r="X76" s="71" t="s">
        <v>1361</v>
      </c>
      <c r="Y76" s="71" t="s">
        <v>1364</v>
      </c>
      <c r="Z76" s="71" t="s">
        <v>1366</v>
      </c>
      <c r="AA76" s="71" t="s">
        <v>1367</v>
      </c>
      <c r="AB76" s="71" t="s">
        <v>109</v>
      </c>
      <c r="AC76" s="71" t="s">
        <v>145</v>
      </c>
    </row>
    <row r="77" spans="1:29" ht="13.9">
      <c r="A77" s="66" t="s">
        <v>70</v>
      </c>
      <c r="B77" s="71" t="s">
        <v>210</v>
      </c>
      <c r="C77" s="71" t="s">
        <v>74</v>
      </c>
      <c r="D77" s="71" t="s">
        <v>213</v>
      </c>
      <c r="E77" s="71" t="s">
        <v>1039</v>
      </c>
      <c r="F77" s="71" t="s">
        <v>217</v>
      </c>
      <c r="G77" s="66"/>
      <c r="H77" s="71" t="s">
        <v>133</v>
      </c>
      <c r="I77" s="71" t="s">
        <v>218</v>
      </c>
      <c r="J77" s="71" t="s">
        <v>1040</v>
      </c>
      <c r="K77" s="71" t="s">
        <v>1061</v>
      </c>
      <c r="L77" s="71"/>
      <c r="M77" s="71"/>
      <c r="N77" s="71"/>
      <c r="O77" s="71" t="s">
        <v>129</v>
      </c>
      <c r="P77" s="71" t="s">
        <v>224</v>
      </c>
      <c r="Q77" s="66" t="s">
        <v>1014</v>
      </c>
      <c r="R77" s="71"/>
      <c r="S77" s="71"/>
      <c r="T77" s="66"/>
      <c r="U77" s="71"/>
      <c r="V77" s="71" t="s">
        <v>1369</v>
      </c>
      <c r="W77" s="66" t="s">
        <v>1370</v>
      </c>
      <c r="X77" s="71" t="s">
        <v>1371</v>
      </c>
      <c r="Y77" s="71" t="s">
        <v>1372</v>
      </c>
      <c r="Z77" s="71" t="s">
        <v>1374</v>
      </c>
      <c r="AA77" s="71" t="s">
        <v>1375</v>
      </c>
      <c r="AB77" s="71" t="s">
        <v>109</v>
      </c>
      <c r="AC77" s="71" t="s">
        <v>145</v>
      </c>
    </row>
    <row r="78" spans="1:29" ht="13.9">
      <c r="A78" s="66" t="s">
        <v>70</v>
      </c>
      <c r="B78" s="71" t="s">
        <v>210</v>
      </c>
      <c r="C78" s="71" t="s">
        <v>74</v>
      </c>
      <c r="D78" s="71" t="s">
        <v>853</v>
      </c>
      <c r="E78" s="71" t="s">
        <v>1380</v>
      </c>
      <c r="F78" s="71" t="s">
        <v>1008</v>
      </c>
      <c r="G78" s="66"/>
      <c r="H78" s="71" t="s">
        <v>133</v>
      </c>
      <c r="I78" s="71" t="s">
        <v>218</v>
      </c>
      <c r="J78" s="71" t="s">
        <v>1069</v>
      </c>
      <c r="K78" s="71" t="s">
        <v>281</v>
      </c>
      <c r="L78" s="71"/>
      <c r="M78" s="71"/>
      <c r="N78" s="71"/>
      <c r="O78" s="71" t="s">
        <v>129</v>
      </c>
      <c r="P78" s="71" t="s">
        <v>857</v>
      </c>
      <c r="Q78" s="66" t="s">
        <v>1014</v>
      </c>
      <c r="R78" s="71"/>
      <c r="S78" s="71"/>
      <c r="T78" s="66"/>
      <c r="U78" s="71"/>
      <c r="V78" s="71" t="s">
        <v>1382</v>
      </c>
      <c r="W78" s="66" t="s">
        <v>1071</v>
      </c>
      <c r="X78" s="71" t="s">
        <v>1383</v>
      </c>
      <c r="Y78" s="71" t="s">
        <v>1384</v>
      </c>
      <c r="Z78" s="71" t="s">
        <v>1386</v>
      </c>
      <c r="AA78" s="71" t="s">
        <v>1387</v>
      </c>
      <c r="AB78" s="71" t="s">
        <v>109</v>
      </c>
      <c r="AC78" s="71" t="s">
        <v>145</v>
      </c>
    </row>
    <row r="79" spans="1:29" ht="13.9">
      <c r="A79" s="66" t="s">
        <v>70</v>
      </c>
      <c r="B79" s="71" t="s">
        <v>210</v>
      </c>
      <c r="C79" s="71" t="s">
        <v>74</v>
      </c>
      <c r="D79" s="71" t="s">
        <v>868</v>
      </c>
      <c r="E79" s="71" t="s">
        <v>1380</v>
      </c>
      <c r="F79" s="71" t="s">
        <v>1019</v>
      </c>
      <c r="G79" s="66"/>
      <c r="H79" s="71" t="s">
        <v>133</v>
      </c>
      <c r="I79" s="71" t="s">
        <v>218</v>
      </c>
      <c r="J79" s="71" t="s">
        <v>1069</v>
      </c>
      <c r="K79" s="71" t="s">
        <v>1076</v>
      </c>
      <c r="L79" s="71"/>
      <c r="M79" s="71"/>
      <c r="N79" s="71"/>
      <c r="O79" s="71" t="s">
        <v>129</v>
      </c>
      <c r="P79" s="71" t="s">
        <v>872</v>
      </c>
      <c r="Q79" s="66" t="s">
        <v>1014</v>
      </c>
      <c r="R79" s="71"/>
      <c r="S79" s="71"/>
      <c r="T79" s="66"/>
      <c r="U79" s="71"/>
      <c r="V79" s="71" t="s">
        <v>1382</v>
      </c>
      <c r="W79" s="66" t="s">
        <v>1071</v>
      </c>
      <c r="X79" s="71" t="s">
        <v>1389</v>
      </c>
      <c r="Y79" s="71" t="s">
        <v>1022</v>
      </c>
      <c r="Z79" s="71" t="s">
        <v>1390</v>
      </c>
      <c r="AA79" s="71" t="s">
        <v>1391</v>
      </c>
      <c r="AB79" s="71" t="s">
        <v>109</v>
      </c>
      <c r="AC79" s="71" t="s">
        <v>145</v>
      </c>
    </row>
    <row r="80" spans="1:29" ht="18.75" customHeight="1">
      <c r="A80" s="66" t="s">
        <v>70</v>
      </c>
      <c r="B80" s="71" t="s">
        <v>210</v>
      </c>
      <c r="C80" s="71" t="s">
        <v>74</v>
      </c>
      <c r="D80" s="71" t="s">
        <v>886</v>
      </c>
      <c r="E80" s="71" t="s">
        <v>1380</v>
      </c>
      <c r="F80" s="71" t="s">
        <v>1027</v>
      </c>
      <c r="G80" s="66"/>
      <c r="H80" s="71" t="s">
        <v>133</v>
      </c>
      <c r="I80" s="71" t="s">
        <v>218</v>
      </c>
      <c r="J80" s="71" t="s">
        <v>1069</v>
      </c>
      <c r="K80" s="71" t="s">
        <v>1082</v>
      </c>
      <c r="L80" s="71"/>
      <c r="M80" s="71"/>
      <c r="N80" s="71"/>
      <c r="O80" s="71" t="s">
        <v>129</v>
      </c>
      <c r="P80" s="71" t="s">
        <v>890</v>
      </c>
      <c r="Q80" s="66" t="s">
        <v>1014</v>
      </c>
      <c r="R80" s="71"/>
      <c r="S80" s="71"/>
      <c r="T80" s="66"/>
      <c r="U80" s="71"/>
      <c r="V80" s="71" t="s">
        <v>1382</v>
      </c>
      <c r="W80" s="66" t="s">
        <v>1071</v>
      </c>
      <c r="X80" s="71" t="s">
        <v>1397</v>
      </c>
      <c r="Y80" s="71" t="s">
        <v>1022</v>
      </c>
      <c r="Z80" s="71" t="s">
        <v>1398</v>
      </c>
      <c r="AA80" s="71" t="s">
        <v>1399</v>
      </c>
      <c r="AB80" s="71" t="s">
        <v>109</v>
      </c>
      <c r="AC80" s="71" t="s">
        <v>145</v>
      </c>
    </row>
    <row r="81" spans="1:29" ht="18.75" customHeight="1">
      <c r="A81" s="66" t="s">
        <v>70</v>
      </c>
      <c r="B81" s="71" t="s">
        <v>210</v>
      </c>
      <c r="C81" s="71" t="s">
        <v>74</v>
      </c>
      <c r="D81" s="71" t="s">
        <v>213</v>
      </c>
      <c r="E81" s="71" t="s">
        <v>1380</v>
      </c>
      <c r="F81" s="71" t="s">
        <v>217</v>
      </c>
      <c r="G81" s="66"/>
      <c r="H81" s="71" t="s">
        <v>133</v>
      </c>
      <c r="I81" s="71" t="s">
        <v>218</v>
      </c>
      <c r="J81" s="71" t="s">
        <v>1069</v>
      </c>
      <c r="K81" s="71" t="s">
        <v>1095</v>
      </c>
      <c r="L81" s="71"/>
      <c r="M81" s="71"/>
      <c r="N81" s="71"/>
      <c r="O81" s="71" t="s">
        <v>129</v>
      </c>
      <c r="P81" s="71" t="s">
        <v>224</v>
      </c>
      <c r="Q81" s="66" t="s">
        <v>1014</v>
      </c>
      <c r="R81" s="71"/>
      <c r="S81" s="71"/>
      <c r="T81" s="66"/>
      <c r="U81" s="71"/>
      <c r="V81" s="71" t="s">
        <v>1022</v>
      </c>
      <c r="W81" s="66" t="s">
        <v>1404</v>
      </c>
      <c r="X81" s="71" t="s">
        <v>1405</v>
      </c>
      <c r="Y81" s="71" t="s">
        <v>1022</v>
      </c>
      <c r="Z81" s="71" t="s">
        <v>1406</v>
      </c>
      <c r="AA81" s="71" t="s">
        <v>1407</v>
      </c>
      <c r="AB81" s="71" t="s">
        <v>109</v>
      </c>
      <c r="AC81" s="71" t="s">
        <v>145</v>
      </c>
    </row>
    <row r="82" spans="1:29" ht="18.75" customHeight="1">
      <c r="A82" s="17" t="s">
        <v>70</v>
      </c>
      <c r="B82" s="18" t="s">
        <v>210</v>
      </c>
      <c r="C82" s="18" t="s">
        <v>74</v>
      </c>
      <c r="D82" s="18" t="s">
        <v>853</v>
      </c>
      <c r="E82" s="18" t="s">
        <v>216</v>
      </c>
      <c r="F82" s="21" t="s">
        <v>79</v>
      </c>
      <c r="G82" s="66"/>
      <c r="H82" s="18" t="s">
        <v>133</v>
      </c>
      <c r="I82" s="21" t="s">
        <v>1411</v>
      </c>
      <c r="J82" s="18">
        <v>23809</v>
      </c>
      <c r="K82" s="18" t="s">
        <v>1010</v>
      </c>
      <c r="L82" s="18" t="s">
        <v>220</v>
      </c>
      <c r="M82" s="18" t="s">
        <v>221</v>
      </c>
      <c r="N82" s="18" t="s">
        <v>79</v>
      </c>
      <c r="O82" s="18" t="s">
        <v>98</v>
      </c>
      <c r="P82" s="18" t="s">
        <v>857</v>
      </c>
      <c r="Q82" s="17" t="s">
        <v>1418</v>
      </c>
      <c r="R82" s="18" t="s">
        <v>1420</v>
      </c>
      <c r="S82" s="18" t="s">
        <v>1421</v>
      </c>
      <c r="T82" s="17" t="s">
        <v>62</v>
      </c>
      <c r="U82" s="17" t="s">
        <v>62</v>
      </c>
      <c r="V82" s="18" t="s">
        <v>906</v>
      </c>
      <c r="W82" s="17" t="s">
        <v>1423</v>
      </c>
      <c r="X82" s="18" t="s">
        <v>1424</v>
      </c>
      <c r="Y82" s="18" t="s">
        <v>1426</v>
      </c>
      <c r="Z82" s="18" t="s">
        <v>1427</v>
      </c>
      <c r="AA82" s="18" t="s">
        <v>1428</v>
      </c>
      <c r="AB82" s="18" t="s">
        <v>109</v>
      </c>
      <c r="AC82" s="18" t="s">
        <v>145</v>
      </c>
    </row>
    <row r="83" spans="1:29" ht="18.75" customHeight="1">
      <c r="A83" s="17" t="s">
        <v>70</v>
      </c>
      <c r="B83" s="18" t="s">
        <v>210</v>
      </c>
      <c r="C83" s="18" t="s">
        <v>74</v>
      </c>
      <c r="D83" s="18" t="s">
        <v>868</v>
      </c>
      <c r="E83" s="18" t="s">
        <v>216</v>
      </c>
      <c r="F83" s="21" t="s">
        <v>79</v>
      </c>
      <c r="G83" s="66"/>
      <c r="H83" s="18" t="s">
        <v>133</v>
      </c>
      <c r="I83" s="21" t="s">
        <v>1411</v>
      </c>
      <c r="J83" s="18">
        <v>23809</v>
      </c>
      <c r="K83" s="18" t="s">
        <v>772</v>
      </c>
      <c r="L83" s="18" t="s">
        <v>220</v>
      </c>
      <c r="M83" s="18" t="s">
        <v>221</v>
      </c>
      <c r="N83" s="18" t="s">
        <v>79</v>
      </c>
      <c r="O83" s="18" t="s">
        <v>98</v>
      </c>
      <c r="P83" s="18" t="s">
        <v>872</v>
      </c>
      <c r="Q83" s="17" t="s">
        <v>1433</v>
      </c>
      <c r="R83" s="18" t="s">
        <v>1435</v>
      </c>
      <c r="S83" s="18" t="s">
        <v>1436</v>
      </c>
      <c r="T83" s="17" t="s">
        <v>62</v>
      </c>
      <c r="U83" s="17" t="s">
        <v>62</v>
      </c>
      <c r="V83" s="18" t="s">
        <v>1300</v>
      </c>
      <c r="W83" s="17" t="s">
        <v>1438</v>
      </c>
      <c r="X83" s="18" t="s">
        <v>1439</v>
      </c>
      <c r="Y83" s="18" t="s">
        <v>1440</v>
      </c>
      <c r="Z83" s="18" t="s">
        <v>1441</v>
      </c>
      <c r="AA83" s="18" t="s">
        <v>1442</v>
      </c>
      <c r="AB83" s="18" t="s">
        <v>109</v>
      </c>
      <c r="AC83" s="18" t="s">
        <v>145</v>
      </c>
    </row>
    <row r="84" spans="1:29" ht="18.75" customHeight="1">
      <c r="A84" s="17" t="s">
        <v>70</v>
      </c>
      <c r="B84" s="18" t="s">
        <v>210</v>
      </c>
      <c r="C84" s="18" t="s">
        <v>74</v>
      </c>
      <c r="D84" s="18" t="s">
        <v>886</v>
      </c>
      <c r="E84" s="18" t="s">
        <v>216</v>
      </c>
      <c r="F84" s="21" t="s">
        <v>79</v>
      </c>
      <c r="G84" s="66"/>
      <c r="H84" s="18" t="s">
        <v>133</v>
      </c>
      <c r="I84" s="21" t="s">
        <v>1411</v>
      </c>
      <c r="J84" s="18">
        <v>23809</v>
      </c>
      <c r="K84" s="18" t="s">
        <v>1443</v>
      </c>
      <c r="L84" s="18" t="s">
        <v>220</v>
      </c>
      <c r="M84" s="18" t="s">
        <v>221</v>
      </c>
      <c r="N84" s="18" t="s">
        <v>79</v>
      </c>
      <c r="O84" s="18" t="s">
        <v>98</v>
      </c>
      <c r="P84" s="18" t="s">
        <v>890</v>
      </c>
      <c r="Q84" s="17" t="s">
        <v>1446</v>
      </c>
      <c r="R84" s="18" t="s">
        <v>1447</v>
      </c>
      <c r="S84" s="18" t="s">
        <v>1448</v>
      </c>
      <c r="T84" s="17" t="s">
        <v>62</v>
      </c>
      <c r="U84" s="17" t="s">
        <v>62</v>
      </c>
      <c r="V84" s="18" t="s">
        <v>1449</v>
      </c>
      <c r="W84" s="17" t="s">
        <v>1450</v>
      </c>
      <c r="X84" s="18" t="s">
        <v>1451</v>
      </c>
      <c r="Y84" s="18" t="s">
        <v>1452</v>
      </c>
      <c r="Z84" s="18" t="s">
        <v>1453</v>
      </c>
      <c r="AA84" s="18" t="s">
        <v>1454</v>
      </c>
      <c r="AB84" s="18" t="s">
        <v>109</v>
      </c>
      <c r="AC84" s="18" t="s">
        <v>145</v>
      </c>
    </row>
    <row r="85" spans="1:29" ht="18.75" customHeight="1">
      <c r="A85" s="17" t="s">
        <v>70</v>
      </c>
      <c r="B85" s="18" t="s">
        <v>210</v>
      </c>
      <c r="C85" s="18" t="s">
        <v>74</v>
      </c>
      <c r="D85" s="18" t="s">
        <v>213</v>
      </c>
      <c r="E85" s="18" t="s">
        <v>216</v>
      </c>
      <c r="F85" s="21" t="s">
        <v>79</v>
      </c>
      <c r="G85" s="66"/>
      <c r="H85" s="18" t="s">
        <v>133</v>
      </c>
      <c r="I85" s="21" t="s">
        <v>1411</v>
      </c>
      <c r="J85" s="18">
        <v>23809</v>
      </c>
      <c r="K85" s="18" t="s">
        <v>214</v>
      </c>
      <c r="L85" s="18" t="s">
        <v>220</v>
      </c>
      <c r="M85" s="18" t="s">
        <v>221</v>
      </c>
      <c r="N85" s="18" t="s">
        <v>79</v>
      </c>
      <c r="O85" s="18" t="s">
        <v>98</v>
      </c>
      <c r="P85" s="18" t="s">
        <v>224</v>
      </c>
      <c r="Q85" s="17" t="s">
        <v>226</v>
      </c>
      <c r="R85" s="18" t="s">
        <v>235</v>
      </c>
      <c r="S85" s="18" t="s">
        <v>237</v>
      </c>
      <c r="T85" s="17" t="s">
        <v>62</v>
      </c>
      <c r="U85" s="17" t="s">
        <v>62</v>
      </c>
      <c r="V85" s="18" t="s">
        <v>239</v>
      </c>
      <c r="W85" s="17" t="s">
        <v>240</v>
      </c>
      <c r="X85" s="18" t="s">
        <v>241</v>
      </c>
      <c r="Y85" s="18" t="s">
        <v>242</v>
      </c>
      <c r="Z85" s="18" t="s">
        <v>243</v>
      </c>
      <c r="AA85" s="18" t="s">
        <v>244</v>
      </c>
      <c r="AB85" s="18" t="s">
        <v>109</v>
      </c>
      <c r="AC85" s="18" t="s">
        <v>145</v>
      </c>
    </row>
    <row r="86" spans="1:29" ht="18.75" customHeight="1">
      <c r="A86" s="5" t="s">
        <v>52</v>
      </c>
      <c r="B86" s="5" t="s">
        <v>55</v>
      </c>
      <c r="C86" s="5" t="s">
        <v>74</v>
      </c>
      <c r="D86" s="17" t="s">
        <v>249</v>
      </c>
      <c r="E86" s="5" t="s">
        <v>58</v>
      </c>
      <c r="F86" s="17" t="s">
        <v>252</v>
      </c>
      <c r="G86" s="5" t="s">
        <v>254</v>
      </c>
      <c r="H86" s="5" t="s">
        <v>256</v>
      </c>
      <c r="I86" s="5" t="s">
        <v>256</v>
      </c>
      <c r="J86" s="89">
        <f t="shared" ref="J86:J101" si="0">L86+M86</f>
        <v>916</v>
      </c>
      <c r="K86" s="5">
        <v>6</v>
      </c>
      <c r="L86" s="90">
        <v>132</v>
      </c>
      <c r="M86" s="90">
        <v>784</v>
      </c>
      <c r="N86" s="5" t="s">
        <v>79</v>
      </c>
      <c r="O86" s="5" t="s">
        <v>98</v>
      </c>
      <c r="P86" s="5" t="s">
        <v>1463</v>
      </c>
      <c r="Q86" s="91" t="s">
        <v>269</v>
      </c>
      <c r="R86" s="92" t="s">
        <v>271</v>
      </c>
      <c r="S86" s="91" t="s">
        <v>272</v>
      </c>
      <c r="T86" s="2">
        <v>5.6074215509999998</v>
      </c>
      <c r="U86" s="2">
        <v>0.34631043500000003</v>
      </c>
      <c r="V86" s="91" t="s">
        <v>273</v>
      </c>
      <c r="W86" s="91" t="s">
        <v>274</v>
      </c>
      <c r="X86" s="91" t="s">
        <v>276</v>
      </c>
      <c r="Y86" s="91" t="s">
        <v>277</v>
      </c>
      <c r="Z86" s="92" t="s">
        <v>278</v>
      </c>
      <c r="AA86" s="91" t="s">
        <v>280</v>
      </c>
      <c r="AB86" s="5" t="s">
        <v>140</v>
      </c>
      <c r="AC86" s="5" t="s">
        <v>145</v>
      </c>
    </row>
    <row r="87" spans="1:29" ht="18.75" customHeight="1">
      <c r="A87" s="5" t="s">
        <v>52</v>
      </c>
      <c r="B87" s="5" t="s">
        <v>55</v>
      </c>
      <c r="C87" s="5" t="s">
        <v>74</v>
      </c>
      <c r="D87" s="17" t="s">
        <v>294</v>
      </c>
      <c r="E87" s="5" t="s">
        <v>1464</v>
      </c>
      <c r="F87" s="17" t="s">
        <v>296</v>
      </c>
      <c r="G87" s="5" t="s">
        <v>254</v>
      </c>
      <c r="H87" s="5" t="s">
        <v>256</v>
      </c>
      <c r="I87" s="5" t="s">
        <v>256</v>
      </c>
      <c r="J87" s="89">
        <f t="shared" si="0"/>
        <v>916</v>
      </c>
      <c r="K87" s="5">
        <v>41</v>
      </c>
      <c r="L87" s="90">
        <v>132</v>
      </c>
      <c r="M87" s="90">
        <v>784</v>
      </c>
      <c r="N87" s="5" t="s">
        <v>79</v>
      </c>
      <c r="O87" s="5" t="s">
        <v>98</v>
      </c>
      <c r="P87" s="5" t="s">
        <v>1469</v>
      </c>
      <c r="Q87" s="91" t="s">
        <v>303</v>
      </c>
      <c r="R87" s="92" t="s">
        <v>1470</v>
      </c>
      <c r="S87" s="91" t="s">
        <v>305</v>
      </c>
      <c r="T87" s="2">
        <v>40.979549370000001</v>
      </c>
      <c r="U87" s="2">
        <v>0.42735600000000001</v>
      </c>
      <c r="V87" s="91" t="s">
        <v>306</v>
      </c>
      <c r="W87" s="91" t="s">
        <v>307</v>
      </c>
      <c r="X87" s="91" t="s">
        <v>308</v>
      </c>
      <c r="Y87" s="91" t="s">
        <v>310</v>
      </c>
      <c r="Z87" s="92" t="s">
        <v>311</v>
      </c>
      <c r="AA87" s="91" t="s">
        <v>312</v>
      </c>
      <c r="AB87" s="5" t="s">
        <v>140</v>
      </c>
      <c r="AC87" s="5" t="s">
        <v>145</v>
      </c>
    </row>
    <row r="88" spans="1:29" ht="13.9">
      <c r="A88" s="5" t="s">
        <v>52</v>
      </c>
      <c r="B88" s="5" t="s">
        <v>55</v>
      </c>
      <c r="C88" s="5" t="s">
        <v>74</v>
      </c>
      <c r="D88" s="17" t="s">
        <v>524</v>
      </c>
      <c r="E88" s="5" t="s">
        <v>1473</v>
      </c>
      <c r="F88" s="17" t="s">
        <v>527</v>
      </c>
      <c r="G88" s="5" t="s">
        <v>254</v>
      </c>
      <c r="H88" s="5" t="s">
        <v>256</v>
      </c>
      <c r="I88" s="5" t="s">
        <v>256</v>
      </c>
      <c r="J88" s="89">
        <f t="shared" si="0"/>
        <v>916</v>
      </c>
      <c r="K88" s="5">
        <v>47</v>
      </c>
      <c r="L88" s="90">
        <v>132</v>
      </c>
      <c r="M88" s="90">
        <v>784</v>
      </c>
      <c r="N88" s="5" t="s">
        <v>79</v>
      </c>
      <c r="O88" s="5" t="s">
        <v>98</v>
      </c>
      <c r="P88" s="5" t="s">
        <v>1475</v>
      </c>
      <c r="Q88" s="91" t="s">
        <v>534</v>
      </c>
      <c r="R88" s="92" t="s">
        <v>536</v>
      </c>
      <c r="S88" s="91" t="s">
        <v>537</v>
      </c>
      <c r="T88" s="2">
        <v>45.959905910000003</v>
      </c>
      <c r="U88" s="2">
        <v>0.47392800000000002</v>
      </c>
      <c r="V88" s="91" t="s">
        <v>542</v>
      </c>
      <c r="W88" s="91" t="s">
        <v>543</v>
      </c>
      <c r="X88" s="91" t="s">
        <v>545</v>
      </c>
      <c r="Y88" s="91" t="s">
        <v>546</v>
      </c>
      <c r="Z88" s="93" t="s">
        <v>548</v>
      </c>
      <c r="AA88" s="91" t="s">
        <v>549</v>
      </c>
      <c r="AB88" s="5" t="s">
        <v>140</v>
      </c>
      <c r="AC88" s="5" t="s">
        <v>145</v>
      </c>
    </row>
    <row r="89" spans="1:29" ht="13.9">
      <c r="A89" s="5" t="s">
        <v>52</v>
      </c>
      <c r="B89" s="5" t="s">
        <v>55</v>
      </c>
      <c r="C89" s="5" t="s">
        <v>74</v>
      </c>
      <c r="D89" s="17" t="s">
        <v>342</v>
      </c>
      <c r="E89" s="5" t="s">
        <v>1480</v>
      </c>
      <c r="F89" s="17" t="s">
        <v>344</v>
      </c>
      <c r="G89" s="5" t="s">
        <v>254</v>
      </c>
      <c r="H89" s="5" t="s">
        <v>256</v>
      </c>
      <c r="I89" s="5" t="s">
        <v>256</v>
      </c>
      <c r="J89" s="89">
        <f t="shared" si="0"/>
        <v>916</v>
      </c>
      <c r="K89" s="5">
        <v>23</v>
      </c>
      <c r="L89" s="90">
        <v>132</v>
      </c>
      <c r="M89" s="90">
        <v>784</v>
      </c>
      <c r="N89" s="5" t="s">
        <v>79</v>
      </c>
      <c r="O89" s="5" t="s">
        <v>98</v>
      </c>
      <c r="P89" s="5" t="s">
        <v>1481</v>
      </c>
      <c r="Q89" s="91" t="s">
        <v>347</v>
      </c>
      <c r="R89" s="92" t="s">
        <v>348</v>
      </c>
      <c r="S89" s="91" t="s">
        <v>350</v>
      </c>
      <c r="T89" s="2">
        <v>30.016255869999998</v>
      </c>
      <c r="U89" s="2">
        <v>0.11806999999999999</v>
      </c>
      <c r="V89" s="91" t="s">
        <v>352</v>
      </c>
      <c r="W89" s="91" t="s">
        <v>353</v>
      </c>
      <c r="X89" s="91" t="s">
        <v>355</v>
      </c>
      <c r="Y89" s="91" t="s">
        <v>356</v>
      </c>
      <c r="Z89" s="92" t="s">
        <v>358</v>
      </c>
      <c r="AA89" s="91" t="s">
        <v>359</v>
      </c>
      <c r="AB89" s="5" t="s">
        <v>140</v>
      </c>
      <c r="AC89" s="5" t="s">
        <v>145</v>
      </c>
    </row>
    <row r="90" spans="1:29" ht="13.9">
      <c r="A90" s="9" t="s">
        <v>52</v>
      </c>
      <c r="B90" s="9" t="s">
        <v>67</v>
      </c>
      <c r="C90" s="9" t="s">
        <v>74</v>
      </c>
      <c r="D90" s="9" t="s">
        <v>75</v>
      </c>
      <c r="E90" s="9" t="s">
        <v>389</v>
      </c>
      <c r="F90" s="9" t="s">
        <v>113</v>
      </c>
      <c r="G90" s="9" t="s">
        <v>390</v>
      </c>
      <c r="H90" s="9" t="s">
        <v>133</v>
      </c>
      <c r="I90" s="9" t="s">
        <v>394</v>
      </c>
      <c r="J90" s="9">
        <f t="shared" si="0"/>
        <v>228951</v>
      </c>
      <c r="K90" s="9">
        <v>48</v>
      </c>
      <c r="L90" s="9">
        <v>122977</v>
      </c>
      <c r="M90" s="9">
        <v>105974</v>
      </c>
      <c r="N90" s="9" t="s">
        <v>97</v>
      </c>
      <c r="O90" s="9" t="s">
        <v>98</v>
      </c>
      <c r="P90" s="9">
        <v>15.64</v>
      </c>
      <c r="Q90" s="94" t="s">
        <v>590</v>
      </c>
      <c r="R90" s="94" t="s">
        <v>591</v>
      </c>
      <c r="S90" s="94" t="s">
        <v>592</v>
      </c>
      <c r="T90" s="94" t="s">
        <v>593</v>
      </c>
      <c r="U90" s="94" t="s">
        <v>594</v>
      </c>
      <c r="V90" s="94" t="s">
        <v>595</v>
      </c>
      <c r="W90" s="94" t="s">
        <v>596</v>
      </c>
      <c r="X90" s="94" t="s">
        <v>597</v>
      </c>
      <c r="Y90" s="94" t="s">
        <v>599</v>
      </c>
      <c r="Z90" s="94" t="s">
        <v>600</v>
      </c>
      <c r="AA90" s="94" t="s">
        <v>602</v>
      </c>
      <c r="AB90" s="9" t="s">
        <v>140</v>
      </c>
      <c r="AC90" s="9" t="s">
        <v>204</v>
      </c>
    </row>
    <row r="91" spans="1:29" ht="13.9">
      <c r="A91" s="9" t="s">
        <v>52</v>
      </c>
      <c r="B91" s="9" t="s">
        <v>67</v>
      </c>
      <c r="C91" s="9" t="s">
        <v>74</v>
      </c>
      <c r="D91" s="9" t="s">
        <v>164</v>
      </c>
      <c r="E91" s="9" t="s">
        <v>389</v>
      </c>
      <c r="F91" s="9" t="s">
        <v>165</v>
      </c>
      <c r="G91" s="9" t="s">
        <v>390</v>
      </c>
      <c r="H91" s="9" t="s">
        <v>133</v>
      </c>
      <c r="I91" s="9" t="s">
        <v>394</v>
      </c>
      <c r="J91" s="9">
        <f t="shared" si="0"/>
        <v>228951</v>
      </c>
      <c r="K91" s="9">
        <v>38</v>
      </c>
      <c r="L91" s="9">
        <v>122977</v>
      </c>
      <c r="M91" s="9">
        <v>105974</v>
      </c>
      <c r="N91" s="9" t="s">
        <v>97</v>
      </c>
      <c r="O91" s="9" t="s">
        <v>98</v>
      </c>
      <c r="P91" s="9">
        <v>24.745999999999999</v>
      </c>
      <c r="Q91" s="94" t="s">
        <v>407</v>
      </c>
      <c r="R91" s="94" t="s">
        <v>409</v>
      </c>
      <c r="S91" s="94" t="s">
        <v>412</v>
      </c>
      <c r="T91" s="94" t="s">
        <v>414</v>
      </c>
      <c r="U91" s="94" t="s">
        <v>415</v>
      </c>
      <c r="V91" s="94" t="s">
        <v>416</v>
      </c>
      <c r="W91" s="94" t="s">
        <v>417</v>
      </c>
      <c r="X91" s="94" t="s">
        <v>418</v>
      </c>
      <c r="Y91" s="94" t="s">
        <v>419</v>
      </c>
      <c r="Z91" s="94" t="s">
        <v>420</v>
      </c>
      <c r="AA91" s="94" t="s">
        <v>421</v>
      </c>
      <c r="AB91" s="9" t="s">
        <v>140</v>
      </c>
      <c r="AC91" s="9" t="s">
        <v>204</v>
      </c>
    </row>
    <row r="92" spans="1:29" ht="13.9">
      <c r="A92" s="9" t="s">
        <v>52</v>
      </c>
      <c r="B92" s="9" t="s">
        <v>67</v>
      </c>
      <c r="C92" s="9" t="s">
        <v>74</v>
      </c>
      <c r="D92" s="9" t="s">
        <v>246</v>
      </c>
      <c r="E92" s="9" t="s">
        <v>389</v>
      </c>
      <c r="F92" s="9" t="s">
        <v>248</v>
      </c>
      <c r="G92" s="9" t="s">
        <v>390</v>
      </c>
      <c r="H92" s="9" t="s">
        <v>133</v>
      </c>
      <c r="I92" s="9" t="s">
        <v>394</v>
      </c>
      <c r="J92" s="9">
        <f t="shared" si="0"/>
        <v>228951</v>
      </c>
      <c r="K92" s="9">
        <v>17</v>
      </c>
      <c r="L92" s="9">
        <v>122977</v>
      </c>
      <c r="M92" s="9">
        <v>105974</v>
      </c>
      <c r="N92" s="9" t="s">
        <v>97</v>
      </c>
      <c r="O92" s="9" t="s">
        <v>98</v>
      </c>
      <c r="P92" s="9">
        <v>20.818000000000001</v>
      </c>
      <c r="Q92" s="94" t="s">
        <v>434</v>
      </c>
      <c r="R92" s="94" t="s">
        <v>436</v>
      </c>
      <c r="S92" s="94" t="s">
        <v>437</v>
      </c>
      <c r="T92" s="94" t="s">
        <v>439</v>
      </c>
      <c r="U92" s="94" t="s">
        <v>440</v>
      </c>
      <c r="V92" s="94" t="s">
        <v>441</v>
      </c>
      <c r="W92" s="94" t="s">
        <v>442</v>
      </c>
      <c r="X92" s="94" t="s">
        <v>444</v>
      </c>
      <c r="Y92" s="94" t="s">
        <v>449</v>
      </c>
      <c r="Z92" s="94" t="s">
        <v>451</v>
      </c>
      <c r="AA92" s="94" t="s">
        <v>454</v>
      </c>
      <c r="AB92" s="9" t="s">
        <v>140</v>
      </c>
      <c r="AC92" s="9" t="s">
        <v>204</v>
      </c>
    </row>
    <row r="93" spans="1:29" ht="13.9">
      <c r="A93" s="9" t="s">
        <v>52</v>
      </c>
      <c r="B93" s="9" t="s">
        <v>67</v>
      </c>
      <c r="C93" s="9" t="s">
        <v>74</v>
      </c>
      <c r="D93" s="9" t="s">
        <v>459</v>
      </c>
      <c r="E93" s="9" t="s">
        <v>389</v>
      </c>
      <c r="F93" s="9" t="s">
        <v>215</v>
      </c>
      <c r="G93" s="9" t="s">
        <v>390</v>
      </c>
      <c r="H93" s="9" t="s">
        <v>133</v>
      </c>
      <c r="I93" s="9" t="s">
        <v>394</v>
      </c>
      <c r="J93" s="9">
        <f t="shared" si="0"/>
        <v>228951</v>
      </c>
      <c r="K93" s="9">
        <v>16</v>
      </c>
      <c r="L93" s="9">
        <v>122977</v>
      </c>
      <c r="M93" s="9">
        <v>105974</v>
      </c>
      <c r="N93" s="9" t="s">
        <v>97</v>
      </c>
      <c r="O93" s="9" t="s">
        <v>98</v>
      </c>
      <c r="P93" s="9">
        <v>17.041</v>
      </c>
      <c r="Q93" s="94" t="s">
        <v>465</v>
      </c>
      <c r="R93" s="94" t="s">
        <v>466</v>
      </c>
      <c r="S93" s="94" t="s">
        <v>467</v>
      </c>
      <c r="T93" s="94" t="s">
        <v>468</v>
      </c>
      <c r="U93" s="94" t="s">
        <v>470</v>
      </c>
      <c r="V93" s="94" t="s">
        <v>472</v>
      </c>
      <c r="W93" s="94" t="s">
        <v>474</v>
      </c>
      <c r="X93" s="94" t="s">
        <v>476</v>
      </c>
      <c r="Y93" s="94" t="s">
        <v>478</v>
      </c>
      <c r="Z93" s="94" t="s">
        <v>481</v>
      </c>
      <c r="AA93" s="94" t="s">
        <v>484</v>
      </c>
      <c r="AB93" s="9" t="s">
        <v>140</v>
      </c>
      <c r="AC93" s="9" t="s">
        <v>204</v>
      </c>
    </row>
    <row r="94" spans="1:29" ht="13.9">
      <c r="A94" s="9" t="s">
        <v>52</v>
      </c>
      <c r="B94" s="9" t="s">
        <v>67</v>
      </c>
      <c r="C94" s="9" t="s">
        <v>74</v>
      </c>
      <c r="D94" s="9" t="s">
        <v>75</v>
      </c>
      <c r="E94" s="9" t="s">
        <v>515</v>
      </c>
      <c r="F94" s="9" t="s">
        <v>113</v>
      </c>
      <c r="G94" s="9" t="s">
        <v>516</v>
      </c>
      <c r="H94" s="9" t="s">
        <v>133</v>
      </c>
      <c r="I94" s="9" t="s">
        <v>394</v>
      </c>
      <c r="J94" s="9">
        <f t="shared" si="0"/>
        <v>175475</v>
      </c>
      <c r="K94" s="9">
        <v>51</v>
      </c>
      <c r="L94" s="9">
        <v>69501</v>
      </c>
      <c r="M94" s="9">
        <v>105974</v>
      </c>
      <c r="N94" s="9" t="s">
        <v>97</v>
      </c>
      <c r="O94" s="9" t="s">
        <v>98</v>
      </c>
      <c r="P94" s="9">
        <v>15.64</v>
      </c>
      <c r="Q94" s="94" t="s">
        <v>708</v>
      </c>
      <c r="R94" s="94" t="s">
        <v>710</v>
      </c>
      <c r="S94" s="94" t="s">
        <v>180</v>
      </c>
      <c r="T94" s="94" t="s">
        <v>713</v>
      </c>
      <c r="U94" s="94" t="s">
        <v>715</v>
      </c>
      <c r="V94" s="94" t="s">
        <v>717</v>
      </c>
      <c r="W94" s="94" t="s">
        <v>719</v>
      </c>
      <c r="X94" s="94" t="s">
        <v>721</v>
      </c>
      <c r="Y94" s="94" t="s">
        <v>722</v>
      </c>
      <c r="Z94" s="94" t="s">
        <v>723</v>
      </c>
      <c r="AA94" s="94" t="s">
        <v>724</v>
      </c>
      <c r="AB94" s="9" t="s">
        <v>140</v>
      </c>
      <c r="AC94" s="9" t="s">
        <v>204</v>
      </c>
    </row>
    <row r="95" spans="1:29" ht="13.9">
      <c r="A95" s="9" t="s">
        <v>52</v>
      </c>
      <c r="B95" s="9" t="s">
        <v>67</v>
      </c>
      <c r="C95" s="9" t="s">
        <v>74</v>
      </c>
      <c r="D95" s="9" t="s">
        <v>164</v>
      </c>
      <c r="E95" s="9" t="s">
        <v>515</v>
      </c>
      <c r="F95" s="9" t="s">
        <v>165</v>
      </c>
      <c r="G95" s="9" t="s">
        <v>516</v>
      </c>
      <c r="H95" s="9" t="s">
        <v>133</v>
      </c>
      <c r="I95" s="9" t="s">
        <v>394</v>
      </c>
      <c r="J95" s="9">
        <f t="shared" si="0"/>
        <v>175475</v>
      </c>
      <c r="K95" s="9">
        <v>38</v>
      </c>
      <c r="L95" s="9">
        <v>69501</v>
      </c>
      <c r="M95" s="9">
        <v>105974</v>
      </c>
      <c r="N95" s="9" t="s">
        <v>97</v>
      </c>
      <c r="O95" s="9" t="s">
        <v>98</v>
      </c>
      <c r="P95" s="9">
        <v>24.745999999999999</v>
      </c>
      <c r="Q95" s="94" t="s">
        <v>522</v>
      </c>
      <c r="R95" s="94" t="s">
        <v>523</v>
      </c>
      <c r="S95" s="94" t="s">
        <v>418</v>
      </c>
      <c r="T95" s="94" t="s">
        <v>525</v>
      </c>
      <c r="U95" s="94" t="s">
        <v>528</v>
      </c>
      <c r="V95" s="94" t="s">
        <v>529</v>
      </c>
      <c r="W95" s="94" t="s">
        <v>531</v>
      </c>
      <c r="X95" s="94" t="s">
        <v>533</v>
      </c>
      <c r="Y95" s="94" t="s">
        <v>535</v>
      </c>
      <c r="Z95" s="94" t="s">
        <v>539</v>
      </c>
      <c r="AA95" s="94" t="s">
        <v>541</v>
      </c>
      <c r="AB95" s="9" t="s">
        <v>140</v>
      </c>
      <c r="AC95" s="9" t="s">
        <v>204</v>
      </c>
    </row>
    <row r="96" spans="1:29" ht="13.9">
      <c r="A96" s="9" t="s">
        <v>52</v>
      </c>
      <c r="B96" s="9" t="s">
        <v>67</v>
      </c>
      <c r="C96" s="9" t="s">
        <v>74</v>
      </c>
      <c r="D96" s="9" t="s">
        <v>246</v>
      </c>
      <c r="E96" s="9" t="s">
        <v>515</v>
      </c>
      <c r="F96" s="9" t="s">
        <v>248</v>
      </c>
      <c r="G96" s="9" t="s">
        <v>516</v>
      </c>
      <c r="H96" s="9" t="s">
        <v>133</v>
      </c>
      <c r="I96" s="9" t="s">
        <v>394</v>
      </c>
      <c r="J96" s="9">
        <f t="shared" si="0"/>
        <v>175475</v>
      </c>
      <c r="K96" s="9">
        <v>17</v>
      </c>
      <c r="L96" s="9">
        <v>69501</v>
      </c>
      <c r="M96" s="9">
        <v>105974</v>
      </c>
      <c r="N96" s="9" t="s">
        <v>97</v>
      </c>
      <c r="O96" s="9" t="s">
        <v>98</v>
      </c>
      <c r="P96" s="9">
        <v>20.818000000000001</v>
      </c>
      <c r="Q96" s="94" t="s">
        <v>565</v>
      </c>
      <c r="R96" s="94" t="s">
        <v>567</v>
      </c>
      <c r="S96" s="94" t="s">
        <v>568</v>
      </c>
      <c r="T96" s="94" t="s">
        <v>570</v>
      </c>
      <c r="U96" s="94" t="s">
        <v>571</v>
      </c>
      <c r="V96" s="94" t="s">
        <v>573</v>
      </c>
      <c r="W96" s="94" t="s">
        <v>575</v>
      </c>
      <c r="X96" s="94" t="s">
        <v>578</v>
      </c>
      <c r="Y96" s="94" t="s">
        <v>579</v>
      </c>
      <c r="Z96" s="94" t="s">
        <v>581</v>
      </c>
      <c r="AA96" s="94" t="s">
        <v>584</v>
      </c>
      <c r="AB96" s="9" t="s">
        <v>140</v>
      </c>
      <c r="AC96" s="9" t="s">
        <v>204</v>
      </c>
    </row>
    <row r="97" spans="1:29" ht="13.9">
      <c r="A97" s="9" t="s">
        <v>52</v>
      </c>
      <c r="B97" s="9" t="s">
        <v>67</v>
      </c>
      <c r="C97" s="9" t="s">
        <v>74</v>
      </c>
      <c r="D97" s="9" t="s">
        <v>459</v>
      </c>
      <c r="E97" s="9" t="s">
        <v>515</v>
      </c>
      <c r="F97" s="9" t="s">
        <v>215</v>
      </c>
      <c r="G97" s="9" t="s">
        <v>516</v>
      </c>
      <c r="H97" s="9" t="s">
        <v>133</v>
      </c>
      <c r="I97" s="9" t="s">
        <v>394</v>
      </c>
      <c r="J97" s="9">
        <f t="shared" si="0"/>
        <v>175475</v>
      </c>
      <c r="K97" s="9">
        <v>16</v>
      </c>
      <c r="L97" s="9">
        <v>69501</v>
      </c>
      <c r="M97" s="9">
        <v>105974</v>
      </c>
      <c r="N97" s="9" t="s">
        <v>97</v>
      </c>
      <c r="O97" s="9" t="s">
        <v>98</v>
      </c>
      <c r="P97" s="9">
        <v>17.041</v>
      </c>
      <c r="Q97" s="94" t="s">
        <v>606</v>
      </c>
      <c r="R97" s="94" t="s">
        <v>607</v>
      </c>
      <c r="S97" s="94" t="s">
        <v>609</v>
      </c>
      <c r="T97" s="94" t="s">
        <v>611</v>
      </c>
      <c r="U97" s="94" t="s">
        <v>613</v>
      </c>
      <c r="V97" s="94" t="s">
        <v>614</v>
      </c>
      <c r="W97" s="94" t="s">
        <v>616</v>
      </c>
      <c r="X97" s="94" t="s">
        <v>620</v>
      </c>
      <c r="Y97" s="94" t="s">
        <v>623</v>
      </c>
      <c r="Z97" s="94" t="s">
        <v>625</v>
      </c>
      <c r="AA97" s="94" t="s">
        <v>578</v>
      </c>
      <c r="AB97" s="9" t="s">
        <v>140</v>
      </c>
      <c r="AC97" s="9" t="s">
        <v>204</v>
      </c>
    </row>
    <row r="98" spans="1:29" ht="13.9">
      <c r="A98" s="9" t="s">
        <v>52</v>
      </c>
      <c r="B98" s="9" t="s">
        <v>67</v>
      </c>
      <c r="C98" s="9" t="s">
        <v>74</v>
      </c>
      <c r="D98" s="9" t="s">
        <v>75</v>
      </c>
      <c r="E98" s="9" t="s">
        <v>657</v>
      </c>
      <c r="F98" s="9" t="s">
        <v>113</v>
      </c>
      <c r="G98" s="9" t="s">
        <v>659</v>
      </c>
      <c r="H98" s="9" t="s">
        <v>133</v>
      </c>
      <c r="I98" s="9" t="s">
        <v>394</v>
      </c>
      <c r="J98" s="9">
        <f t="shared" si="0"/>
        <v>127442</v>
      </c>
      <c r="K98" s="9">
        <v>47</v>
      </c>
      <c r="L98" s="9">
        <v>21468</v>
      </c>
      <c r="M98" s="9">
        <v>105974</v>
      </c>
      <c r="N98" s="9" t="s">
        <v>97</v>
      </c>
      <c r="O98" s="9" t="s">
        <v>98</v>
      </c>
      <c r="P98" s="9">
        <v>15.64</v>
      </c>
      <c r="Q98" s="94" t="s">
        <v>826</v>
      </c>
      <c r="R98" s="94" t="s">
        <v>827</v>
      </c>
      <c r="S98" s="94" t="s">
        <v>828</v>
      </c>
      <c r="T98" s="94" t="s">
        <v>829</v>
      </c>
      <c r="U98" s="94" t="s">
        <v>830</v>
      </c>
      <c r="V98" s="94" t="s">
        <v>831</v>
      </c>
      <c r="W98" s="94" t="s">
        <v>832</v>
      </c>
      <c r="X98" s="94" t="s">
        <v>833</v>
      </c>
      <c r="Y98" s="94" t="s">
        <v>835</v>
      </c>
      <c r="Z98" s="94" t="s">
        <v>836</v>
      </c>
      <c r="AA98" s="94" t="s">
        <v>837</v>
      </c>
      <c r="AB98" s="9" t="s">
        <v>140</v>
      </c>
      <c r="AC98" s="9" t="s">
        <v>204</v>
      </c>
    </row>
    <row r="99" spans="1:29" ht="13.9">
      <c r="A99" s="9" t="s">
        <v>52</v>
      </c>
      <c r="B99" s="9" t="s">
        <v>67</v>
      </c>
      <c r="C99" s="9" t="s">
        <v>74</v>
      </c>
      <c r="D99" s="9" t="s">
        <v>164</v>
      </c>
      <c r="E99" s="9" t="s">
        <v>657</v>
      </c>
      <c r="F99" s="9" t="s">
        <v>165</v>
      </c>
      <c r="G99" s="9" t="s">
        <v>659</v>
      </c>
      <c r="H99" s="9" t="s">
        <v>133</v>
      </c>
      <c r="I99" s="9" t="s">
        <v>394</v>
      </c>
      <c r="J99" s="9">
        <f t="shared" si="0"/>
        <v>127442</v>
      </c>
      <c r="K99" s="9">
        <v>39</v>
      </c>
      <c r="L99" s="9">
        <v>21468</v>
      </c>
      <c r="M99" s="9">
        <v>105974</v>
      </c>
      <c r="N99" s="9" t="s">
        <v>97</v>
      </c>
      <c r="O99" s="9" t="s">
        <v>98</v>
      </c>
      <c r="P99" s="9">
        <v>24.745999999999999</v>
      </c>
      <c r="Q99" s="94" t="s">
        <v>673</v>
      </c>
      <c r="R99" s="94" t="s">
        <v>674</v>
      </c>
      <c r="S99" s="94" t="s">
        <v>676</v>
      </c>
      <c r="T99" s="94" t="s">
        <v>677</v>
      </c>
      <c r="U99" s="94" t="s">
        <v>678</v>
      </c>
      <c r="V99" s="94" t="s">
        <v>680</v>
      </c>
      <c r="W99" s="94" t="s">
        <v>681</v>
      </c>
      <c r="X99" s="94" t="s">
        <v>682</v>
      </c>
      <c r="Y99" s="94" t="s">
        <v>683</v>
      </c>
      <c r="Z99" s="94" t="s">
        <v>684</v>
      </c>
      <c r="AA99" s="94" t="s">
        <v>685</v>
      </c>
      <c r="AB99" s="9" t="s">
        <v>140</v>
      </c>
      <c r="AC99" s="9" t="s">
        <v>204</v>
      </c>
    </row>
    <row r="100" spans="1:29" ht="13.9">
      <c r="A100" s="9" t="s">
        <v>52</v>
      </c>
      <c r="B100" s="9" t="s">
        <v>67</v>
      </c>
      <c r="C100" s="9" t="s">
        <v>74</v>
      </c>
      <c r="D100" s="9" t="s">
        <v>246</v>
      </c>
      <c r="E100" s="9" t="s">
        <v>657</v>
      </c>
      <c r="F100" s="9" t="s">
        <v>248</v>
      </c>
      <c r="G100" s="9" t="s">
        <v>659</v>
      </c>
      <c r="H100" s="9" t="s">
        <v>133</v>
      </c>
      <c r="I100" s="9" t="s">
        <v>394</v>
      </c>
      <c r="J100" s="9">
        <f t="shared" si="0"/>
        <v>127442</v>
      </c>
      <c r="K100" s="9">
        <v>16</v>
      </c>
      <c r="L100" s="9">
        <v>21468</v>
      </c>
      <c r="M100" s="9">
        <v>105974</v>
      </c>
      <c r="N100" s="9" t="s">
        <v>97</v>
      </c>
      <c r="O100" s="9" t="s">
        <v>98</v>
      </c>
      <c r="P100" s="9">
        <v>20.818000000000001</v>
      </c>
      <c r="Q100" s="94" t="s">
        <v>704</v>
      </c>
      <c r="R100" s="94" t="s">
        <v>705</v>
      </c>
      <c r="S100" s="94" t="s">
        <v>706</v>
      </c>
      <c r="T100" s="94" t="s">
        <v>707</v>
      </c>
      <c r="U100" s="94" t="s">
        <v>709</v>
      </c>
      <c r="V100" s="94" t="s">
        <v>711</v>
      </c>
      <c r="W100" s="94" t="s">
        <v>712</v>
      </c>
      <c r="X100" s="94" t="s">
        <v>714</v>
      </c>
      <c r="Y100" s="94" t="s">
        <v>716</v>
      </c>
      <c r="Z100" s="94" t="s">
        <v>718</v>
      </c>
      <c r="AA100" s="94" t="s">
        <v>720</v>
      </c>
      <c r="AB100" s="9" t="s">
        <v>140</v>
      </c>
      <c r="AC100" s="9" t="s">
        <v>204</v>
      </c>
    </row>
    <row r="101" spans="1:29" ht="13.9">
      <c r="A101" s="9" t="s">
        <v>52</v>
      </c>
      <c r="B101" s="9" t="s">
        <v>67</v>
      </c>
      <c r="C101" s="9" t="s">
        <v>74</v>
      </c>
      <c r="D101" s="9" t="s">
        <v>459</v>
      </c>
      <c r="E101" s="9" t="s">
        <v>657</v>
      </c>
      <c r="F101" s="9" t="s">
        <v>215</v>
      </c>
      <c r="G101" s="9" t="s">
        <v>659</v>
      </c>
      <c r="H101" s="9" t="s">
        <v>133</v>
      </c>
      <c r="I101" s="9" t="s">
        <v>394</v>
      </c>
      <c r="J101" s="9">
        <f t="shared" si="0"/>
        <v>127442</v>
      </c>
      <c r="K101" s="9">
        <v>18</v>
      </c>
      <c r="L101" s="9">
        <v>21468</v>
      </c>
      <c r="M101" s="9">
        <v>105974</v>
      </c>
      <c r="N101" s="9" t="s">
        <v>97</v>
      </c>
      <c r="O101" s="9" t="s">
        <v>98</v>
      </c>
      <c r="P101" s="9">
        <v>17.041</v>
      </c>
      <c r="Q101" s="94" t="s">
        <v>739</v>
      </c>
      <c r="R101" s="94" t="s">
        <v>740</v>
      </c>
      <c r="S101" s="94" t="s">
        <v>742</v>
      </c>
      <c r="T101" s="94" t="s">
        <v>743</v>
      </c>
      <c r="U101" s="94" t="s">
        <v>744</v>
      </c>
      <c r="V101" s="94" t="s">
        <v>746</v>
      </c>
      <c r="W101" s="94" t="s">
        <v>748</v>
      </c>
      <c r="X101" s="94" t="s">
        <v>749</v>
      </c>
      <c r="Y101" s="94" t="s">
        <v>750</v>
      </c>
      <c r="Z101" s="94" t="s">
        <v>752</v>
      </c>
      <c r="AA101" s="94" t="s">
        <v>753</v>
      </c>
      <c r="AB101" s="9" t="s">
        <v>140</v>
      </c>
      <c r="AC101" s="9" t="s">
        <v>204</v>
      </c>
    </row>
    <row r="102" spans="1:29" ht="13.9">
      <c r="A102" s="96" t="s">
        <v>52</v>
      </c>
      <c r="B102" s="96" t="s">
        <v>88</v>
      </c>
      <c r="C102" s="96" t="s">
        <v>74</v>
      </c>
      <c r="D102" s="96" t="s">
        <v>89</v>
      </c>
      <c r="E102" s="96" t="s">
        <v>90</v>
      </c>
      <c r="F102" s="98" t="s">
        <v>771</v>
      </c>
      <c r="G102" s="98" t="s">
        <v>784</v>
      </c>
      <c r="H102" s="96" t="s">
        <v>133</v>
      </c>
      <c r="I102" s="96" t="s">
        <v>133</v>
      </c>
      <c r="J102" s="99">
        <v>454375</v>
      </c>
      <c r="K102" s="96" t="s">
        <v>79</v>
      </c>
      <c r="L102" s="89">
        <v>9434</v>
      </c>
      <c r="M102" s="89">
        <v>444941</v>
      </c>
      <c r="N102" s="17" t="s">
        <v>97</v>
      </c>
      <c r="O102" s="96" t="s">
        <v>98</v>
      </c>
      <c r="P102" s="96" t="s">
        <v>79</v>
      </c>
      <c r="Q102" s="5">
        <v>0.97799999999999998</v>
      </c>
      <c r="R102" s="5" t="s">
        <v>803</v>
      </c>
      <c r="S102" s="100">
        <v>5.6300000000000002E-4</v>
      </c>
      <c r="T102" s="5" t="s">
        <v>62</v>
      </c>
      <c r="U102" s="5" t="s">
        <v>62</v>
      </c>
      <c r="V102" s="5" t="s">
        <v>79</v>
      </c>
      <c r="W102" s="5" t="s">
        <v>79</v>
      </c>
      <c r="X102" s="100">
        <v>7.1199999999999996E-4</v>
      </c>
      <c r="Y102" s="5" t="s">
        <v>79</v>
      </c>
      <c r="Z102" s="5" t="s">
        <v>79</v>
      </c>
      <c r="AA102" s="100">
        <v>3.4099999999999998E-3</v>
      </c>
      <c r="AB102" s="96" t="s">
        <v>140</v>
      </c>
      <c r="AC102" s="96" t="s">
        <v>155</v>
      </c>
    </row>
    <row r="103" spans="1:29" ht="13.9">
      <c r="A103" s="5" t="s">
        <v>70</v>
      </c>
      <c r="B103" s="5" t="s">
        <v>93</v>
      </c>
      <c r="C103" s="17" t="s">
        <v>74</v>
      </c>
      <c r="D103" s="5" t="s">
        <v>246</v>
      </c>
      <c r="E103" s="5" t="s">
        <v>820</v>
      </c>
      <c r="F103" s="5" t="s">
        <v>248</v>
      </c>
      <c r="G103" s="101" t="s">
        <v>1561</v>
      </c>
      <c r="H103" s="5" t="s">
        <v>133</v>
      </c>
      <c r="I103" s="5" t="s">
        <v>834</v>
      </c>
      <c r="J103" s="89">
        <v>85716</v>
      </c>
      <c r="K103" s="5">
        <v>10</v>
      </c>
      <c r="L103" s="89">
        <v>29266</v>
      </c>
      <c r="M103" s="89">
        <f t="shared" ref="M103:M118" si="1">J103-L103</f>
        <v>56450</v>
      </c>
      <c r="N103" s="5" t="s">
        <v>97</v>
      </c>
      <c r="O103" s="17" t="s">
        <v>98</v>
      </c>
      <c r="P103" s="5" t="s">
        <v>79</v>
      </c>
      <c r="Q103" s="5">
        <v>1.2649999999999999</v>
      </c>
      <c r="R103" s="5" t="s">
        <v>847</v>
      </c>
      <c r="S103" s="5">
        <v>0.55700000000000005</v>
      </c>
      <c r="T103" s="5">
        <v>22.483000000000001</v>
      </c>
      <c r="U103" s="5">
        <v>7.0000000000000001E-3</v>
      </c>
      <c r="V103" s="5">
        <v>1.706</v>
      </c>
      <c r="W103" s="5" t="s">
        <v>848</v>
      </c>
      <c r="X103" s="5">
        <v>0.36599999999999999</v>
      </c>
      <c r="Y103" s="5">
        <v>1.0999999999999999E-2</v>
      </c>
      <c r="Z103" s="5" t="s">
        <v>849</v>
      </c>
      <c r="AA103" s="5">
        <v>0.53</v>
      </c>
      <c r="AB103" s="5" t="s">
        <v>140</v>
      </c>
      <c r="AC103" s="5" t="s">
        <v>204</v>
      </c>
    </row>
    <row r="104" spans="1:29" ht="13.9">
      <c r="A104" s="5" t="s">
        <v>70</v>
      </c>
      <c r="B104" s="5" t="s">
        <v>93</v>
      </c>
      <c r="C104" s="17" t="s">
        <v>74</v>
      </c>
      <c r="D104" s="5" t="s">
        <v>622</v>
      </c>
      <c r="E104" s="5" t="s">
        <v>820</v>
      </c>
      <c r="F104" s="5" t="s">
        <v>215</v>
      </c>
      <c r="G104" s="101" t="s">
        <v>1561</v>
      </c>
      <c r="H104" s="5" t="s">
        <v>133</v>
      </c>
      <c r="I104" s="5" t="s">
        <v>834</v>
      </c>
      <c r="J104" s="89">
        <v>85716</v>
      </c>
      <c r="K104" s="5">
        <v>13</v>
      </c>
      <c r="L104" s="89">
        <v>29266</v>
      </c>
      <c r="M104" s="89">
        <f t="shared" si="1"/>
        <v>56450</v>
      </c>
      <c r="N104" s="5" t="s">
        <v>97</v>
      </c>
      <c r="O104" s="17" t="s">
        <v>98</v>
      </c>
      <c r="P104" s="5" t="s">
        <v>79</v>
      </c>
      <c r="Q104" s="5">
        <v>0.35199999999999998</v>
      </c>
      <c r="R104" s="5" t="s">
        <v>851</v>
      </c>
      <c r="S104" s="5">
        <v>8.9999999999999993E-3</v>
      </c>
      <c r="T104" s="5">
        <v>36.021999999999998</v>
      </c>
      <c r="U104" s="5">
        <v>1E-3</v>
      </c>
      <c r="V104" s="5">
        <v>0.66700000000000004</v>
      </c>
      <c r="W104" s="5" t="s">
        <v>852</v>
      </c>
      <c r="X104" s="5">
        <v>0.497</v>
      </c>
      <c r="Y104" s="5">
        <v>3.0000000000000001E-3</v>
      </c>
      <c r="Z104" s="5" t="s">
        <v>854</v>
      </c>
      <c r="AA104" s="5">
        <v>0.127</v>
      </c>
      <c r="AB104" s="5" t="s">
        <v>140</v>
      </c>
      <c r="AC104" s="5" t="s">
        <v>204</v>
      </c>
    </row>
    <row r="105" spans="1:29" ht="13.9">
      <c r="A105" s="5" t="s">
        <v>70</v>
      </c>
      <c r="B105" s="5" t="s">
        <v>93</v>
      </c>
      <c r="C105" s="17" t="s">
        <v>74</v>
      </c>
      <c r="D105" s="5" t="s">
        <v>164</v>
      </c>
      <c r="E105" s="5" t="s">
        <v>820</v>
      </c>
      <c r="F105" s="5" t="s">
        <v>165</v>
      </c>
      <c r="G105" s="101" t="s">
        <v>1561</v>
      </c>
      <c r="H105" s="5" t="s">
        <v>133</v>
      </c>
      <c r="I105" s="5" t="s">
        <v>834</v>
      </c>
      <c r="J105" s="89">
        <v>85716</v>
      </c>
      <c r="K105" s="5">
        <v>33</v>
      </c>
      <c r="L105" s="89">
        <v>29266</v>
      </c>
      <c r="M105" s="89">
        <f t="shared" si="1"/>
        <v>56450</v>
      </c>
      <c r="N105" s="5" t="s">
        <v>97</v>
      </c>
      <c r="O105" s="17" t="s">
        <v>98</v>
      </c>
      <c r="P105" s="5" t="s">
        <v>79</v>
      </c>
      <c r="Q105" s="5">
        <v>0.26600000000000001</v>
      </c>
      <c r="R105" s="5" t="s">
        <v>869</v>
      </c>
      <c r="S105" s="100">
        <v>4.0500000000000002E-11</v>
      </c>
      <c r="T105" s="5">
        <v>86.817999999999998</v>
      </c>
      <c r="U105" s="102">
        <v>0</v>
      </c>
      <c r="V105" s="5">
        <v>0.27600000000000002</v>
      </c>
      <c r="W105" s="5" t="s">
        <v>871</v>
      </c>
      <c r="X105" s="100">
        <v>1.292E-4</v>
      </c>
      <c r="Y105" s="5">
        <v>0.307</v>
      </c>
      <c r="Z105" s="5" t="s">
        <v>875</v>
      </c>
      <c r="AA105" s="5">
        <v>0.55200000000000005</v>
      </c>
      <c r="AB105" s="5" t="s">
        <v>140</v>
      </c>
      <c r="AC105" s="5" t="s">
        <v>204</v>
      </c>
    </row>
    <row r="106" spans="1:29" ht="13.9">
      <c r="A106" s="5" t="s">
        <v>70</v>
      </c>
      <c r="B106" s="5" t="s">
        <v>93</v>
      </c>
      <c r="C106" s="17" t="s">
        <v>74</v>
      </c>
      <c r="D106" s="5" t="s">
        <v>75</v>
      </c>
      <c r="E106" s="5" t="s">
        <v>820</v>
      </c>
      <c r="F106" s="5" t="s">
        <v>113</v>
      </c>
      <c r="G106" s="101" t="s">
        <v>1561</v>
      </c>
      <c r="H106" s="5" t="s">
        <v>133</v>
      </c>
      <c r="I106" s="5" t="s">
        <v>834</v>
      </c>
      <c r="J106" s="89">
        <v>85716</v>
      </c>
      <c r="K106" s="5">
        <v>36</v>
      </c>
      <c r="L106" s="89">
        <v>29266</v>
      </c>
      <c r="M106" s="89">
        <f t="shared" si="1"/>
        <v>56450</v>
      </c>
      <c r="N106" s="5" t="s">
        <v>97</v>
      </c>
      <c r="O106" s="17" t="s">
        <v>98</v>
      </c>
      <c r="P106" s="5" t="s">
        <v>79</v>
      </c>
      <c r="Q106" s="5">
        <v>0.63100000000000001</v>
      </c>
      <c r="R106" s="5" t="s">
        <v>962</v>
      </c>
      <c r="S106" s="5">
        <v>6.3E-2</v>
      </c>
      <c r="T106" s="5">
        <v>56.124000000000002</v>
      </c>
      <c r="U106" s="5">
        <v>1.2999999999999999E-2</v>
      </c>
      <c r="V106" s="5">
        <v>0.55200000000000005</v>
      </c>
      <c r="W106" s="5" t="s">
        <v>963</v>
      </c>
      <c r="X106" s="5">
        <v>0.113</v>
      </c>
      <c r="Y106" s="5">
        <v>3.1669999999999998</v>
      </c>
      <c r="Z106" s="5" t="s">
        <v>964</v>
      </c>
      <c r="AA106" s="5">
        <v>0.34399999999999997</v>
      </c>
      <c r="AB106" s="5" t="s">
        <v>140</v>
      </c>
      <c r="AC106" s="5" t="s">
        <v>204</v>
      </c>
    </row>
    <row r="107" spans="1:29" ht="13.9">
      <c r="A107" s="5" t="s">
        <v>70</v>
      </c>
      <c r="B107" s="5" t="s">
        <v>93</v>
      </c>
      <c r="C107" s="17" t="s">
        <v>74</v>
      </c>
      <c r="D107" s="5" t="s">
        <v>246</v>
      </c>
      <c r="E107" s="5" t="s">
        <v>900</v>
      </c>
      <c r="F107" s="5" t="s">
        <v>248</v>
      </c>
      <c r="G107" s="101" t="s">
        <v>1583</v>
      </c>
      <c r="H107" s="5" t="s">
        <v>133</v>
      </c>
      <c r="I107" s="5" t="s">
        <v>834</v>
      </c>
      <c r="J107" s="89">
        <v>66756</v>
      </c>
      <c r="K107" s="5">
        <v>9</v>
      </c>
      <c r="L107" s="89">
        <v>11273</v>
      </c>
      <c r="M107" s="89">
        <f t="shared" si="1"/>
        <v>55483</v>
      </c>
      <c r="N107" s="5" t="s">
        <v>97</v>
      </c>
      <c r="O107" s="17" t="s">
        <v>98</v>
      </c>
      <c r="P107" s="5" t="s">
        <v>79</v>
      </c>
      <c r="Q107" s="5">
        <v>1.7509999999999999</v>
      </c>
      <c r="R107" s="5" t="s">
        <v>912</v>
      </c>
      <c r="S107" s="5">
        <v>0.33600000000000002</v>
      </c>
      <c r="T107" s="5">
        <v>9.4339999999999993</v>
      </c>
      <c r="U107" s="5">
        <v>0.307</v>
      </c>
      <c r="V107" s="5">
        <v>1.4550000000000001</v>
      </c>
      <c r="W107" s="5" t="s">
        <v>913</v>
      </c>
      <c r="X107" s="5">
        <v>0.63100000000000001</v>
      </c>
      <c r="Y107" s="5">
        <v>1E-3</v>
      </c>
      <c r="Z107" s="5" t="s">
        <v>914</v>
      </c>
      <c r="AA107" s="5">
        <v>0.34200000000000003</v>
      </c>
      <c r="AB107" s="5" t="s">
        <v>140</v>
      </c>
      <c r="AC107" s="5" t="s">
        <v>204</v>
      </c>
    </row>
    <row r="108" spans="1:29" ht="13.9">
      <c r="A108" s="5" t="s">
        <v>70</v>
      </c>
      <c r="B108" s="5" t="s">
        <v>93</v>
      </c>
      <c r="C108" s="17" t="s">
        <v>74</v>
      </c>
      <c r="D108" s="5" t="s">
        <v>622</v>
      </c>
      <c r="E108" s="5" t="s">
        <v>900</v>
      </c>
      <c r="F108" s="5" t="s">
        <v>215</v>
      </c>
      <c r="G108" s="101" t="s">
        <v>1583</v>
      </c>
      <c r="H108" s="5" t="s">
        <v>133</v>
      </c>
      <c r="I108" s="5" t="s">
        <v>834</v>
      </c>
      <c r="J108" s="89">
        <v>66756</v>
      </c>
      <c r="K108" s="5">
        <v>15</v>
      </c>
      <c r="L108" s="89">
        <v>11273</v>
      </c>
      <c r="M108" s="89">
        <f t="shared" si="1"/>
        <v>55483</v>
      </c>
      <c r="N108" s="5" t="s">
        <v>97</v>
      </c>
      <c r="O108" s="17" t="s">
        <v>98</v>
      </c>
      <c r="P108" s="5" t="s">
        <v>79</v>
      </c>
      <c r="Q108" s="5">
        <v>0.378</v>
      </c>
      <c r="R108" s="5" t="s">
        <v>925</v>
      </c>
      <c r="S108" s="5">
        <v>6.3E-2</v>
      </c>
      <c r="T108" s="5">
        <v>25.832999999999998</v>
      </c>
      <c r="U108" s="5">
        <v>2.7E-2</v>
      </c>
      <c r="V108" s="5">
        <v>0.629</v>
      </c>
      <c r="W108" s="5" t="s">
        <v>926</v>
      </c>
      <c r="X108" s="5">
        <v>0.54100000000000004</v>
      </c>
      <c r="Y108" s="5">
        <v>0.122</v>
      </c>
      <c r="Z108" s="5" t="s">
        <v>927</v>
      </c>
      <c r="AA108" s="5">
        <v>0.61699999999999999</v>
      </c>
      <c r="AB108" s="5" t="s">
        <v>140</v>
      </c>
      <c r="AC108" s="5" t="s">
        <v>204</v>
      </c>
    </row>
    <row r="109" spans="1:29" ht="13.9">
      <c r="A109" s="5" t="s">
        <v>70</v>
      </c>
      <c r="B109" s="5" t="s">
        <v>93</v>
      </c>
      <c r="C109" s="17" t="s">
        <v>74</v>
      </c>
      <c r="D109" s="5" t="s">
        <v>164</v>
      </c>
      <c r="E109" s="5" t="s">
        <v>900</v>
      </c>
      <c r="F109" s="5" t="s">
        <v>165</v>
      </c>
      <c r="G109" s="101" t="s">
        <v>1583</v>
      </c>
      <c r="H109" s="5" t="s">
        <v>133</v>
      </c>
      <c r="I109" s="5" t="s">
        <v>834</v>
      </c>
      <c r="J109" s="89">
        <v>66756</v>
      </c>
      <c r="K109" s="5">
        <v>32</v>
      </c>
      <c r="L109" s="89">
        <v>11273</v>
      </c>
      <c r="M109" s="89">
        <f t="shared" si="1"/>
        <v>55483</v>
      </c>
      <c r="N109" s="5" t="s">
        <v>97</v>
      </c>
      <c r="O109" s="17" t="s">
        <v>98</v>
      </c>
      <c r="P109" s="5" t="s">
        <v>79</v>
      </c>
      <c r="Q109" s="5">
        <v>0.49399999999999999</v>
      </c>
      <c r="R109" s="5" t="s">
        <v>937</v>
      </c>
      <c r="S109" s="5">
        <v>1.2E-2</v>
      </c>
      <c r="T109" s="5">
        <v>40.923000000000002</v>
      </c>
      <c r="U109" s="102">
        <v>0.11</v>
      </c>
      <c r="V109" s="5">
        <v>0.49399999999999999</v>
      </c>
      <c r="W109" s="5" t="s">
        <v>941</v>
      </c>
      <c r="X109" s="5">
        <v>0.10199999999999999</v>
      </c>
      <c r="Y109" s="5">
        <v>2.2149999999999999</v>
      </c>
      <c r="Z109" s="5" t="s">
        <v>945</v>
      </c>
      <c r="AA109" s="5">
        <v>0.68300000000000005</v>
      </c>
      <c r="AB109" s="5" t="s">
        <v>140</v>
      </c>
      <c r="AC109" s="5" t="s">
        <v>204</v>
      </c>
    </row>
    <row r="110" spans="1:29" ht="13.9">
      <c r="A110" s="5" t="s">
        <v>70</v>
      </c>
      <c r="B110" s="5" t="s">
        <v>93</v>
      </c>
      <c r="C110" s="17" t="s">
        <v>74</v>
      </c>
      <c r="D110" s="5" t="s">
        <v>75</v>
      </c>
      <c r="E110" s="5" t="s">
        <v>900</v>
      </c>
      <c r="F110" s="5" t="s">
        <v>113</v>
      </c>
      <c r="G110" s="101" t="s">
        <v>1583</v>
      </c>
      <c r="H110" s="5" t="s">
        <v>133</v>
      </c>
      <c r="I110" s="5" t="s">
        <v>834</v>
      </c>
      <c r="J110" s="89">
        <v>66756</v>
      </c>
      <c r="K110" s="5">
        <v>36</v>
      </c>
      <c r="L110" s="89">
        <v>11273</v>
      </c>
      <c r="M110" s="89">
        <f t="shared" si="1"/>
        <v>55483</v>
      </c>
      <c r="N110" s="5" t="s">
        <v>97</v>
      </c>
      <c r="O110" s="17" t="s">
        <v>98</v>
      </c>
      <c r="P110" s="5" t="s">
        <v>79</v>
      </c>
      <c r="Q110" s="5">
        <v>0.626</v>
      </c>
      <c r="R110" s="5" t="s">
        <v>1015</v>
      </c>
      <c r="S110" s="5">
        <v>0.17</v>
      </c>
      <c r="T110" s="5">
        <v>33.762999999999998</v>
      </c>
      <c r="U110" s="5">
        <v>0.52800000000000002</v>
      </c>
      <c r="V110" s="5">
        <v>0.69399999999999995</v>
      </c>
      <c r="W110" s="5" t="s">
        <v>1016</v>
      </c>
      <c r="X110" s="5">
        <v>0.47099999999999997</v>
      </c>
      <c r="Y110" s="5">
        <v>2.444</v>
      </c>
      <c r="Z110" s="5" t="s">
        <v>1017</v>
      </c>
      <c r="AA110" s="5">
        <v>0.505</v>
      </c>
      <c r="AB110" s="5" t="s">
        <v>140</v>
      </c>
      <c r="AC110" s="5" t="s">
        <v>204</v>
      </c>
    </row>
    <row r="111" spans="1:29" ht="13.9">
      <c r="A111" s="5" t="s">
        <v>70</v>
      </c>
      <c r="B111" s="5" t="s">
        <v>93</v>
      </c>
      <c r="C111" s="17" t="s">
        <v>74</v>
      </c>
      <c r="D111" s="5" t="s">
        <v>246</v>
      </c>
      <c r="E111" s="5" t="s">
        <v>977</v>
      </c>
      <c r="F111" s="5" t="s">
        <v>248</v>
      </c>
      <c r="G111" s="101" t="s">
        <v>1615</v>
      </c>
      <c r="H111" s="5" t="s">
        <v>133</v>
      </c>
      <c r="I111" s="5" t="s">
        <v>834</v>
      </c>
      <c r="J111" s="89">
        <v>63053</v>
      </c>
      <c r="K111" s="5">
        <v>10</v>
      </c>
      <c r="L111" s="89">
        <v>7426</v>
      </c>
      <c r="M111" s="89">
        <f t="shared" si="1"/>
        <v>55627</v>
      </c>
      <c r="N111" s="5" t="s">
        <v>97</v>
      </c>
      <c r="O111" s="17" t="s">
        <v>98</v>
      </c>
      <c r="P111" s="5" t="s">
        <v>79</v>
      </c>
      <c r="Q111" s="5">
        <v>0.86599999999999999</v>
      </c>
      <c r="R111" s="5" t="s">
        <v>985</v>
      </c>
      <c r="S111" s="5">
        <v>0.82299999999999995</v>
      </c>
      <c r="T111" s="5">
        <v>12.657</v>
      </c>
      <c r="U111" s="5">
        <v>0.17899999999999999</v>
      </c>
      <c r="V111" s="5">
        <v>0.66500000000000004</v>
      </c>
      <c r="W111" s="5" t="s">
        <v>986</v>
      </c>
      <c r="X111" s="5">
        <v>0.64300000000000002</v>
      </c>
      <c r="Y111" s="5">
        <v>2E-3</v>
      </c>
      <c r="Z111" s="5" t="s">
        <v>987</v>
      </c>
      <c r="AA111" s="5">
        <v>0.45700000000000002</v>
      </c>
      <c r="AB111" s="5" t="s">
        <v>140</v>
      </c>
      <c r="AC111" s="5" t="s">
        <v>204</v>
      </c>
    </row>
    <row r="112" spans="1:29" ht="13.9">
      <c r="A112" s="5" t="s">
        <v>70</v>
      </c>
      <c r="B112" s="5" t="s">
        <v>93</v>
      </c>
      <c r="C112" s="17" t="s">
        <v>74</v>
      </c>
      <c r="D112" s="5" t="s">
        <v>622</v>
      </c>
      <c r="E112" s="5" t="s">
        <v>977</v>
      </c>
      <c r="F112" s="5" t="s">
        <v>215</v>
      </c>
      <c r="G112" s="101" t="s">
        <v>1615</v>
      </c>
      <c r="H112" s="5" t="s">
        <v>133</v>
      </c>
      <c r="I112" s="5" t="s">
        <v>834</v>
      </c>
      <c r="J112" s="89">
        <v>63053</v>
      </c>
      <c r="K112" s="5">
        <v>15</v>
      </c>
      <c r="L112" s="89">
        <v>7426</v>
      </c>
      <c r="M112" s="89">
        <f t="shared" si="1"/>
        <v>55627</v>
      </c>
      <c r="N112" s="5" t="s">
        <v>97</v>
      </c>
      <c r="O112" s="17" t="s">
        <v>98</v>
      </c>
      <c r="P112" s="5" t="s">
        <v>79</v>
      </c>
      <c r="Q112" s="5">
        <v>0.10299999999999999</v>
      </c>
      <c r="R112" s="5" t="s">
        <v>1004</v>
      </c>
      <c r="S112" s="100">
        <v>1.93E-4</v>
      </c>
      <c r="T112" s="5">
        <v>47.435000000000002</v>
      </c>
      <c r="U112" s="102">
        <v>0</v>
      </c>
      <c r="V112" s="5">
        <v>0.23400000000000001</v>
      </c>
      <c r="W112" s="5" t="s">
        <v>1005</v>
      </c>
      <c r="X112" s="5">
        <v>0.126</v>
      </c>
      <c r="Y112" s="5">
        <v>1E-3</v>
      </c>
      <c r="Z112" s="5" t="s">
        <v>1006</v>
      </c>
      <c r="AA112" s="5">
        <v>0.28699999999999998</v>
      </c>
      <c r="AB112" s="5" t="s">
        <v>140</v>
      </c>
      <c r="AC112" s="5" t="s">
        <v>204</v>
      </c>
    </row>
    <row r="113" spans="1:29" ht="13.9">
      <c r="A113" s="5" t="s">
        <v>70</v>
      </c>
      <c r="B113" s="5" t="s">
        <v>93</v>
      </c>
      <c r="C113" s="17" t="s">
        <v>74</v>
      </c>
      <c r="D113" s="5" t="s">
        <v>164</v>
      </c>
      <c r="E113" s="5" t="s">
        <v>977</v>
      </c>
      <c r="F113" s="5" t="s">
        <v>165</v>
      </c>
      <c r="G113" s="101" t="s">
        <v>1615</v>
      </c>
      <c r="H113" s="5" t="s">
        <v>133</v>
      </c>
      <c r="I113" s="5" t="s">
        <v>834</v>
      </c>
      <c r="J113" s="89">
        <v>63053</v>
      </c>
      <c r="K113" s="5">
        <v>32</v>
      </c>
      <c r="L113" s="89">
        <v>7426</v>
      </c>
      <c r="M113" s="89">
        <f t="shared" si="1"/>
        <v>55627</v>
      </c>
      <c r="N113" s="5" t="s">
        <v>97</v>
      </c>
      <c r="O113" s="17" t="s">
        <v>98</v>
      </c>
      <c r="P113" s="5" t="s">
        <v>79</v>
      </c>
      <c r="Q113" s="107">
        <v>0.12</v>
      </c>
      <c r="R113" s="5" t="s">
        <v>1018</v>
      </c>
      <c r="S113" s="100">
        <v>9.0600000000000002E-11</v>
      </c>
      <c r="T113" s="5">
        <v>82.349000000000004</v>
      </c>
      <c r="U113" s="108">
        <v>0</v>
      </c>
      <c r="V113" s="5">
        <v>0.13400000000000001</v>
      </c>
      <c r="W113" s="5" t="s">
        <v>1021</v>
      </c>
      <c r="X113" s="108">
        <v>0</v>
      </c>
      <c r="Y113" s="5">
        <v>2.3E-2</v>
      </c>
      <c r="Z113" s="5" t="s">
        <v>1023</v>
      </c>
      <c r="AA113" s="5">
        <v>0.23499999999999999</v>
      </c>
      <c r="AB113" s="5" t="s">
        <v>140</v>
      </c>
      <c r="AC113" s="5" t="s">
        <v>204</v>
      </c>
    </row>
    <row r="114" spans="1:29" ht="13.9">
      <c r="A114" s="5" t="s">
        <v>70</v>
      </c>
      <c r="B114" s="5" t="s">
        <v>93</v>
      </c>
      <c r="C114" s="17" t="s">
        <v>74</v>
      </c>
      <c r="D114" s="5" t="s">
        <v>75</v>
      </c>
      <c r="E114" s="5" t="s">
        <v>977</v>
      </c>
      <c r="F114" s="5" t="s">
        <v>113</v>
      </c>
      <c r="G114" s="101" t="s">
        <v>1615</v>
      </c>
      <c r="H114" s="5" t="s">
        <v>133</v>
      </c>
      <c r="I114" s="5" t="s">
        <v>834</v>
      </c>
      <c r="J114" s="89">
        <v>63053</v>
      </c>
      <c r="K114" s="5">
        <v>34</v>
      </c>
      <c r="L114" s="89">
        <v>7426</v>
      </c>
      <c r="M114" s="89">
        <f t="shared" si="1"/>
        <v>55627</v>
      </c>
      <c r="N114" s="5" t="s">
        <v>97</v>
      </c>
      <c r="O114" s="17" t="s">
        <v>98</v>
      </c>
      <c r="P114" s="5" t="s">
        <v>79</v>
      </c>
      <c r="Q114" s="5">
        <v>0.49399999999999999</v>
      </c>
      <c r="R114" s="5" t="s">
        <v>1052</v>
      </c>
      <c r="S114" s="5">
        <v>8.4000000000000005E-2</v>
      </c>
      <c r="T114" s="5">
        <v>37.911000000000001</v>
      </c>
      <c r="U114" s="5">
        <v>0.255</v>
      </c>
      <c r="V114" s="5">
        <v>0.81299999999999994</v>
      </c>
      <c r="W114" s="5" t="s">
        <v>1053</v>
      </c>
      <c r="X114" s="5">
        <v>0.73399999999999999</v>
      </c>
      <c r="Y114" s="5">
        <v>2.609</v>
      </c>
      <c r="Z114" s="5" t="s">
        <v>1054</v>
      </c>
      <c r="AA114" s="5">
        <v>0.56599999999999995</v>
      </c>
      <c r="AB114" s="5" t="s">
        <v>140</v>
      </c>
      <c r="AC114" s="5" t="s">
        <v>204</v>
      </c>
    </row>
    <row r="115" spans="1:29" ht="13.9">
      <c r="A115" s="5" t="s">
        <v>70</v>
      </c>
      <c r="B115" s="5" t="s">
        <v>93</v>
      </c>
      <c r="C115" s="17" t="s">
        <v>74</v>
      </c>
      <c r="D115" s="5" t="s">
        <v>246</v>
      </c>
      <c r="E115" s="5" t="s">
        <v>1037</v>
      </c>
      <c r="F115" s="5" t="s">
        <v>248</v>
      </c>
      <c r="G115" s="101" t="s">
        <v>1638</v>
      </c>
      <c r="H115" s="5" t="s">
        <v>133</v>
      </c>
      <c r="I115" s="5" t="s">
        <v>834</v>
      </c>
      <c r="J115" s="89">
        <v>24108</v>
      </c>
      <c r="K115" s="5">
        <v>10</v>
      </c>
      <c r="L115" s="89">
        <v>2664</v>
      </c>
      <c r="M115" s="89">
        <f t="shared" si="1"/>
        <v>21444</v>
      </c>
      <c r="N115" s="5" t="s">
        <v>97</v>
      </c>
      <c r="O115" s="17" t="s">
        <v>98</v>
      </c>
      <c r="P115" s="5" t="s">
        <v>79</v>
      </c>
      <c r="Q115" s="5">
        <v>0.623</v>
      </c>
      <c r="R115" s="5" t="s">
        <v>1045</v>
      </c>
      <c r="S115" s="5">
        <v>0.63900000000000001</v>
      </c>
      <c r="T115" s="5">
        <v>12.595000000000001</v>
      </c>
      <c r="U115" s="5">
        <v>0.182</v>
      </c>
      <c r="V115" s="5">
        <v>0.191</v>
      </c>
      <c r="W115" s="5" t="s">
        <v>1046</v>
      </c>
      <c r="X115" s="5">
        <v>0.246</v>
      </c>
      <c r="Y115" s="100">
        <v>2800</v>
      </c>
      <c r="Z115" s="5" t="s">
        <v>1047</v>
      </c>
      <c r="AA115" s="5">
        <v>0.40600000000000003</v>
      </c>
      <c r="AB115" s="5" t="s">
        <v>140</v>
      </c>
      <c r="AC115" s="5" t="s">
        <v>204</v>
      </c>
    </row>
    <row r="116" spans="1:29" ht="13.9">
      <c r="A116" s="5" t="s">
        <v>70</v>
      </c>
      <c r="B116" s="5" t="s">
        <v>93</v>
      </c>
      <c r="C116" s="17" t="s">
        <v>74</v>
      </c>
      <c r="D116" s="5" t="s">
        <v>622</v>
      </c>
      <c r="E116" s="5" t="s">
        <v>1037</v>
      </c>
      <c r="F116" s="5" t="s">
        <v>215</v>
      </c>
      <c r="G116" s="101" t="s">
        <v>1638</v>
      </c>
      <c r="H116" s="5" t="s">
        <v>133</v>
      </c>
      <c r="I116" s="5" t="s">
        <v>834</v>
      </c>
      <c r="J116" s="89">
        <v>24108</v>
      </c>
      <c r="K116" s="5">
        <v>14</v>
      </c>
      <c r="L116" s="89">
        <v>2664</v>
      </c>
      <c r="M116" s="89">
        <f t="shared" si="1"/>
        <v>21444</v>
      </c>
      <c r="N116" s="5" t="s">
        <v>97</v>
      </c>
      <c r="O116" s="17" t="s">
        <v>98</v>
      </c>
      <c r="P116" s="5" t="s">
        <v>79</v>
      </c>
      <c r="Q116" s="5">
        <v>0.161</v>
      </c>
      <c r="R116" s="5" t="s">
        <v>1056</v>
      </c>
      <c r="S116" s="5">
        <v>6.9000000000000006E-2</v>
      </c>
      <c r="T116" s="5">
        <v>17.225000000000001</v>
      </c>
      <c r="U116" s="5">
        <v>0.189</v>
      </c>
      <c r="V116" s="5">
        <v>0.27100000000000002</v>
      </c>
      <c r="W116" s="5" t="s">
        <v>1058</v>
      </c>
      <c r="X116" s="5">
        <v>0.35299999999999998</v>
      </c>
      <c r="Y116" s="108">
        <v>0</v>
      </c>
      <c r="Z116" s="5" t="s">
        <v>1060</v>
      </c>
      <c r="AA116" s="5">
        <v>0.16</v>
      </c>
      <c r="AB116" s="5" t="s">
        <v>140</v>
      </c>
      <c r="AC116" s="5" t="s">
        <v>204</v>
      </c>
    </row>
    <row r="117" spans="1:29" ht="13.9">
      <c r="A117" s="5" t="s">
        <v>70</v>
      </c>
      <c r="B117" s="5" t="s">
        <v>93</v>
      </c>
      <c r="C117" s="17" t="s">
        <v>74</v>
      </c>
      <c r="D117" s="5" t="s">
        <v>164</v>
      </c>
      <c r="E117" s="5" t="s">
        <v>1037</v>
      </c>
      <c r="F117" s="5" t="s">
        <v>165</v>
      </c>
      <c r="G117" s="101" t="s">
        <v>1638</v>
      </c>
      <c r="H117" s="5" t="s">
        <v>133</v>
      </c>
      <c r="I117" s="5" t="s">
        <v>834</v>
      </c>
      <c r="J117" s="89">
        <v>24108</v>
      </c>
      <c r="K117" s="5">
        <v>31</v>
      </c>
      <c r="L117" s="89">
        <v>2664</v>
      </c>
      <c r="M117" s="89">
        <f t="shared" si="1"/>
        <v>21444</v>
      </c>
      <c r="N117" s="5" t="s">
        <v>97</v>
      </c>
      <c r="O117" s="17" t="s">
        <v>98</v>
      </c>
      <c r="P117" s="5" t="s">
        <v>79</v>
      </c>
      <c r="Q117" s="5">
        <v>0.23899999999999999</v>
      </c>
      <c r="R117" s="5" t="s">
        <v>1065</v>
      </c>
      <c r="S117" s="5">
        <v>6.0000000000000001E-3</v>
      </c>
      <c r="T117" s="5">
        <v>37.427999999999997</v>
      </c>
      <c r="U117" s="5">
        <v>0.16500000000000001</v>
      </c>
      <c r="V117" s="5">
        <v>0.42299999999999999</v>
      </c>
      <c r="W117" s="5" t="s">
        <v>1066</v>
      </c>
      <c r="X117" s="5">
        <v>0.27400000000000002</v>
      </c>
      <c r="Y117" s="5">
        <v>0.13100000000000001</v>
      </c>
      <c r="Z117" s="5" t="s">
        <v>1067</v>
      </c>
      <c r="AA117" s="5">
        <v>0.56200000000000006</v>
      </c>
      <c r="AB117" s="5" t="s">
        <v>140</v>
      </c>
      <c r="AC117" s="5" t="s">
        <v>204</v>
      </c>
    </row>
    <row r="118" spans="1:29" ht="13.9">
      <c r="A118" s="5" t="s">
        <v>70</v>
      </c>
      <c r="B118" s="5" t="s">
        <v>93</v>
      </c>
      <c r="C118" s="17" t="s">
        <v>74</v>
      </c>
      <c r="D118" s="5" t="s">
        <v>75</v>
      </c>
      <c r="E118" s="5" t="s">
        <v>1037</v>
      </c>
      <c r="F118" s="5" t="s">
        <v>113</v>
      </c>
      <c r="G118" s="101" t="s">
        <v>1638</v>
      </c>
      <c r="H118" s="5" t="s">
        <v>133</v>
      </c>
      <c r="I118" s="5" t="s">
        <v>834</v>
      </c>
      <c r="J118" s="89">
        <v>24108</v>
      </c>
      <c r="K118" s="5">
        <v>34</v>
      </c>
      <c r="L118" s="89">
        <v>2664</v>
      </c>
      <c r="M118" s="89">
        <f t="shared" si="1"/>
        <v>21444</v>
      </c>
      <c r="N118" s="5" t="s">
        <v>97</v>
      </c>
      <c r="O118" s="17" t="s">
        <v>98</v>
      </c>
      <c r="P118" s="5" t="s">
        <v>79</v>
      </c>
      <c r="Q118" s="5">
        <v>0.88400000000000001</v>
      </c>
      <c r="R118" s="5" t="s">
        <v>1079</v>
      </c>
      <c r="S118" s="5">
        <v>0.84699999999999998</v>
      </c>
      <c r="T118" s="5">
        <v>39.194000000000003</v>
      </c>
      <c r="U118" s="5">
        <v>0.21199999999999999</v>
      </c>
      <c r="V118" s="5">
        <v>2.0449999999999999</v>
      </c>
      <c r="W118" s="5" t="s">
        <v>1083</v>
      </c>
      <c r="X118" s="5">
        <v>0.45300000000000001</v>
      </c>
      <c r="Y118" s="5">
        <v>15.477</v>
      </c>
      <c r="Z118" s="5" t="s">
        <v>1084</v>
      </c>
      <c r="AA118" s="5">
        <v>0.31</v>
      </c>
      <c r="AB118" s="5" t="s">
        <v>140</v>
      </c>
      <c r="AC118" s="5" t="s">
        <v>204</v>
      </c>
    </row>
    <row r="119" spans="1:29" ht="13.9">
      <c r="A119" s="9" t="s">
        <v>70</v>
      </c>
      <c r="B119" s="9" t="s">
        <v>110</v>
      </c>
      <c r="C119" s="9" t="s">
        <v>74</v>
      </c>
      <c r="D119" s="9" t="s">
        <v>75</v>
      </c>
      <c r="E119" s="9" t="s">
        <v>157</v>
      </c>
      <c r="F119" s="9" t="s">
        <v>113</v>
      </c>
      <c r="G119" s="9" t="s">
        <v>636</v>
      </c>
      <c r="H119" s="9" t="s">
        <v>133</v>
      </c>
      <c r="I119" s="9" t="s">
        <v>218</v>
      </c>
      <c r="J119" s="65">
        <v>170583</v>
      </c>
      <c r="K119" s="9">
        <v>52</v>
      </c>
      <c r="L119" s="9">
        <v>2942</v>
      </c>
      <c r="M119" s="65">
        <v>167641</v>
      </c>
      <c r="N119" s="9" t="s">
        <v>97</v>
      </c>
      <c r="O119" s="9" t="s">
        <v>98</v>
      </c>
      <c r="P119" s="9">
        <v>15.5016</v>
      </c>
      <c r="Q119" s="9">
        <v>1.095</v>
      </c>
      <c r="R119" s="9" t="s">
        <v>639</v>
      </c>
      <c r="S119" s="9">
        <v>0.84199999999999997</v>
      </c>
      <c r="T119" s="9">
        <v>48.396999999999998</v>
      </c>
      <c r="U119" s="9">
        <v>0.57799999999999996</v>
      </c>
      <c r="V119" s="9">
        <v>1.1830000000000001</v>
      </c>
      <c r="W119" s="9" t="s">
        <v>642</v>
      </c>
      <c r="X119" s="9">
        <v>0.80600000000000005</v>
      </c>
      <c r="Y119" s="9">
        <v>4.13</v>
      </c>
      <c r="Z119" s="9" t="s">
        <v>647</v>
      </c>
      <c r="AA119" s="9">
        <v>0.36499999999999999</v>
      </c>
      <c r="AB119" s="9" t="s">
        <v>109</v>
      </c>
      <c r="AC119" s="9" t="s">
        <v>155</v>
      </c>
    </row>
    <row r="120" spans="1:29" ht="13.9">
      <c r="A120" s="5" t="s">
        <v>70</v>
      </c>
      <c r="B120" s="110" t="s">
        <v>120</v>
      </c>
      <c r="C120" s="110" t="s">
        <v>74</v>
      </c>
      <c r="D120" s="110" t="s">
        <v>1092</v>
      </c>
      <c r="E120" s="110" t="s">
        <v>1093</v>
      </c>
      <c r="F120" s="110" t="s">
        <v>1094</v>
      </c>
      <c r="G120" s="110" t="s">
        <v>62</v>
      </c>
      <c r="H120" s="110" t="s">
        <v>133</v>
      </c>
      <c r="I120" s="110" t="s">
        <v>1096</v>
      </c>
      <c r="J120" s="111">
        <v>6658</v>
      </c>
      <c r="K120" s="110">
        <v>19</v>
      </c>
      <c r="L120" s="111">
        <v>3343</v>
      </c>
      <c r="M120" s="111">
        <f t="shared" ref="M120:M135" si="2">J120-L120</f>
        <v>3315</v>
      </c>
      <c r="N120" s="110" t="s">
        <v>79</v>
      </c>
      <c r="O120" s="110" t="s">
        <v>98</v>
      </c>
      <c r="P120" s="110">
        <v>10.67</v>
      </c>
      <c r="Q120" s="110">
        <v>1.04</v>
      </c>
      <c r="R120" s="110" t="s">
        <v>1099</v>
      </c>
      <c r="S120" s="110">
        <v>0.627</v>
      </c>
      <c r="T120" s="110">
        <v>31.6</v>
      </c>
      <c r="U120" s="110">
        <v>1.7000000000000001E-2</v>
      </c>
      <c r="V120" s="110" t="s">
        <v>62</v>
      </c>
      <c r="W120" s="110" t="s">
        <v>62</v>
      </c>
      <c r="X120" s="110" t="s">
        <v>62</v>
      </c>
      <c r="Y120" s="110" t="s">
        <v>62</v>
      </c>
      <c r="Z120" s="110" t="s">
        <v>62</v>
      </c>
      <c r="AA120" s="110" t="s">
        <v>62</v>
      </c>
      <c r="AB120" s="110" t="s">
        <v>140</v>
      </c>
      <c r="AC120" s="110" t="s">
        <v>204</v>
      </c>
    </row>
    <row r="121" spans="1:29" ht="13.9">
      <c r="A121" s="5" t="s">
        <v>70</v>
      </c>
      <c r="B121" s="110" t="s">
        <v>120</v>
      </c>
      <c r="C121" s="110" t="s">
        <v>74</v>
      </c>
      <c r="D121" s="110" t="s">
        <v>1103</v>
      </c>
      <c r="E121" s="110" t="s">
        <v>1093</v>
      </c>
      <c r="F121" s="110" t="s">
        <v>1104</v>
      </c>
      <c r="G121" s="110" t="s">
        <v>62</v>
      </c>
      <c r="H121" s="110" t="s">
        <v>133</v>
      </c>
      <c r="I121" s="110" t="s">
        <v>1096</v>
      </c>
      <c r="J121" s="111">
        <v>6658</v>
      </c>
      <c r="K121" s="110">
        <v>3</v>
      </c>
      <c r="L121" s="111">
        <v>3343</v>
      </c>
      <c r="M121" s="111">
        <f t="shared" si="2"/>
        <v>3315</v>
      </c>
      <c r="N121" s="110" t="s">
        <v>79</v>
      </c>
      <c r="O121" s="110" t="s">
        <v>98</v>
      </c>
      <c r="P121" s="110">
        <v>2.83</v>
      </c>
      <c r="Q121" s="110">
        <v>0.89</v>
      </c>
      <c r="R121" s="110" t="s">
        <v>1111</v>
      </c>
      <c r="S121" s="110">
        <v>0.41599999999999998</v>
      </c>
      <c r="T121" s="110">
        <v>0.64</v>
      </c>
      <c r="U121" s="110">
        <v>0.72699999999999998</v>
      </c>
      <c r="V121" s="110" t="s">
        <v>62</v>
      </c>
      <c r="W121" s="110" t="s">
        <v>62</v>
      </c>
      <c r="X121" s="110" t="s">
        <v>62</v>
      </c>
      <c r="Y121" s="110" t="s">
        <v>62</v>
      </c>
      <c r="Z121" s="110" t="s">
        <v>62</v>
      </c>
      <c r="AA121" s="110" t="s">
        <v>62</v>
      </c>
      <c r="AB121" s="110" t="s">
        <v>140</v>
      </c>
      <c r="AC121" s="110" t="s">
        <v>204</v>
      </c>
    </row>
    <row r="122" spans="1:29" ht="13.9">
      <c r="A122" s="5" t="s">
        <v>70</v>
      </c>
      <c r="B122" s="110" t="s">
        <v>120</v>
      </c>
      <c r="C122" s="110" t="s">
        <v>74</v>
      </c>
      <c r="D122" s="110" t="s">
        <v>1115</v>
      </c>
      <c r="E122" s="110" t="s">
        <v>1093</v>
      </c>
      <c r="F122" s="110" t="s">
        <v>1116</v>
      </c>
      <c r="G122" s="110" t="s">
        <v>62</v>
      </c>
      <c r="H122" s="110" t="s">
        <v>133</v>
      </c>
      <c r="I122" s="110" t="s">
        <v>1096</v>
      </c>
      <c r="J122" s="111">
        <v>6658</v>
      </c>
      <c r="K122" s="110">
        <v>9</v>
      </c>
      <c r="L122" s="111">
        <v>3343</v>
      </c>
      <c r="M122" s="111">
        <f t="shared" si="2"/>
        <v>3315</v>
      </c>
      <c r="N122" s="110" t="s">
        <v>79</v>
      </c>
      <c r="O122" s="110" t="s">
        <v>98</v>
      </c>
      <c r="P122" s="110">
        <v>7.23</v>
      </c>
      <c r="Q122" s="110">
        <v>1.06</v>
      </c>
      <c r="R122" s="110" t="s">
        <v>1127</v>
      </c>
      <c r="S122" s="110">
        <v>0.63500000000000001</v>
      </c>
      <c r="T122" s="110">
        <v>16.52</v>
      </c>
      <c r="U122" s="110">
        <v>8.5999999999999993E-2</v>
      </c>
      <c r="V122" s="110" t="s">
        <v>62</v>
      </c>
      <c r="W122" s="110" t="s">
        <v>62</v>
      </c>
      <c r="X122" s="110" t="s">
        <v>62</v>
      </c>
      <c r="Y122" s="110" t="s">
        <v>62</v>
      </c>
      <c r="Z122" s="110" t="s">
        <v>62</v>
      </c>
      <c r="AA122" s="110" t="s">
        <v>62</v>
      </c>
      <c r="AB122" s="110" t="s">
        <v>140</v>
      </c>
      <c r="AC122" s="110" t="s">
        <v>204</v>
      </c>
    </row>
    <row r="123" spans="1:29" ht="13.9">
      <c r="A123" s="5" t="s">
        <v>70</v>
      </c>
      <c r="B123" s="110" t="s">
        <v>120</v>
      </c>
      <c r="C123" s="110" t="s">
        <v>74</v>
      </c>
      <c r="D123" s="110" t="s">
        <v>1147</v>
      </c>
      <c r="E123" s="110" t="s">
        <v>1093</v>
      </c>
      <c r="F123" s="110" t="s">
        <v>1149</v>
      </c>
      <c r="G123" s="110" t="s">
        <v>62</v>
      </c>
      <c r="H123" s="110" t="s">
        <v>133</v>
      </c>
      <c r="I123" s="110" t="s">
        <v>1096</v>
      </c>
      <c r="J123" s="111">
        <v>6658</v>
      </c>
      <c r="K123" s="110">
        <v>5</v>
      </c>
      <c r="L123" s="111">
        <v>3343</v>
      </c>
      <c r="M123" s="111">
        <f t="shared" si="2"/>
        <v>3315</v>
      </c>
      <c r="N123" s="110" t="s">
        <v>79</v>
      </c>
      <c r="O123" s="110" t="s">
        <v>98</v>
      </c>
      <c r="P123" s="110">
        <v>3.41</v>
      </c>
      <c r="Q123" s="110">
        <v>1.01</v>
      </c>
      <c r="R123" s="110" t="s">
        <v>1150</v>
      </c>
      <c r="S123" s="110">
        <v>0.97099999999999997</v>
      </c>
      <c r="T123" s="110">
        <v>5.96</v>
      </c>
      <c r="U123" s="110">
        <v>0.311</v>
      </c>
      <c r="V123" s="110" t="s">
        <v>62</v>
      </c>
      <c r="W123" s="110" t="s">
        <v>62</v>
      </c>
      <c r="X123" s="110" t="s">
        <v>62</v>
      </c>
      <c r="Y123" s="110" t="s">
        <v>62</v>
      </c>
      <c r="Z123" s="110" t="s">
        <v>62</v>
      </c>
      <c r="AA123" s="110" t="s">
        <v>62</v>
      </c>
      <c r="AB123" s="110" t="s">
        <v>140</v>
      </c>
      <c r="AC123" s="110" t="s">
        <v>204</v>
      </c>
    </row>
    <row r="124" spans="1:29" ht="13.9">
      <c r="A124" s="5" t="s">
        <v>70</v>
      </c>
      <c r="B124" s="110" t="s">
        <v>120</v>
      </c>
      <c r="C124" s="110" t="s">
        <v>74</v>
      </c>
      <c r="D124" s="110" t="s">
        <v>1156</v>
      </c>
      <c r="E124" s="110" t="s">
        <v>1093</v>
      </c>
      <c r="F124" s="110" t="s">
        <v>248</v>
      </c>
      <c r="G124" s="110" t="s">
        <v>1159</v>
      </c>
      <c r="H124" s="110" t="s">
        <v>133</v>
      </c>
      <c r="I124" s="110" t="s">
        <v>1162</v>
      </c>
      <c r="J124" s="111">
        <v>140254</v>
      </c>
      <c r="K124" s="110">
        <v>20</v>
      </c>
      <c r="L124" s="111">
        <v>79148</v>
      </c>
      <c r="M124" s="111">
        <f t="shared" si="2"/>
        <v>61106</v>
      </c>
      <c r="N124" s="110" t="s">
        <v>79</v>
      </c>
      <c r="O124" s="110" t="s">
        <v>98</v>
      </c>
      <c r="P124" s="110">
        <v>16.93</v>
      </c>
      <c r="Q124" s="110">
        <v>1.25</v>
      </c>
      <c r="R124" s="110" t="s">
        <v>1164</v>
      </c>
      <c r="S124" s="110">
        <v>0.53600000000000003</v>
      </c>
      <c r="T124" s="110">
        <v>38.520000000000003</v>
      </c>
      <c r="U124" s="110" t="s">
        <v>1165</v>
      </c>
      <c r="V124" s="110" t="s">
        <v>62</v>
      </c>
      <c r="W124" s="110" t="s">
        <v>62</v>
      </c>
      <c r="X124" s="110" t="s">
        <v>62</v>
      </c>
      <c r="Y124" s="110" t="s">
        <v>62</v>
      </c>
      <c r="Z124" s="110" t="s">
        <v>62</v>
      </c>
      <c r="AA124" s="110" t="s">
        <v>62</v>
      </c>
      <c r="AB124" s="110" t="s">
        <v>140</v>
      </c>
      <c r="AC124" s="110" t="s">
        <v>204</v>
      </c>
    </row>
    <row r="125" spans="1:29" ht="13.9">
      <c r="A125" s="5" t="s">
        <v>70</v>
      </c>
      <c r="B125" s="110" t="s">
        <v>120</v>
      </c>
      <c r="C125" s="110" t="s">
        <v>74</v>
      </c>
      <c r="D125" s="110" t="s">
        <v>1174</v>
      </c>
      <c r="E125" s="110" t="s">
        <v>1093</v>
      </c>
      <c r="F125" s="110" t="s">
        <v>215</v>
      </c>
      <c r="G125" s="110" t="s">
        <v>1159</v>
      </c>
      <c r="H125" s="110" t="s">
        <v>133</v>
      </c>
      <c r="I125" s="110" t="s">
        <v>1162</v>
      </c>
      <c r="J125" s="111">
        <v>140254</v>
      </c>
      <c r="K125" s="110">
        <v>21</v>
      </c>
      <c r="L125" s="111">
        <v>79148</v>
      </c>
      <c r="M125" s="111">
        <f t="shared" si="2"/>
        <v>61106</v>
      </c>
      <c r="N125" s="110" t="s">
        <v>79</v>
      </c>
      <c r="O125" s="110" t="s">
        <v>98</v>
      </c>
      <c r="P125" s="110">
        <v>16.52</v>
      </c>
      <c r="Q125" s="110">
        <v>2.15</v>
      </c>
      <c r="R125" s="110" t="s">
        <v>1181</v>
      </c>
      <c r="S125" s="110">
        <v>9.6000000000000002E-2</v>
      </c>
      <c r="T125" s="110">
        <v>54.9</v>
      </c>
      <c r="U125" s="110" t="s">
        <v>1165</v>
      </c>
      <c r="V125" s="110" t="s">
        <v>62</v>
      </c>
      <c r="W125" s="110" t="s">
        <v>62</v>
      </c>
      <c r="X125" s="110" t="s">
        <v>62</v>
      </c>
      <c r="Y125" s="110" t="s">
        <v>62</v>
      </c>
      <c r="Z125" s="110" t="s">
        <v>62</v>
      </c>
      <c r="AA125" s="110" t="s">
        <v>62</v>
      </c>
      <c r="AB125" s="110" t="s">
        <v>140</v>
      </c>
      <c r="AC125" s="110" t="s">
        <v>204</v>
      </c>
    </row>
    <row r="126" spans="1:29" ht="13.9">
      <c r="A126" s="5" t="s">
        <v>70</v>
      </c>
      <c r="B126" s="110" t="s">
        <v>120</v>
      </c>
      <c r="C126" s="110" t="s">
        <v>74</v>
      </c>
      <c r="D126" s="110" t="s">
        <v>1185</v>
      </c>
      <c r="E126" s="110" t="s">
        <v>1093</v>
      </c>
      <c r="F126" s="110" t="s">
        <v>165</v>
      </c>
      <c r="G126" s="110" t="s">
        <v>1159</v>
      </c>
      <c r="H126" s="110" t="s">
        <v>133</v>
      </c>
      <c r="I126" s="110" t="s">
        <v>1162</v>
      </c>
      <c r="J126" s="111">
        <v>140254</v>
      </c>
      <c r="K126" s="110">
        <v>49</v>
      </c>
      <c r="L126" s="111">
        <v>79148</v>
      </c>
      <c r="M126" s="111">
        <f t="shared" si="2"/>
        <v>61106</v>
      </c>
      <c r="N126" s="110" t="s">
        <v>79</v>
      </c>
      <c r="O126" s="110" t="s">
        <v>98</v>
      </c>
      <c r="P126" s="110">
        <v>24.08</v>
      </c>
      <c r="Q126" s="110">
        <v>1.1499999999999999</v>
      </c>
      <c r="R126" s="110" t="s">
        <v>1193</v>
      </c>
      <c r="S126" s="110">
        <v>0.57299999999999995</v>
      </c>
      <c r="T126" s="110">
        <v>127.57</v>
      </c>
      <c r="U126" s="110" t="s">
        <v>1165</v>
      </c>
      <c r="V126" s="110" t="s">
        <v>62</v>
      </c>
      <c r="W126" s="110" t="s">
        <v>62</v>
      </c>
      <c r="X126" s="110" t="s">
        <v>62</v>
      </c>
      <c r="Y126" s="110" t="s">
        <v>62</v>
      </c>
      <c r="Z126" s="110" t="s">
        <v>62</v>
      </c>
      <c r="AA126" s="110" t="s">
        <v>62</v>
      </c>
      <c r="AB126" s="110" t="s">
        <v>140</v>
      </c>
      <c r="AC126" s="110" t="s">
        <v>204</v>
      </c>
    </row>
    <row r="127" spans="1:29" ht="13.9">
      <c r="A127" s="5" t="s">
        <v>70</v>
      </c>
      <c r="B127" s="110" t="s">
        <v>120</v>
      </c>
      <c r="C127" s="110" t="s">
        <v>74</v>
      </c>
      <c r="D127" s="110" t="s">
        <v>1205</v>
      </c>
      <c r="E127" s="110" t="s">
        <v>1093</v>
      </c>
      <c r="F127" s="110" t="s">
        <v>113</v>
      </c>
      <c r="G127" s="110" t="s">
        <v>1159</v>
      </c>
      <c r="H127" s="110" t="s">
        <v>133</v>
      </c>
      <c r="I127" s="110" t="s">
        <v>1162</v>
      </c>
      <c r="J127" s="111">
        <v>140254</v>
      </c>
      <c r="K127" s="110">
        <v>41</v>
      </c>
      <c r="L127" s="111">
        <v>79148</v>
      </c>
      <c r="M127" s="111">
        <f t="shared" si="2"/>
        <v>61106</v>
      </c>
      <c r="N127" s="110" t="s">
        <v>79</v>
      </c>
      <c r="O127" s="110" t="s">
        <v>98</v>
      </c>
      <c r="P127" s="110">
        <v>15.6</v>
      </c>
      <c r="Q127" s="110">
        <v>1.25</v>
      </c>
      <c r="R127" s="110" t="s">
        <v>1207</v>
      </c>
      <c r="S127" s="110">
        <v>0.28299999999999997</v>
      </c>
      <c r="T127" s="110">
        <v>92.16</v>
      </c>
      <c r="U127" s="110" t="s">
        <v>1165</v>
      </c>
      <c r="V127" s="110" t="s">
        <v>62</v>
      </c>
      <c r="W127" s="110" t="s">
        <v>62</v>
      </c>
      <c r="X127" s="110" t="s">
        <v>62</v>
      </c>
      <c r="Y127" s="110" t="s">
        <v>62</v>
      </c>
      <c r="Z127" s="110" t="s">
        <v>62</v>
      </c>
      <c r="AA127" s="110" t="s">
        <v>62</v>
      </c>
      <c r="AB127" s="110" t="s">
        <v>140</v>
      </c>
      <c r="AC127" s="110" t="s">
        <v>204</v>
      </c>
    </row>
    <row r="128" spans="1:29" ht="13.9">
      <c r="A128" s="5" t="s">
        <v>70</v>
      </c>
      <c r="B128" s="110" t="s">
        <v>120</v>
      </c>
      <c r="C128" s="110" t="s">
        <v>74</v>
      </c>
      <c r="D128" s="110" t="s">
        <v>1092</v>
      </c>
      <c r="E128" s="110" t="s">
        <v>1221</v>
      </c>
      <c r="F128" s="110" t="s">
        <v>1094</v>
      </c>
      <c r="G128" s="110" t="s">
        <v>1223</v>
      </c>
      <c r="H128" s="110" t="s">
        <v>133</v>
      </c>
      <c r="I128" s="110" t="s">
        <v>1225</v>
      </c>
      <c r="J128" s="111">
        <v>109347</v>
      </c>
      <c r="K128" s="110">
        <v>98</v>
      </c>
      <c r="L128" s="111">
        <v>5408</v>
      </c>
      <c r="M128" s="111">
        <f t="shared" si="2"/>
        <v>103939</v>
      </c>
      <c r="N128" s="110" t="s">
        <v>79</v>
      </c>
      <c r="O128" s="110" t="s">
        <v>98</v>
      </c>
      <c r="P128" s="110">
        <v>10.67</v>
      </c>
      <c r="Q128" s="110">
        <v>0.97</v>
      </c>
      <c r="R128" s="110" t="s">
        <v>1226</v>
      </c>
      <c r="S128" s="110">
        <v>0.38600000000000001</v>
      </c>
      <c r="T128" s="110">
        <v>13.22</v>
      </c>
      <c r="U128" s="110">
        <v>0.72099999999999997</v>
      </c>
      <c r="V128" s="110" t="s">
        <v>62</v>
      </c>
      <c r="W128" s="110" t="s">
        <v>62</v>
      </c>
      <c r="X128" s="110" t="s">
        <v>62</v>
      </c>
      <c r="Y128" s="110" t="s">
        <v>62</v>
      </c>
      <c r="Z128" s="110" t="s">
        <v>62</v>
      </c>
      <c r="AA128" s="110" t="s">
        <v>62</v>
      </c>
      <c r="AB128" s="110" t="s">
        <v>140</v>
      </c>
      <c r="AC128" s="110" t="s">
        <v>204</v>
      </c>
    </row>
    <row r="129" spans="1:29" ht="13.9">
      <c r="A129" s="5" t="s">
        <v>70</v>
      </c>
      <c r="B129" s="110" t="s">
        <v>120</v>
      </c>
      <c r="C129" s="110" t="s">
        <v>74</v>
      </c>
      <c r="D129" s="110" t="s">
        <v>1103</v>
      </c>
      <c r="E129" s="110" t="s">
        <v>1221</v>
      </c>
      <c r="F129" s="110" t="s">
        <v>1104</v>
      </c>
      <c r="G129" s="110" t="s">
        <v>1223</v>
      </c>
      <c r="H129" s="110" t="s">
        <v>133</v>
      </c>
      <c r="I129" s="110" t="s">
        <v>1225</v>
      </c>
      <c r="J129" s="111">
        <v>109347</v>
      </c>
      <c r="K129" s="110">
        <v>14</v>
      </c>
      <c r="L129" s="111">
        <v>5408</v>
      </c>
      <c r="M129" s="111">
        <f t="shared" si="2"/>
        <v>103939</v>
      </c>
      <c r="N129" s="110" t="s">
        <v>79</v>
      </c>
      <c r="O129" s="110" t="s">
        <v>98</v>
      </c>
      <c r="P129" s="110">
        <v>2.83</v>
      </c>
      <c r="Q129" s="110">
        <v>1.08</v>
      </c>
      <c r="R129" s="110" t="s">
        <v>1234</v>
      </c>
      <c r="S129" s="110">
        <v>0.309</v>
      </c>
      <c r="T129" s="110" t="s">
        <v>1235</v>
      </c>
      <c r="U129" s="110">
        <v>1</v>
      </c>
      <c r="V129" s="110" t="s">
        <v>62</v>
      </c>
      <c r="W129" s="110" t="s">
        <v>62</v>
      </c>
      <c r="X129" s="110" t="s">
        <v>62</v>
      </c>
      <c r="Y129" s="110" t="s">
        <v>62</v>
      </c>
      <c r="Z129" s="110" t="s">
        <v>62</v>
      </c>
      <c r="AA129" s="110" t="s">
        <v>62</v>
      </c>
      <c r="AB129" s="110" t="s">
        <v>140</v>
      </c>
      <c r="AC129" s="110" t="s">
        <v>204</v>
      </c>
    </row>
    <row r="130" spans="1:29" ht="13.9">
      <c r="A130" s="5" t="s">
        <v>70</v>
      </c>
      <c r="B130" s="110" t="s">
        <v>120</v>
      </c>
      <c r="C130" s="110" t="s">
        <v>74</v>
      </c>
      <c r="D130" s="110" t="s">
        <v>1115</v>
      </c>
      <c r="E130" s="110" t="s">
        <v>1221</v>
      </c>
      <c r="F130" s="110" t="s">
        <v>1116</v>
      </c>
      <c r="G130" s="110" t="s">
        <v>1223</v>
      </c>
      <c r="H130" s="110" t="s">
        <v>133</v>
      </c>
      <c r="I130" s="110" t="s">
        <v>1225</v>
      </c>
      <c r="J130" s="111">
        <v>109347</v>
      </c>
      <c r="K130" s="110">
        <v>66</v>
      </c>
      <c r="L130" s="111">
        <v>5408</v>
      </c>
      <c r="M130" s="111">
        <f t="shared" si="2"/>
        <v>103939</v>
      </c>
      <c r="N130" s="110" t="s">
        <v>79</v>
      </c>
      <c r="O130" s="110" t="s">
        <v>98</v>
      </c>
      <c r="P130" s="110">
        <v>6.69</v>
      </c>
      <c r="Q130" s="110">
        <v>0.96</v>
      </c>
      <c r="R130" s="110" t="s">
        <v>1244</v>
      </c>
      <c r="S130" s="110">
        <v>0.66600000000000004</v>
      </c>
      <c r="T130" s="110">
        <v>26.2</v>
      </c>
      <c r="U130" s="110" t="s">
        <v>1165</v>
      </c>
      <c r="V130" s="110" t="s">
        <v>62</v>
      </c>
      <c r="W130" s="110" t="s">
        <v>62</v>
      </c>
      <c r="X130" s="110" t="s">
        <v>62</v>
      </c>
      <c r="Y130" s="110" t="s">
        <v>62</v>
      </c>
      <c r="Z130" s="110" t="s">
        <v>62</v>
      </c>
      <c r="AA130" s="110" t="s">
        <v>62</v>
      </c>
      <c r="AB130" s="110" t="s">
        <v>140</v>
      </c>
      <c r="AC130" s="110" t="s">
        <v>204</v>
      </c>
    </row>
    <row r="131" spans="1:29" ht="13.9">
      <c r="A131" s="5" t="s">
        <v>70</v>
      </c>
      <c r="B131" s="110" t="s">
        <v>120</v>
      </c>
      <c r="C131" s="110" t="s">
        <v>74</v>
      </c>
      <c r="D131" s="110" t="s">
        <v>1147</v>
      </c>
      <c r="E131" s="110" t="s">
        <v>1221</v>
      </c>
      <c r="F131" s="110" t="s">
        <v>1149</v>
      </c>
      <c r="G131" s="110" t="s">
        <v>1223</v>
      </c>
      <c r="H131" s="110" t="s">
        <v>133</v>
      </c>
      <c r="I131" s="110" t="s">
        <v>1225</v>
      </c>
      <c r="J131" s="111">
        <v>109347</v>
      </c>
      <c r="K131" s="110">
        <v>24</v>
      </c>
      <c r="L131" s="111">
        <v>5408</v>
      </c>
      <c r="M131" s="111">
        <f t="shared" si="2"/>
        <v>103939</v>
      </c>
      <c r="N131" s="110" t="s">
        <v>79</v>
      </c>
      <c r="O131" s="110" t="s">
        <v>98</v>
      </c>
      <c r="P131" s="110">
        <v>3.85</v>
      </c>
      <c r="Q131" s="110">
        <v>0.98</v>
      </c>
      <c r="R131" s="110" t="s">
        <v>1259</v>
      </c>
      <c r="S131" s="110">
        <v>0.79700000000000004</v>
      </c>
      <c r="T131" s="110">
        <v>2.7</v>
      </c>
      <c r="U131" s="110">
        <v>0.60899999999999999</v>
      </c>
      <c r="V131" s="110" t="s">
        <v>62</v>
      </c>
      <c r="W131" s="110" t="s">
        <v>62</v>
      </c>
      <c r="X131" s="110" t="s">
        <v>62</v>
      </c>
      <c r="Y131" s="110" t="s">
        <v>62</v>
      </c>
      <c r="Z131" s="110" t="s">
        <v>62</v>
      </c>
      <c r="AA131" s="110" t="s">
        <v>62</v>
      </c>
      <c r="AB131" s="110" t="s">
        <v>140</v>
      </c>
      <c r="AC131" s="110" t="s">
        <v>204</v>
      </c>
    </row>
    <row r="132" spans="1:29" ht="13.9">
      <c r="A132" s="5" t="s">
        <v>70</v>
      </c>
      <c r="B132" s="110" t="s">
        <v>120</v>
      </c>
      <c r="C132" s="110" t="s">
        <v>74</v>
      </c>
      <c r="D132" s="110" t="s">
        <v>1156</v>
      </c>
      <c r="E132" s="110" t="s">
        <v>1221</v>
      </c>
      <c r="F132" s="110" t="s">
        <v>248</v>
      </c>
      <c r="G132" s="110" t="s">
        <v>1261</v>
      </c>
      <c r="H132" s="110" t="s">
        <v>133</v>
      </c>
      <c r="I132" s="110" t="s">
        <v>1264</v>
      </c>
      <c r="J132" s="111">
        <v>95213</v>
      </c>
      <c r="K132" s="110">
        <v>7</v>
      </c>
      <c r="L132" s="111">
        <v>6311</v>
      </c>
      <c r="M132" s="111">
        <f t="shared" si="2"/>
        <v>88902</v>
      </c>
      <c r="N132" s="110" t="s">
        <v>79</v>
      </c>
      <c r="O132" s="110" t="s">
        <v>98</v>
      </c>
      <c r="P132" s="110">
        <v>24.03</v>
      </c>
      <c r="Q132" s="110">
        <v>3.25</v>
      </c>
      <c r="R132" s="110" t="s">
        <v>1270</v>
      </c>
      <c r="S132" s="110">
        <v>0.157</v>
      </c>
      <c r="T132" s="110">
        <v>78.959999999999994</v>
      </c>
      <c r="U132" s="110">
        <v>6.0000000000000001E-3</v>
      </c>
      <c r="V132" s="110" t="s">
        <v>62</v>
      </c>
      <c r="W132" s="110" t="s">
        <v>62</v>
      </c>
      <c r="X132" s="110" t="s">
        <v>62</v>
      </c>
      <c r="Y132" s="110" t="s">
        <v>62</v>
      </c>
      <c r="Z132" s="110" t="s">
        <v>62</v>
      </c>
      <c r="AA132" s="110" t="s">
        <v>62</v>
      </c>
      <c r="AB132" s="110" t="s">
        <v>140</v>
      </c>
      <c r="AC132" s="110" t="s">
        <v>204</v>
      </c>
    </row>
    <row r="133" spans="1:29" ht="13.9">
      <c r="A133" s="5" t="s">
        <v>70</v>
      </c>
      <c r="B133" s="110" t="s">
        <v>120</v>
      </c>
      <c r="C133" s="110" t="s">
        <v>74</v>
      </c>
      <c r="D133" s="110" t="s">
        <v>1174</v>
      </c>
      <c r="E133" s="110" t="s">
        <v>1221</v>
      </c>
      <c r="F133" s="110" t="s">
        <v>215</v>
      </c>
      <c r="G133" s="110" t="s">
        <v>1261</v>
      </c>
      <c r="H133" s="110" t="s">
        <v>133</v>
      </c>
      <c r="I133" s="110" t="s">
        <v>1264</v>
      </c>
      <c r="J133" s="111">
        <v>95213</v>
      </c>
      <c r="K133" s="110">
        <v>8</v>
      </c>
      <c r="L133" s="111">
        <v>6311</v>
      </c>
      <c r="M133" s="111">
        <f t="shared" si="2"/>
        <v>88902</v>
      </c>
      <c r="N133" s="110" t="s">
        <v>79</v>
      </c>
      <c r="O133" s="110" t="s">
        <v>98</v>
      </c>
      <c r="P133" s="110">
        <v>28.85</v>
      </c>
      <c r="Q133" s="110">
        <v>5.44</v>
      </c>
      <c r="R133" s="110" t="s">
        <v>1279</v>
      </c>
      <c r="S133" s="110">
        <v>2.8000000000000001E-2</v>
      </c>
      <c r="T133" s="110">
        <v>51.63</v>
      </c>
      <c r="U133" s="110">
        <v>4.3999999999999997E-2</v>
      </c>
      <c r="V133" s="110" t="s">
        <v>62</v>
      </c>
      <c r="W133" s="110" t="s">
        <v>62</v>
      </c>
      <c r="X133" s="110" t="s">
        <v>62</v>
      </c>
      <c r="Y133" s="110" t="s">
        <v>62</v>
      </c>
      <c r="Z133" s="110" t="s">
        <v>62</v>
      </c>
      <c r="AA133" s="110" t="s">
        <v>62</v>
      </c>
      <c r="AB133" s="110" t="s">
        <v>140</v>
      </c>
      <c r="AC133" s="110" t="s">
        <v>204</v>
      </c>
    </row>
    <row r="134" spans="1:29" ht="13.9">
      <c r="A134" s="5" t="s">
        <v>70</v>
      </c>
      <c r="B134" s="110" t="s">
        <v>120</v>
      </c>
      <c r="C134" s="110" t="s">
        <v>74</v>
      </c>
      <c r="D134" s="110" t="s">
        <v>1185</v>
      </c>
      <c r="E134" s="110" t="s">
        <v>1221</v>
      </c>
      <c r="F134" s="110" t="s">
        <v>165</v>
      </c>
      <c r="G134" s="110" t="s">
        <v>1261</v>
      </c>
      <c r="H134" s="110" t="s">
        <v>133</v>
      </c>
      <c r="I134" s="110" t="s">
        <v>1264</v>
      </c>
      <c r="J134" s="111">
        <v>95213</v>
      </c>
      <c r="K134" s="110">
        <v>12</v>
      </c>
      <c r="L134" s="111">
        <v>6311</v>
      </c>
      <c r="M134" s="111">
        <f t="shared" si="2"/>
        <v>88902</v>
      </c>
      <c r="N134" s="110" t="s">
        <v>79</v>
      </c>
      <c r="O134" s="110" t="s">
        <v>98</v>
      </c>
      <c r="P134" s="110">
        <v>26.64</v>
      </c>
      <c r="Q134" s="110">
        <v>1.38</v>
      </c>
      <c r="R134" s="110" t="s">
        <v>1296</v>
      </c>
      <c r="S134" s="110">
        <v>0.378</v>
      </c>
      <c r="T134" s="110">
        <v>25.35</v>
      </c>
      <c r="U134" s="110">
        <v>6.4000000000000001E-2</v>
      </c>
      <c r="V134" s="110" t="s">
        <v>62</v>
      </c>
      <c r="W134" s="110" t="s">
        <v>62</v>
      </c>
      <c r="X134" s="110" t="s">
        <v>62</v>
      </c>
      <c r="Y134" s="110" t="s">
        <v>62</v>
      </c>
      <c r="Z134" s="110" t="s">
        <v>62</v>
      </c>
      <c r="AA134" s="110" t="s">
        <v>62</v>
      </c>
      <c r="AB134" s="110" t="s">
        <v>140</v>
      </c>
      <c r="AC134" s="110" t="s">
        <v>204</v>
      </c>
    </row>
    <row r="135" spans="1:29" ht="13.9">
      <c r="A135" s="5" t="s">
        <v>70</v>
      </c>
      <c r="B135" s="110" t="s">
        <v>120</v>
      </c>
      <c r="C135" s="110" t="s">
        <v>74</v>
      </c>
      <c r="D135" s="110" t="s">
        <v>1205</v>
      </c>
      <c r="E135" s="110" t="s">
        <v>1221</v>
      </c>
      <c r="F135" s="110" t="s">
        <v>113</v>
      </c>
      <c r="G135" s="110" t="s">
        <v>1261</v>
      </c>
      <c r="H135" s="110" t="s">
        <v>133</v>
      </c>
      <c r="I135" s="110" t="s">
        <v>1264</v>
      </c>
      <c r="J135" s="111">
        <v>95213</v>
      </c>
      <c r="K135" s="110">
        <v>10</v>
      </c>
      <c r="L135" s="111">
        <v>6311</v>
      </c>
      <c r="M135" s="111">
        <f t="shared" si="2"/>
        <v>88902</v>
      </c>
      <c r="N135" s="110" t="s">
        <v>79</v>
      </c>
      <c r="O135" s="110" t="s">
        <v>98</v>
      </c>
      <c r="P135" s="110">
        <v>16.649999999999999</v>
      </c>
      <c r="Q135" s="110">
        <v>2.3199999999999998</v>
      </c>
      <c r="R135" s="110" t="s">
        <v>1303</v>
      </c>
      <c r="S135" s="110">
        <v>5.8000000000000003E-2</v>
      </c>
      <c r="T135" s="110">
        <v>36.619999999999997</v>
      </c>
      <c r="U135" s="110">
        <v>1E-3</v>
      </c>
      <c r="V135" s="110" t="s">
        <v>62</v>
      </c>
      <c r="W135" s="110" t="s">
        <v>62</v>
      </c>
      <c r="X135" s="110" t="s">
        <v>62</v>
      </c>
      <c r="Y135" s="110" t="s">
        <v>62</v>
      </c>
      <c r="Z135" s="110" t="s">
        <v>62</v>
      </c>
      <c r="AA135" s="110" t="s">
        <v>62</v>
      </c>
      <c r="AB135" s="110" t="s">
        <v>140</v>
      </c>
      <c r="AC135" s="110" t="s">
        <v>204</v>
      </c>
    </row>
    <row r="136" spans="1:29" ht="13.9">
      <c r="A136" s="9" t="s">
        <v>52</v>
      </c>
      <c r="B136" s="9" t="s">
        <v>20</v>
      </c>
      <c r="C136" s="9" t="s">
        <v>74</v>
      </c>
      <c r="D136" s="9" t="s">
        <v>246</v>
      </c>
      <c r="E136" s="9" t="s">
        <v>1319</v>
      </c>
      <c r="F136" s="9" t="s">
        <v>248</v>
      </c>
      <c r="G136" s="9">
        <v>31194737</v>
      </c>
      <c r="H136" s="9" t="s">
        <v>1772</v>
      </c>
      <c r="I136" s="9" t="s">
        <v>1321</v>
      </c>
      <c r="J136" s="9" t="s">
        <v>1321</v>
      </c>
      <c r="K136" s="9">
        <v>11</v>
      </c>
      <c r="L136" s="9" t="s">
        <v>1321</v>
      </c>
      <c r="M136" s="9" t="s">
        <v>1321</v>
      </c>
      <c r="N136" s="9" t="s">
        <v>97</v>
      </c>
      <c r="O136" s="9" t="s">
        <v>129</v>
      </c>
      <c r="P136" s="9" t="s">
        <v>79</v>
      </c>
      <c r="Q136" s="15" t="s">
        <v>1322</v>
      </c>
      <c r="R136" s="15" t="s">
        <v>1323</v>
      </c>
      <c r="S136" s="9" t="s">
        <v>1324</v>
      </c>
      <c r="T136" s="9">
        <v>18.391999999999999</v>
      </c>
      <c r="U136" s="9">
        <v>4.9000000000000002E-2</v>
      </c>
      <c r="V136" s="9">
        <v>-0.01</v>
      </c>
      <c r="W136" s="9" t="s">
        <v>1325</v>
      </c>
      <c r="X136" s="9">
        <v>0.92200000000000004</v>
      </c>
      <c r="Y136" s="9" t="s">
        <v>62</v>
      </c>
      <c r="Z136" s="9" t="s">
        <v>62</v>
      </c>
      <c r="AA136" s="9" t="s">
        <v>62</v>
      </c>
      <c r="AB136" s="9" t="s">
        <v>140</v>
      </c>
      <c r="AC136" s="9" t="s">
        <v>145</v>
      </c>
    </row>
    <row r="137" spans="1:29" ht="13.9">
      <c r="A137" s="9" t="s">
        <v>52</v>
      </c>
      <c r="B137" s="9" t="s">
        <v>20</v>
      </c>
      <c r="C137" s="9" t="s">
        <v>74</v>
      </c>
      <c r="D137" s="9" t="s">
        <v>164</v>
      </c>
      <c r="E137" s="9" t="s">
        <v>1319</v>
      </c>
      <c r="F137" s="9" t="s">
        <v>165</v>
      </c>
      <c r="G137" s="9">
        <v>31194737</v>
      </c>
      <c r="H137" s="9" t="s">
        <v>1780</v>
      </c>
      <c r="I137" s="9" t="s">
        <v>1321</v>
      </c>
      <c r="J137" s="9" t="s">
        <v>1321</v>
      </c>
      <c r="K137" s="9">
        <v>29</v>
      </c>
      <c r="L137" s="9" t="s">
        <v>1321</v>
      </c>
      <c r="M137" s="9" t="s">
        <v>1321</v>
      </c>
      <c r="N137" s="9" t="s">
        <v>97</v>
      </c>
      <c r="O137" s="9" t="s">
        <v>129</v>
      </c>
      <c r="P137" s="9" t="s">
        <v>79</v>
      </c>
      <c r="Q137" s="9" t="s">
        <v>1333</v>
      </c>
      <c r="R137" s="9" t="s">
        <v>1334</v>
      </c>
      <c r="S137" s="9" t="s">
        <v>1335</v>
      </c>
      <c r="T137" s="9">
        <v>67.778999999999996</v>
      </c>
      <c r="U137" s="9" t="s">
        <v>1165</v>
      </c>
      <c r="V137" s="9">
        <v>-7.0000000000000007E-2</v>
      </c>
      <c r="W137" s="9" t="s">
        <v>1336</v>
      </c>
      <c r="X137" s="9">
        <v>0.313</v>
      </c>
      <c r="Y137" s="9" t="s">
        <v>62</v>
      </c>
      <c r="Z137" s="9" t="s">
        <v>62</v>
      </c>
      <c r="AA137" s="9" t="s">
        <v>62</v>
      </c>
      <c r="AB137" s="9" t="s">
        <v>140</v>
      </c>
      <c r="AC137" s="9" t="s">
        <v>145</v>
      </c>
    </row>
    <row r="138" spans="1:29" ht="13.9">
      <c r="A138" s="9" t="s">
        <v>52</v>
      </c>
      <c r="B138" s="9" t="s">
        <v>20</v>
      </c>
      <c r="C138" s="9" t="s">
        <v>74</v>
      </c>
      <c r="D138" s="9" t="s">
        <v>75</v>
      </c>
      <c r="E138" s="9" t="s">
        <v>1319</v>
      </c>
      <c r="F138" s="9" t="s">
        <v>113</v>
      </c>
      <c r="G138" s="9">
        <v>31194737</v>
      </c>
      <c r="H138" s="9" t="s">
        <v>1790</v>
      </c>
      <c r="I138" s="9" t="s">
        <v>1321</v>
      </c>
      <c r="J138" s="9" t="s">
        <v>1321</v>
      </c>
      <c r="K138" s="9">
        <v>39</v>
      </c>
      <c r="L138" s="9" t="s">
        <v>1321</v>
      </c>
      <c r="M138" s="9" t="s">
        <v>1321</v>
      </c>
      <c r="N138" s="9" t="s">
        <v>97</v>
      </c>
      <c r="O138" s="9" t="s">
        <v>129</v>
      </c>
      <c r="P138" s="9" t="s">
        <v>79</v>
      </c>
      <c r="Q138" s="9" t="s">
        <v>1345</v>
      </c>
      <c r="R138" s="9" t="s">
        <v>1334</v>
      </c>
      <c r="S138" s="9" t="s">
        <v>1346</v>
      </c>
      <c r="T138" s="9" t="s">
        <v>1347</v>
      </c>
      <c r="U138" s="9" t="s">
        <v>1165</v>
      </c>
      <c r="V138" s="9">
        <v>-0.17</v>
      </c>
      <c r="W138" s="9" t="s">
        <v>1348</v>
      </c>
      <c r="X138" s="9">
        <v>2.5999999999999999E-2</v>
      </c>
      <c r="Y138" s="9" t="s">
        <v>62</v>
      </c>
      <c r="Z138" s="9" t="s">
        <v>62</v>
      </c>
      <c r="AA138" s="9" t="s">
        <v>62</v>
      </c>
      <c r="AB138" s="9" t="s">
        <v>140</v>
      </c>
      <c r="AC138" s="9" t="s">
        <v>145</v>
      </c>
    </row>
    <row r="139" spans="1:29" ht="13.9">
      <c r="A139" s="9" t="s">
        <v>52</v>
      </c>
      <c r="B139" s="9" t="s">
        <v>20</v>
      </c>
      <c r="C139" s="9" t="s">
        <v>74</v>
      </c>
      <c r="D139" s="9" t="s">
        <v>212</v>
      </c>
      <c r="E139" s="9" t="s">
        <v>1319</v>
      </c>
      <c r="F139" s="9" t="s">
        <v>215</v>
      </c>
      <c r="G139" s="9">
        <v>31194737</v>
      </c>
      <c r="H139" s="9" t="s">
        <v>1796</v>
      </c>
      <c r="I139" s="9" t="s">
        <v>1321</v>
      </c>
      <c r="J139" s="9" t="s">
        <v>1321</v>
      </c>
      <c r="K139" s="9">
        <v>14</v>
      </c>
      <c r="L139" s="9" t="s">
        <v>1321</v>
      </c>
      <c r="M139" s="9" t="s">
        <v>1321</v>
      </c>
      <c r="N139" s="9" t="s">
        <v>97</v>
      </c>
      <c r="O139" s="9" t="s">
        <v>129</v>
      </c>
      <c r="P139" s="9" t="s">
        <v>79</v>
      </c>
      <c r="Q139" s="9" t="s">
        <v>1358</v>
      </c>
      <c r="R139" s="9" t="s">
        <v>1323</v>
      </c>
      <c r="S139" s="9" t="s">
        <v>1362</v>
      </c>
      <c r="T139" s="9" t="s">
        <v>1365</v>
      </c>
      <c r="U139" s="9">
        <v>8.9999999999999993E-3</v>
      </c>
      <c r="V139" s="9">
        <v>-0.25</v>
      </c>
      <c r="W139" s="9" t="s">
        <v>1368</v>
      </c>
      <c r="X139" s="9">
        <v>3.7999999999999999E-2</v>
      </c>
      <c r="Y139" s="9" t="s">
        <v>62</v>
      </c>
      <c r="Z139" s="9" t="s">
        <v>62</v>
      </c>
      <c r="AA139" s="9" t="s">
        <v>62</v>
      </c>
      <c r="AB139" s="9" t="s">
        <v>140</v>
      </c>
      <c r="AC139" s="9" t="s">
        <v>145</v>
      </c>
    </row>
    <row r="140" spans="1:29" ht="13.9">
      <c r="A140" s="9" t="s">
        <v>52</v>
      </c>
      <c r="B140" s="9" t="s">
        <v>20</v>
      </c>
      <c r="C140" s="9" t="s">
        <v>74</v>
      </c>
      <c r="D140" s="9" t="s">
        <v>246</v>
      </c>
      <c r="E140" s="9" t="s">
        <v>1373</v>
      </c>
      <c r="F140" s="9" t="s">
        <v>248</v>
      </c>
      <c r="G140" s="9" t="s">
        <v>1376</v>
      </c>
      <c r="H140" s="9" t="s">
        <v>1801</v>
      </c>
      <c r="I140" s="9" t="s">
        <v>1803</v>
      </c>
      <c r="J140" s="65">
        <f t="shared" ref="J140:J171" si="3">L140+M140</f>
        <v>117404</v>
      </c>
      <c r="K140" s="9">
        <v>11</v>
      </c>
      <c r="L140" s="65">
        <v>80588</v>
      </c>
      <c r="M140" s="65">
        <v>36816</v>
      </c>
      <c r="N140" s="9" t="s">
        <v>97</v>
      </c>
      <c r="O140" s="9" t="s">
        <v>129</v>
      </c>
      <c r="P140" s="9" t="s">
        <v>79</v>
      </c>
      <c r="Q140" s="9" t="s">
        <v>1381</v>
      </c>
      <c r="R140" s="9" t="s">
        <v>134</v>
      </c>
      <c r="S140" s="9">
        <v>0.34</v>
      </c>
      <c r="T140" s="9">
        <v>6.5250000000000004</v>
      </c>
      <c r="U140" s="9">
        <v>0.76900000000000002</v>
      </c>
      <c r="V140" s="9">
        <v>0.04</v>
      </c>
      <c r="W140" s="9" t="s">
        <v>1385</v>
      </c>
      <c r="X140" s="9">
        <v>0.64300000000000002</v>
      </c>
      <c r="Y140" s="9" t="s">
        <v>62</v>
      </c>
      <c r="Z140" s="9" t="s">
        <v>62</v>
      </c>
      <c r="AA140" s="9" t="s">
        <v>62</v>
      </c>
      <c r="AB140" s="9" t="s">
        <v>140</v>
      </c>
      <c r="AC140" s="9" t="s">
        <v>145</v>
      </c>
    </row>
    <row r="141" spans="1:29" ht="13.9">
      <c r="A141" s="9" t="s">
        <v>52</v>
      </c>
      <c r="B141" s="9" t="s">
        <v>20</v>
      </c>
      <c r="C141" s="9" t="s">
        <v>74</v>
      </c>
      <c r="D141" s="9" t="s">
        <v>164</v>
      </c>
      <c r="E141" s="9" t="s">
        <v>1373</v>
      </c>
      <c r="F141" s="9" t="s">
        <v>165</v>
      </c>
      <c r="G141" s="9" t="s">
        <v>1376</v>
      </c>
      <c r="H141" s="9" t="s">
        <v>1809</v>
      </c>
      <c r="I141" s="9" t="s">
        <v>1810</v>
      </c>
      <c r="J141" s="65">
        <f t="shared" si="3"/>
        <v>117404</v>
      </c>
      <c r="K141" s="9">
        <v>29</v>
      </c>
      <c r="L141" s="65">
        <v>80588</v>
      </c>
      <c r="M141" s="65">
        <v>36816</v>
      </c>
      <c r="N141" s="9" t="s">
        <v>97</v>
      </c>
      <c r="O141" s="9" t="s">
        <v>129</v>
      </c>
      <c r="P141" s="9" t="s">
        <v>79</v>
      </c>
      <c r="Q141" s="9" t="s">
        <v>1394</v>
      </c>
      <c r="R141" s="9" t="s">
        <v>1395</v>
      </c>
      <c r="S141" s="9">
        <v>0.14000000000000001</v>
      </c>
      <c r="T141" s="9">
        <v>28.945</v>
      </c>
      <c r="U141" s="9">
        <v>0.41499999999999998</v>
      </c>
      <c r="V141" s="9">
        <v>-0.06</v>
      </c>
      <c r="W141" s="9" t="s">
        <v>1396</v>
      </c>
      <c r="X141" s="9">
        <v>0.19600000000000001</v>
      </c>
      <c r="Y141" s="9" t="s">
        <v>62</v>
      </c>
      <c r="Z141" s="9" t="s">
        <v>62</v>
      </c>
      <c r="AA141" s="9" t="s">
        <v>62</v>
      </c>
      <c r="AB141" s="9" t="s">
        <v>140</v>
      </c>
      <c r="AC141" s="9" t="s">
        <v>145</v>
      </c>
    </row>
    <row r="142" spans="1:29" ht="13.9">
      <c r="A142" s="9" t="s">
        <v>52</v>
      </c>
      <c r="B142" s="9" t="s">
        <v>20</v>
      </c>
      <c r="C142" s="9" t="s">
        <v>74</v>
      </c>
      <c r="D142" s="9" t="s">
        <v>75</v>
      </c>
      <c r="E142" s="9" t="s">
        <v>1373</v>
      </c>
      <c r="F142" s="9" t="s">
        <v>113</v>
      </c>
      <c r="G142" s="9" t="s">
        <v>1376</v>
      </c>
      <c r="H142" s="9" t="s">
        <v>1818</v>
      </c>
      <c r="I142" s="9" t="s">
        <v>1819</v>
      </c>
      <c r="J142" s="65">
        <f t="shared" si="3"/>
        <v>117404</v>
      </c>
      <c r="K142" s="9">
        <v>39</v>
      </c>
      <c r="L142" s="65">
        <v>80588</v>
      </c>
      <c r="M142" s="65">
        <v>36816</v>
      </c>
      <c r="N142" s="9" t="s">
        <v>97</v>
      </c>
      <c r="O142" s="9" t="s">
        <v>129</v>
      </c>
      <c r="P142" s="9" t="s">
        <v>79</v>
      </c>
      <c r="Q142" s="9" t="s">
        <v>1403</v>
      </c>
      <c r="R142" s="9" t="s">
        <v>131</v>
      </c>
      <c r="S142" s="9">
        <v>0.27400000000000002</v>
      </c>
      <c r="T142" s="9">
        <v>46.463999999999999</v>
      </c>
      <c r="U142" s="9">
        <v>0.16300000000000001</v>
      </c>
      <c r="V142" s="9">
        <v>-0.05</v>
      </c>
      <c r="W142" s="9" t="s">
        <v>134</v>
      </c>
      <c r="X142" s="9">
        <v>0.42499999999999999</v>
      </c>
      <c r="Y142" s="9" t="s">
        <v>62</v>
      </c>
      <c r="Z142" s="9" t="s">
        <v>62</v>
      </c>
      <c r="AA142" s="9" t="s">
        <v>62</v>
      </c>
      <c r="AB142" s="9" t="s">
        <v>140</v>
      </c>
      <c r="AC142" s="9" t="s">
        <v>145</v>
      </c>
    </row>
    <row r="143" spans="1:29" ht="13.9">
      <c r="A143" s="9" t="s">
        <v>52</v>
      </c>
      <c r="B143" s="9" t="s">
        <v>20</v>
      </c>
      <c r="C143" s="9" t="s">
        <v>74</v>
      </c>
      <c r="D143" s="9" t="s">
        <v>212</v>
      </c>
      <c r="E143" s="9" t="s">
        <v>1373</v>
      </c>
      <c r="F143" s="9" t="s">
        <v>215</v>
      </c>
      <c r="G143" s="9" t="s">
        <v>1376</v>
      </c>
      <c r="H143" s="9" t="s">
        <v>1830</v>
      </c>
      <c r="I143" s="9" t="s">
        <v>1831</v>
      </c>
      <c r="J143" s="65">
        <f t="shared" si="3"/>
        <v>117404</v>
      </c>
      <c r="K143" s="9">
        <v>14</v>
      </c>
      <c r="L143" s="65">
        <v>80588</v>
      </c>
      <c r="M143" s="65">
        <v>36816</v>
      </c>
      <c r="N143" s="9" t="s">
        <v>97</v>
      </c>
      <c r="O143" s="9" t="s">
        <v>129</v>
      </c>
      <c r="P143" s="9" t="s">
        <v>79</v>
      </c>
      <c r="Q143" s="9" t="s">
        <v>1415</v>
      </c>
      <c r="R143" s="9" t="s">
        <v>1417</v>
      </c>
      <c r="S143" s="9" t="s">
        <v>1419</v>
      </c>
      <c r="T143" s="9">
        <v>19.966000000000001</v>
      </c>
      <c r="U143" s="9">
        <v>9.6000000000000002E-2</v>
      </c>
      <c r="V143" s="9">
        <v>0.06</v>
      </c>
      <c r="W143" s="9" t="s">
        <v>1422</v>
      </c>
      <c r="X143" s="9">
        <v>0.51200000000000001</v>
      </c>
      <c r="Y143" s="9" t="s">
        <v>62</v>
      </c>
      <c r="Z143" s="9" t="s">
        <v>62</v>
      </c>
      <c r="AA143" s="9" t="s">
        <v>62</v>
      </c>
      <c r="AB143" s="9" t="s">
        <v>140</v>
      </c>
      <c r="AC143" s="9" t="s">
        <v>145</v>
      </c>
    </row>
    <row r="144" spans="1:29" ht="13.9">
      <c r="A144" s="9" t="s">
        <v>52</v>
      </c>
      <c r="B144" s="9" t="s">
        <v>20</v>
      </c>
      <c r="C144" s="9" t="s">
        <v>74</v>
      </c>
      <c r="D144" s="9" t="s">
        <v>246</v>
      </c>
      <c r="E144" s="9" t="s">
        <v>1429</v>
      </c>
      <c r="F144" s="9" t="s">
        <v>248</v>
      </c>
      <c r="G144" s="9" t="s">
        <v>1430</v>
      </c>
      <c r="H144" s="9" t="s">
        <v>1832</v>
      </c>
      <c r="I144" s="9" t="s">
        <v>1833</v>
      </c>
      <c r="J144" s="65">
        <f t="shared" si="3"/>
        <v>91269</v>
      </c>
      <c r="K144" s="9">
        <v>11</v>
      </c>
      <c r="L144" s="65">
        <v>41719</v>
      </c>
      <c r="M144" s="65">
        <v>49550</v>
      </c>
      <c r="N144" s="9" t="s">
        <v>97</v>
      </c>
      <c r="O144" s="9" t="s">
        <v>129</v>
      </c>
      <c r="P144" s="9" t="s">
        <v>79</v>
      </c>
      <c r="Q144" s="9">
        <v>0.01</v>
      </c>
      <c r="R144" s="9" t="s">
        <v>1434</v>
      </c>
      <c r="S144" s="9">
        <v>0.84599999999999997</v>
      </c>
      <c r="T144" s="9">
        <v>18.305</v>
      </c>
      <c r="U144" s="9">
        <v>0.05</v>
      </c>
      <c r="V144" s="9">
        <v>-0.06</v>
      </c>
      <c r="W144" s="9" t="s">
        <v>1325</v>
      </c>
      <c r="X144" s="9">
        <v>0.54600000000000004</v>
      </c>
      <c r="Y144" s="9" t="s">
        <v>62</v>
      </c>
      <c r="Z144" s="9" t="s">
        <v>62</v>
      </c>
      <c r="AA144" s="9" t="s">
        <v>62</v>
      </c>
      <c r="AB144" s="9" t="s">
        <v>140</v>
      </c>
      <c r="AC144" s="9" t="s">
        <v>145</v>
      </c>
    </row>
    <row r="145" spans="1:29" ht="13.9">
      <c r="A145" s="9" t="s">
        <v>52</v>
      </c>
      <c r="B145" s="9" t="s">
        <v>20</v>
      </c>
      <c r="C145" s="9" t="s">
        <v>74</v>
      </c>
      <c r="D145" s="9" t="s">
        <v>164</v>
      </c>
      <c r="E145" s="9" t="s">
        <v>1429</v>
      </c>
      <c r="F145" s="9" t="s">
        <v>165</v>
      </c>
      <c r="G145" s="9" t="s">
        <v>1430</v>
      </c>
      <c r="H145" s="9" t="s">
        <v>1835</v>
      </c>
      <c r="I145" s="9" t="s">
        <v>1836</v>
      </c>
      <c r="J145" s="65">
        <f t="shared" si="3"/>
        <v>91269</v>
      </c>
      <c r="K145" s="9">
        <v>29</v>
      </c>
      <c r="L145" s="65">
        <v>41719</v>
      </c>
      <c r="M145" s="65">
        <v>49550</v>
      </c>
      <c r="N145" s="9" t="s">
        <v>97</v>
      </c>
      <c r="O145" s="9" t="s">
        <v>129</v>
      </c>
      <c r="P145" s="9" t="s">
        <v>79</v>
      </c>
      <c r="Q145" s="9">
        <v>-0.05</v>
      </c>
      <c r="R145" s="9" t="s">
        <v>131</v>
      </c>
      <c r="S145" s="9">
        <v>0.249</v>
      </c>
      <c r="T145" s="9">
        <v>41.137</v>
      </c>
      <c r="U145" s="9">
        <v>5.1999999999999998E-2</v>
      </c>
      <c r="V145" s="9">
        <v>-0.03</v>
      </c>
      <c r="W145" s="9" t="s">
        <v>134</v>
      </c>
      <c r="X145" s="9">
        <v>0.58099999999999996</v>
      </c>
      <c r="Y145" s="9" t="s">
        <v>62</v>
      </c>
      <c r="Z145" s="9" t="s">
        <v>62</v>
      </c>
      <c r="AA145" s="9" t="s">
        <v>62</v>
      </c>
      <c r="AB145" s="9" t="s">
        <v>140</v>
      </c>
      <c r="AC145" s="9" t="s">
        <v>145</v>
      </c>
    </row>
    <row r="146" spans="1:29" ht="13.9">
      <c r="A146" s="9" t="s">
        <v>52</v>
      </c>
      <c r="B146" s="9" t="s">
        <v>20</v>
      </c>
      <c r="C146" s="9" t="s">
        <v>74</v>
      </c>
      <c r="D146" s="9" t="s">
        <v>75</v>
      </c>
      <c r="E146" s="9" t="s">
        <v>1429</v>
      </c>
      <c r="F146" s="9" t="s">
        <v>113</v>
      </c>
      <c r="G146" s="9" t="s">
        <v>1430</v>
      </c>
      <c r="H146" s="9" t="s">
        <v>1848</v>
      </c>
      <c r="I146" s="9" t="s">
        <v>1849</v>
      </c>
      <c r="J146" s="65">
        <f t="shared" si="3"/>
        <v>91269</v>
      </c>
      <c r="K146" s="9">
        <v>39</v>
      </c>
      <c r="L146" s="65">
        <v>41719</v>
      </c>
      <c r="M146" s="65">
        <v>49550</v>
      </c>
      <c r="N146" s="9" t="s">
        <v>97</v>
      </c>
      <c r="O146" s="9" t="s">
        <v>129</v>
      </c>
      <c r="P146" s="9" t="s">
        <v>79</v>
      </c>
      <c r="Q146" s="9">
        <v>-0.02</v>
      </c>
      <c r="R146" s="9" t="s">
        <v>134</v>
      </c>
      <c r="S146" s="9">
        <v>0.71099999999999997</v>
      </c>
      <c r="T146" s="9">
        <v>68.492000000000004</v>
      </c>
      <c r="U146" s="9">
        <v>2E-3</v>
      </c>
      <c r="V146" s="9">
        <v>-0.04</v>
      </c>
      <c r="W146" s="9" t="s">
        <v>1434</v>
      </c>
      <c r="X146" s="9">
        <v>0.54700000000000004</v>
      </c>
      <c r="Y146" s="9" t="s">
        <v>62</v>
      </c>
      <c r="Z146" s="9" t="s">
        <v>62</v>
      </c>
      <c r="AA146" s="9" t="s">
        <v>62</v>
      </c>
      <c r="AB146" s="9" t="s">
        <v>140</v>
      </c>
      <c r="AC146" s="9" t="s">
        <v>145</v>
      </c>
    </row>
    <row r="147" spans="1:29" ht="13.9">
      <c r="A147" s="9" t="s">
        <v>52</v>
      </c>
      <c r="B147" s="9" t="s">
        <v>20</v>
      </c>
      <c r="C147" s="9" t="s">
        <v>74</v>
      </c>
      <c r="D147" s="9" t="s">
        <v>212</v>
      </c>
      <c r="E147" s="9" t="s">
        <v>1429</v>
      </c>
      <c r="F147" s="9" t="s">
        <v>215</v>
      </c>
      <c r="G147" s="9" t="s">
        <v>1430</v>
      </c>
      <c r="H147" s="9" t="s">
        <v>1857</v>
      </c>
      <c r="I147" s="9" t="s">
        <v>1858</v>
      </c>
      <c r="J147" s="65">
        <f t="shared" si="3"/>
        <v>91269</v>
      </c>
      <c r="K147" s="9">
        <v>14</v>
      </c>
      <c r="L147" s="65">
        <v>41719</v>
      </c>
      <c r="M147" s="65">
        <v>49550</v>
      </c>
      <c r="N147" s="9" t="s">
        <v>97</v>
      </c>
      <c r="O147" s="9" t="s">
        <v>129</v>
      </c>
      <c r="P147" s="9" t="s">
        <v>79</v>
      </c>
      <c r="Q147" s="9">
        <v>0.06</v>
      </c>
      <c r="R147" s="9" t="s">
        <v>1434</v>
      </c>
      <c r="S147" s="9">
        <v>0.373</v>
      </c>
      <c r="T147" s="9">
        <v>6.83</v>
      </c>
      <c r="U147" s="9">
        <v>0.91100000000000003</v>
      </c>
      <c r="V147" s="9">
        <v>0</v>
      </c>
      <c r="W147" s="9" t="s">
        <v>1422</v>
      </c>
      <c r="X147" s="9">
        <v>0.99</v>
      </c>
      <c r="Y147" s="9" t="s">
        <v>62</v>
      </c>
      <c r="Z147" s="9" t="s">
        <v>62</v>
      </c>
      <c r="AA147" s="9" t="s">
        <v>62</v>
      </c>
      <c r="AB147" s="9" t="s">
        <v>140</v>
      </c>
      <c r="AC147" s="9" t="s">
        <v>145</v>
      </c>
    </row>
    <row r="148" spans="1:29" ht="13.9">
      <c r="A148" s="9" t="s">
        <v>52</v>
      </c>
      <c r="B148" s="9" t="s">
        <v>20</v>
      </c>
      <c r="C148" s="9" t="s">
        <v>74</v>
      </c>
      <c r="D148" s="9" t="s">
        <v>246</v>
      </c>
      <c r="E148" s="9" t="s">
        <v>111</v>
      </c>
      <c r="F148" s="9" t="s">
        <v>248</v>
      </c>
      <c r="G148" s="9" t="s">
        <v>1465</v>
      </c>
      <c r="H148" s="9" t="s">
        <v>1862</v>
      </c>
      <c r="I148" s="9" t="s">
        <v>1863</v>
      </c>
      <c r="J148" s="65">
        <f t="shared" si="3"/>
        <v>97889</v>
      </c>
      <c r="K148" s="9">
        <v>11</v>
      </c>
      <c r="L148" s="65">
        <v>76910</v>
      </c>
      <c r="M148" s="65">
        <v>20979</v>
      </c>
      <c r="N148" s="9" t="s">
        <v>97</v>
      </c>
      <c r="O148" s="9" t="s">
        <v>129</v>
      </c>
      <c r="P148" s="9" t="s">
        <v>79</v>
      </c>
      <c r="Q148" s="9">
        <v>0.08</v>
      </c>
      <c r="R148" s="9" t="s">
        <v>134</v>
      </c>
      <c r="S148" s="9">
        <v>0.19900000000000001</v>
      </c>
      <c r="T148" s="9">
        <v>5.4809999999999999</v>
      </c>
      <c r="U148" s="9">
        <v>0.85699999999999998</v>
      </c>
      <c r="V148" s="9">
        <v>0.05</v>
      </c>
      <c r="W148" s="9" t="s">
        <v>1385</v>
      </c>
      <c r="X148" s="9">
        <v>0.56299999999999994</v>
      </c>
      <c r="Y148" s="9" t="s">
        <v>62</v>
      </c>
      <c r="Z148" s="9" t="s">
        <v>62</v>
      </c>
      <c r="AA148" s="9" t="s">
        <v>62</v>
      </c>
      <c r="AB148" s="9" t="s">
        <v>140</v>
      </c>
      <c r="AC148" s="9" t="s">
        <v>145</v>
      </c>
    </row>
    <row r="149" spans="1:29" ht="13.9">
      <c r="A149" s="9" t="s">
        <v>52</v>
      </c>
      <c r="B149" s="9" t="s">
        <v>20</v>
      </c>
      <c r="C149" s="9" t="s">
        <v>74</v>
      </c>
      <c r="D149" s="9" t="s">
        <v>164</v>
      </c>
      <c r="E149" s="9" t="s">
        <v>111</v>
      </c>
      <c r="F149" s="9" t="s">
        <v>165</v>
      </c>
      <c r="G149" s="9" t="s">
        <v>114</v>
      </c>
      <c r="H149" s="9" t="s">
        <v>1873</v>
      </c>
      <c r="I149" s="9" t="s">
        <v>1878</v>
      </c>
      <c r="J149" s="65">
        <f t="shared" si="3"/>
        <v>97889</v>
      </c>
      <c r="K149" s="9">
        <v>29</v>
      </c>
      <c r="L149" s="65">
        <v>76910</v>
      </c>
      <c r="M149" s="65">
        <v>20979</v>
      </c>
      <c r="N149" s="9" t="s">
        <v>97</v>
      </c>
      <c r="O149" s="9" t="s">
        <v>129</v>
      </c>
      <c r="P149" s="9" t="s">
        <v>79</v>
      </c>
      <c r="Q149" s="9">
        <v>-0.03</v>
      </c>
      <c r="R149" s="9" t="s">
        <v>1395</v>
      </c>
      <c r="S149" s="9">
        <v>0.40899999999999997</v>
      </c>
      <c r="T149" s="9">
        <v>27.151</v>
      </c>
      <c r="U149" s="9">
        <v>0.51</v>
      </c>
      <c r="V149" s="9">
        <v>-0.05</v>
      </c>
      <c r="W149" s="9" t="s">
        <v>1396</v>
      </c>
      <c r="X149" s="9">
        <v>0.255</v>
      </c>
      <c r="Y149" s="9" t="s">
        <v>62</v>
      </c>
      <c r="Z149" s="9" t="s">
        <v>62</v>
      </c>
      <c r="AA149" s="9" t="s">
        <v>62</v>
      </c>
      <c r="AB149" s="9" t="s">
        <v>140</v>
      </c>
      <c r="AC149" s="9" t="s">
        <v>145</v>
      </c>
    </row>
    <row r="150" spans="1:29" ht="13.9">
      <c r="A150" s="9" t="s">
        <v>52</v>
      </c>
      <c r="B150" s="9" t="s">
        <v>20</v>
      </c>
      <c r="C150" s="9" t="s">
        <v>74</v>
      </c>
      <c r="D150" s="9" t="s">
        <v>75</v>
      </c>
      <c r="E150" s="9" t="s">
        <v>111</v>
      </c>
      <c r="F150" s="9" t="s">
        <v>113</v>
      </c>
      <c r="G150" s="9" t="s">
        <v>114</v>
      </c>
      <c r="H150" s="9" t="s">
        <v>1884</v>
      </c>
      <c r="I150" s="9" t="s">
        <v>1885</v>
      </c>
      <c r="J150" s="65">
        <f t="shared" si="3"/>
        <v>97889</v>
      </c>
      <c r="K150" s="9">
        <v>39</v>
      </c>
      <c r="L150" s="65">
        <v>76910</v>
      </c>
      <c r="M150" s="65">
        <v>20979</v>
      </c>
      <c r="N150" s="9" t="s">
        <v>97</v>
      </c>
      <c r="O150" s="9" t="s">
        <v>129</v>
      </c>
      <c r="P150" s="9" t="s">
        <v>79</v>
      </c>
      <c r="Q150" s="9">
        <v>0</v>
      </c>
      <c r="R150" s="9" t="s">
        <v>131</v>
      </c>
      <c r="S150" s="9">
        <v>0.999</v>
      </c>
      <c r="T150" s="9">
        <v>51.615000000000002</v>
      </c>
      <c r="U150" s="9">
        <v>6.9000000000000006E-2</v>
      </c>
      <c r="V150" s="9">
        <v>0</v>
      </c>
      <c r="W150" s="9" t="s">
        <v>134</v>
      </c>
      <c r="X150" s="9">
        <v>0.99399999999999999</v>
      </c>
      <c r="Y150" s="9" t="s">
        <v>62</v>
      </c>
      <c r="Z150" s="9" t="s">
        <v>62</v>
      </c>
      <c r="AA150" s="9" t="s">
        <v>62</v>
      </c>
      <c r="AB150" s="9" t="s">
        <v>140</v>
      </c>
      <c r="AC150" s="9" t="s">
        <v>145</v>
      </c>
    </row>
    <row r="151" spans="1:29" ht="13.9">
      <c r="A151" s="9" t="s">
        <v>52</v>
      </c>
      <c r="B151" s="9" t="s">
        <v>20</v>
      </c>
      <c r="C151" s="9" t="s">
        <v>74</v>
      </c>
      <c r="D151" s="9" t="s">
        <v>212</v>
      </c>
      <c r="E151" s="9" t="s">
        <v>111</v>
      </c>
      <c r="F151" s="9" t="s">
        <v>215</v>
      </c>
      <c r="G151" s="9" t="s">
        <v>114</v>
      </c>
      <c r="H151" s="9" t="s">
        <v>1886</v>
      </c>
      <c r="I151" s="9" t="s">
        <v>1887</v>
      </c>
      <c r="J151" s="65">
        <f t="shared" si="3"/>
        <v>97889</v>
      </c>
      <c r="K151" s="9">
        <v>14</v>
      </c>
      <c r="L151" s="65">
        <v>76910</v>
      </c>
      <c r="M151" s="65">
        <v>20979</v>
      </c>
      <c r="N151" s="9" t="s">
        <v>97</v>
      </c>
      <c r="O151" s="9" t="s">
        <v>129</v>
      </c>
      <c r="P151" s="9" t="s">
        <v>79</v>
      </c>
      <c r="Q151" s="9">
        <v>0</v>
      </c>
      <c r="R151" s="9" t="s">
        <v>1385</v>
      </c>
      <c r="S151" s="9">
        <v>0.98299999999999998</v>
      </c>
      <c r="T151" s="9">
        <v>22.526</v>
      </c>
      <c r="U151" s="9">
        <v>4.8000000000000001E-2</v>
      </c>
      <c r="V151" s="9">
        <v>-7.0000000000000007E-2</v>
      </c>
      <c r="W151" s="9" t="s">
        <v>1385</v>
      </c>
      <c r="X151" s="9">
        <v>0.38600000000000001</v>
      </c>
      <c r="Y151" s="9" t="s">
        <v>62</v>
      </c>
      <c r="Z151" s="9" t="s">
        <v>62</v>
      </c>
      <c r="AA151" s="9" t="s">
        <v>62</v>
      </c>
      <c r="AB151" s="9" t="s">
        <v>140</v>
      </c>
      <c r="AC151" s="9" t="s">
        <v>145</v>
      </c>
    </row>
    <row r="152" spans="1:29" ht="13.9">
      <c r="A152" s="9" t="s">
        <v>52</v>
      </c>
      <c r="B152" s="9" t="s">
        <v>20</v>
      </c>
      <c r="C152" s="9" t="s">
        <v>74</v>
      </c>
      <c r="D152" s="9" t="s">
        <v>246</v>
      </c>
      <c r="E152" s="9" t="s">
        <v>1490</v>
      </c>
      <c r="F152" s="9" t="s">
        <v>248</v>
      </c>
      <c r="G152" s="9" t="s">
        <v>1491</v>
      </c>
      <c r="H152" s="9" t="s">
        <v>1891</v>
      </c>
      <c r="I152" s="9" t="s">
        <v>1892</v>
      </c>
      <c r="J152" s="65">
        <f t="shared" si="3"/>
        <v>105396</v>
      </c>
      <c r="K152" s="9">
        <v>11</v>
      </c>
      <c r="L152" s="65">
        <v>72887</v>
      </c>
      <c r="M152" s="65">
        <v>32509</v>
      </c>
      <c r="N152" s="9" t="s">
        <v>97</v>
      </c>
      <c r="O152" s="9" t="s">
        <v>129</v>
      </c>
      <c r="P152" s="9" t="s">
        <v>79</v>
      </c>
      <c r="Q152" s="9" t="s">
        <v>1381</v>
      </c>
      <c r="R152" s="9" t="s">
        <v>134</v>
      </c>
      <c r="S152" s="9">
        <v>0.34</v>
      </c>
      <c r="T152" s="9" t="s">
        <v>1494</v>
      </c>
      <c r="U152" s="9">
        <v>0.627</v>
      </c>
      <c r="V152" s="9">
        <v>0.03</v>
      </c>
      <c r="W152" s="9" t="s">
        <v>1422</v>
      </c>
      <c r="X152" s="9">
        <v>0.70699999999999996</v>
      </c>
      <c r="Y152" s="9" t="s">
        <v>62</v>
      </c>
      <c r="Z152" s="9" t="s">
        <v>62</v>
      </c>
      <c r="AA152" s="9" t="s">
        <v>62</v>
      </c>
      <c r="AB152" s="9" t="s">
        <v>140</v>
      </c>
      <c r="AC152" s="9" t="s">
        <v>145</v>
      </c>
    </row>
    <row r="153" spans="1:29" ht="13.9">
      <c r="A153" s="9" t="s">
        <v>52</v>
      </c>
      <c r="B153" s="9" t="s">
        <v>20</v>
      </c>
      <c r="C153" s="9" t="s">
        <v>74</v>
      </c>
      <c r="D153" s="9" t="s">
        <v>164</v>
      </c>
      <c r="E153" s="9" t="s">
        <v>1490</v>
      </c>
      <c r="F153" s="9" t="s">
        <v>165</v>
      </c>
      <c r="G153" s="9" t="s">
        <v>1491</v>
      </c>
      <c r="H153" s="9" t="s">
        <v>1897</v>
      </c>
      <c r="I153" s="9" t="s">
        <v>1898</v>
      </c>
      <c r="J153" s="65">
        <f t="shared" si="3"/>
        <v>105396</v>
      </c>
      <c r="K153" s="9">
        <v>29</v>
      </c>
      <c r="L153" s="65">
        <v>72887</v>
      </c>
      <c r="M153" s="65">
        <v>32509</v>
      </c>
      <c r="N153" s="9" t="s">
        <v>97</v>
      </c>
      <c r="O153" s="9" t="s">
        <v>129</v>
      </c>
      <c r="P153" s="9" t="s">
        <v>79</v>
      </c>
      <c r="Q153" s="9" t="s">
        <v>1394</v>
      </c>
      <c r="R153" s="9" t="s">
        <v>1395</v>
      </c>
      <c r="S153" s="9">
        <v>0.14000000000000001</v>
      </c>
      <c r="T153" s="9">
        <v>38.377000000000002</v>
      </c>
      <c r="U153" s="9">
        <v>9.0999999999999998E-2</v>
      </c>
      <c r="V153" s="9">
        <v>-0.02</v>
      </c>
      <c r="W153" s="9" t="s">
        <v>1396</v>
      </c>
      <c r="X153" s="9">
        <v>0.77200000000000002</v>
      </c>
      <c r="Y153" s="9" t="s">
        <v>62</v>
      </c>
      <c r="Z153" s="9" t="s">
        <v>62</v>
      </c>
      <c r="AA153" s="9" t="s">
        <v>62</v>
      </c>
      <c r="AB153" s="9" t="s">
        <v>140</v>
      </c>
      <c r="AC153" s="9" t="s">
        <v>145</v>
      </c>
    </row>
    <row r="154" spans="1:29" ht="13.9">
      <c r="A154" s="9" t="s">
        <v>52</v>
      </c>
      <c r="B154" s="9" t="s">
        <v>20</v>
      </c>
      <c r="C154" s="9" t="s">
        <v>74</v>
      </c>
      <c r="D154" s="9" t="s">
        <v>75</v>
      </c>
      <c r="E154" s="9" t="s">
        <v>1490</v>
      </c>
      <c r="F154" s="9" t="s">
        <v>113</v>
      </c>
      <c r="G154" s="9" t="s">
        <v>1491</v>
      </c>
      <c r="H154" s="9" t="s">
        <v>1904</v>
      </c>
      <c r="I154" s="9" t="s">
        <v>1905</v>
      </c>
      <c r="J154" s="65">
        <f t="shared" si="3"/>
        <v>105396</v>
      </c>
      <c r="K154" s="9">
        <v>39</v>
      </c>
      <c r="L154" s="65">
        <v>72887</v>
      </c>
      <c r="M154" s="65">
        <v>32509</v>
      </c>
      <c r="N154" s="9" t="s">
        <v>97</v>
      </c>
      <c r="O154" s="9" t="s">
        <v>129</v>
      </c>
      <c r="P154" s="9" t="s">
        <v>79</v>
      </c>
      <c r="Q154" s="9" t="s">
        <v>1403</v>
      </c>
      <c r="R154" s="9" t="s">
        <v>131</v>
      </c>
      <c r="S154" s="9">
        <v>0.27400000000000002</v>
      </c>
      <c r="T154" s="9">
        <v>42.363999999999997</v>
      </c>
      <c r="U154" s="9">
        <v>0.28799999999999998</v>
      </c>
      <c r="V154" s="9">
        <v>-0.08</v>
      </c>
      <c r="W154" s="9" t="s">
        <v>134</v>
      </c>
      <c r="X154" s="9">
        <v>0.16700000000000001</v>
      </c>
      <c r="Y154" s="9" t="s">
        <v>62</v>
      </c>
      <c r="Z154" s="9" t="s">
        <v>62</v>
      </c>
      <c r="AA154" s="9" t="s">
        <v>62</v>
      </c>
      <c r="AB154" s="9" t="s">
        <v>140</v>
      </c>
      <c r="AC154" s="9" t="s">
        <v>145</v>
      </c>
    </row>
    <row r="155" spans="1:29" ht="13.9">
      <c r="A155" s="9" t="s">
        <v>52</v>
      </c>
      <c r="B155" s="9" t="s">
        <v>20</v>
      </c>
      <c r="C155" s="9" t="s">
        <v>74</v>
      </c>
      <c r="D155" s="9" t="s">
        <v>212</v>
      </c>
      <c r="E155" s="9" t="s">
        <v>1490</v>
      </c>
      <c r="F155" s="9" t="s">
        <v>215</v>
      </c>
      <c r="G155" s="9" t="s">
        <v>1491</v>
      </c>
      <c r="H155" s="9" t="s">
        <v>1910</v>
      </c>
      <c r="I155" s="9" t="s">
        <v>1911</v>
      </c>
      <c r="J155" s="65">
        <f t="shared" si="3"/>
        <v>105396</v>
      </c>
      <c r="K155" s="9">
        <v>14</v>
      </c>
      <c r="L155" s="65">
        <v>72887</v>
      </c>
      <c r="M155" s="65">
        <v>32509</v>
      </c>
      <c r="N155" s="9" t="s">
        <v>97</v>
      </c>
      <c r="O155" s="9" t="s">
        <v>129</v>
      </c>
      <c r="P155" s="9" t="s">
        <v>79</v>
      </c>
      <c r="Q155" s="9" t="s">
        <v>1415</v>
      </c>
      <c r="R155" s="9" t="s">
        <v>1417</v>
      </c>
      <c r="S155" s="9" t="s">
        <v>1419</v>
      </c>
      <c r="T155" s="9">
        <v>10.233000000000001</v>
      </c>
      <c r="U155" s="9">
        <v>0.67500000000000004</v>
      </c>
      <c r="V155" s="9">
        <v>0</v>
      </c>
      <c r="W155" s="9" t="s">
        <v>1422</v>
      </c>
      <c r="X155" s="9">
        <v>0.95699999999999996</v>
      </c>
      <c r="Y155" s="9" t="s">
        <v>62</v>
      </c>
      <c r="Z155" s="9" t="s">
        <v>62</v>
      </c>
      <c r="AA155" s="9" t="s">
        <v>62</v>
      </c>
      <c r="AB155" s="9" t="s">
        <v>140</v>
      </c>
      <c r="AC155" s="9" t="s">
        <v>145</v>
      </c>
    </row>
    <row r="156" spans="1:29" ht="15.75" customHeight="1">
      <c r="A156" s="9" t="s">
        <v>52</v>
      </c>
      <c r="B156" s="9" t="s">
        <v>20</v>
      </c>
      <c r="C156" s="9" t="s">
        <v>74</v>
      </c>
      <c r="D156" s="9" t="s">
        <v>246</v>
      </c>
      <c r="E156" s="9" t="s">
        <v>1509</v>
      </c>
      <c r="F156" s="9" t="s">
        <v>248</v>
      </c>
      <c r="G156" s="9" t="s">
        <v>1510</v>
      </c>
      <c r="H156" s="9" t="s">
        <v>1914</v>
      </c>
      <c r="I156" s="9" t="s">
        <v>1915</v>
      </c>
      <c r="J156" s="65">
        <f t="shared" si="3"/>
        <v>51516</v>
      </c>
      <c r="K156" s="9">
        <v>11</v>
      </c>
      <c r="L156" s="65">
        <v>40152</v>
      </c>
      <c r="M156" s="65">
        <v>11364</v>
      </c>
      <c r="N156" s="9" t="s">
        <v>97</v>
      </c>
      <c r="O156" s="9" t="s">
        <v>129</v>
      </c>
      <c r="P156" s="9" t="s">
        <v>79</v>
      </c>
      <c r="Q156" s="9">
        <v>0.13</v>
      </c>
      <c r="R156" s="9" t="s">
        <v>1385</v>
      </c>
      <c r="S156" s="9">
        <v>0.13300000000000001</v>
      </c>
      <c r="T156" s="9">
        <v>8.9760000000000009</v>
      </c>
      <c r="U156" s="9">
        <v>0.53400000000000003</v>
      </c>
      <c r="V156" s="9">
        <v>0.1</v>
      </c>
      <c r="W156" s="9" t="s">
        <v>1325</v>
      </c>
      <c r="X156" s="9">
        <v>0.372</v>
      </c>
      <c r="Y156" s="9" t="s">
        <v>62</v>
      </c>
      <c r="Z156" s="9" t="s">
        <v>62</v>
      </c>
      <c r="AA156" s="9" t="s">
        <v>62</v>
      </c>
      <c r="AB156" s="9" t="s">
        <v>140</v>
      </c>
      <c r="AC156" s="9" t="s">
        <v>145</v>
      </c>
    </row>
    <row r="157" spans="1:29" ht="15.75" customHeight="1">
      <c r="A157" s="9" t="s">
        <v>52</v>
      </c>
      <c r="B157" s="9" t="s">
        <v>20</v>
      </c>
      <c r="C157" s="9" t="s">
        <v>74</v>
      </c>
      <c r="D157" s="9" t="s">
        <v>164</v>
      </c>
      <c r="E157" s="9" t="s">
        <v>1509</v>
      </c>
      <c r="F157" s="9" t="s">
        <v>165</v>
      </c>
      <c r="G157" s="9" t="s">
        <v>1510</v>
      </c>
      <c r="H157" s="9" t="s">
        <v>1916</v>
      </c>
      <c r="I157" s="9" t="s">
        <v>1917</v>
      </c>
      <c r="J157" s="65">
        <f t="shared" si="3"/>
        <v>51516</v>
      </c>
      <c r="K157" s="9">
        <v>29</v>
      </c>
      <c r="L157" s="65">
        <v>40152</v>
      </c>
      <c r="M157" s="65">
        <v>11364</v>
      </c>
      <c r="N157" s="9" t="s">
        <v>97</v>
      </c>
      <c r="O157" s="9" t="s">
        <v>129</v>
      </c>
      <c r="P157" s="9" t="s">
        <v>79</v>
      </c>
      <c r="Q157" s="9">
        <v>-7.0000000000000007E-2</v>
      </c>
      <c r="R157" s="9" t="s">
        <v>1396</v>
      </c>
      <c r="S157" s="9">
        <v>0.114</v>
      </c>
      <c r="T157" s="9">
        <v>29.17</v>
      </c>
      <c r="U157" s="9">
        <v>0.40400000000000003</v>
      </c>
      <c r="V157" s="9">
        <v>-0.08</v>
      </c>
      <c r="W157" s="9" t="s">
        <v>134</v>
      </c>
      <c r="X157" s="9">
        <v>0.217</v>
      </c>
      <c r="Y157" s="9" t="s">
        <v>62</v>
      </c>
      <c r="Z157" s="9" t="s">
        <v>62</v>
      </c>
      <c r="AA157" s="9" t="s">
        <v>62</v>
      </c>
      <c r="AB157" s="9" t="s">
        <v>140</v>
      </c>
      <c r="AC157" s="9" t="s">
        <v>145</v>
      </c>
    </row>
    <row r="158" spans="1:29" ht="15.75" customHeight="1">
      <c r="A158" s="9" t="s">
        <v>52</v>
      </c>
      <c r="B158" s="9" t="s">
        <v>20</v>
      </c>
      <c r="C158" s="9" t="s">
        <v>74</v>
      </c>
      <c r="D158" s="9" t="s">
        <v>75</v>
      </c>
      <c r="E158" s="9" t="s">
        <v>1509</v>
      </c>
      <c r="F158" s="9" t="s">
        <v>113</v>
      </c>
      <c r="G158" s="9" t="s">
        <v>1510</v>
      </c>
      <c r="H158" s="9" t="s">
        <v>1921</v>
      </c>
      <c r="I158" s="9" t="s">
        <v>1922</v>
      </c>
      <c r="J158" s="65">
        <f t="shared" si="3"/>
        <v>51516</v>
      </c>
      <c r="K158" s="9">
        <v>39</v>
      </c>
      <c r="L158" s="65">
        <v>40152</v>
      </c>
      <c r="M158" s="65">
        <v>11364</v>
      </c>
      <c r="N158" s="9" t="s">
        <v>97</v>
      </c>
      <c r="O158" s="9" t="s">
        <v>129</v>
      </c>
      <c r="P158" s="9" t="s">
        <v>79</v>
      </c>
      <c r="Q158" s="9">
        <v>7.0000000000000007E-2</v>
      </c>
      <c r="R158" s="9" t="s">
        <v>1396</v>
      </c>
      <c r="S158" s="9">
        <v>0.17399999999999999</v>
      </c>
      <c r="T158" s="9">
        <v>52.600999999999999</v>
      </c>
      <c r="U158" s="9">
        <v>5.8000000000000003E-2</v>
      </c>
      <c r="V158" s="9">
        <v>0.09</v>
      </c>
      <c r="W158" s="9" t="s">
        <v>1385</v>
      </c>
      <c r="X158" s="9">
        <v>0.25800000000000001</v>
      </c>
      <c r="Y158" s="9" t="s">
        <v>62</v>
      </c>
      <c r="Z158" s="9" t="s">
        <v>62</v>
      </c>
      <c r="AA158" s="9" t="s">
        <v>62</v>
      </c>
      <c r="AB158" s="9" t="s">
        <v>140</v>
      </c>
      <c r="AC158" s="9" t="s">
        <v>145</v>
      </c>
    </row>
    <row r="159" spans="1:29" ht="15.75" customHeight="1">
      <c r="A159" s="9" t="s">
        <v>52</v>
      </c>
      <c r="B159" s="9" t="s">
        <v>20</v>
      </c>
      <c r="C159" s="9" t="s">
        <v>74</v>
      </c>
      <c r="D159" s="9" t="s">
        <v>212</v>
      </c>
      <c r="E159" s="9" t="s">
        <v>1509</v>
      </c>
      <c r="F159" s="9" t="s">
        <v>215</v>
      </c>
      <c r="G159" s="9" t="s">
        <v>1510</v>
      </c>
      <c r="H159" s="9" t="s">
        <v>1931</v>
      </c>
      <c r="I159" s="9" t="s">
        <v>1932</v>
      </c>
      <c r="J159" s="65">
        <f t="shared" si="3"/>
        <v>51516</v>
      </c>
      <c r="K159" s="9">
        <v>14</v>
      </c>
      <c r="L159" s="65">
        <v>40152</v>
      </c>
      <c r="M159" s="65">
        <v>11364</v>
      </c>
      <c r="N159" s="9" t="s">
        <v>97</v>
      </c>
      <c r="O159" s="9" t="s">
        <v>129</v>
      </c>
      <c r="P159" s="9" t="s">
        <v>79</v>
      </c>
      <c r="Q159" s="9">
        <v>-0.08</v>
      </c>
      <c r="R159" s="9" t="s">
        <v>1325</v>
      </c>
      <c r="S159" s="9">
        <v>0.443</v>
      </c>
      <c r="T159" s="9">
        <v>23.577000000000002</v>
      </c>
      <c r="U159" s="9">
        <v>3.5000000000000003E-2</v>
      </c>
      <c r="V159" s="9">
        <v>-0.02</v>
      </c>
      <c r="W159" s="9" t="s">
        <v>1525</v>
      </c>
      <c r="X159" s="9">
        <v>0.84</v>
      </c>
      <c r="Y159" s="9" t="s">
        <v>62</v>
      </c>
      <c r="Z159" s="9" t="s">
        <v>62</v>
      </c>
      <c r="AA159" s="9" t="s">
        <v>62</v>
      </c>
      <c r="AB159" s="9" t="s">
        <v>140</v>
      </c>
      <c r="AC159" s="9" t="s">
        <v>145</v>
      </c>
    </row>
    <row r="160" spans="1:29" ht="13.9">
      <c r="A160" s="17" t="s">
        <v>52</v>
      </c>
      <c r="B160" s="17" t="s">
        <v>21</v>
      </c>
      <c r="C160" s="17" t="s">
        <v>74</v>
      </c>
      <c r="D160" s="17" t="s">
        <v>164</v>
      </c>
      <c r="E160" s="17" t="s">
        <v>1526</v>
      </c>
      <c r="F160" s="17" t="s">
        <v>165</v>
      </c>
      <c r="G160" s="17" t="s">
        <v>79</v>
      </c>
      <c r="H160" s="17" t="s">
        <v>133</v>
      </c>
      <c r="I160" s="17" t="s">
        <v>218</v>
      </c>
      <c r="J160" s="17">
        <f t="shared" si="3"/>
        <v>315123</v>
      </c>
      <c r="K160" s="17">
        <v>43</v>
      </c>
      <c r="L160" s="17">
        <v>22867</v>
      </c>
      <c r="M160" s="17">
        <v>292256</v>
      </c>
      <c r="N160" s="17" t="s">
        <v>97</v>
      </c>
      <c r="O160" s="17" t="s">
        <v>98</v>
      </c>
      <c r="P160" s="17" t="s">
        <v>1527</v>
      </c>
      <c r="Q160" s="17">
        <v>0.68500000000000005</v>
      </c>
      <c r="R160" s="17" t="s">
        <v>1528</v>
      </c>
      <c r="S160" s="122">
        <v>5.2390565409366797E-2</v>
      </c>
      <c r="T160" s="122">
        <v>71.825105120725297</v>
      </c>
      <c r="U160" s="122">
        <v>7.4744134019504504E-4</v>
      </c>
      <c r="V160" s="17">
        <v>0.54900000000000004</v>
      </c>
      <c r="W160" s="17" t="s">
        <v>1529</v>
      </c>
      <c r="X160" s="122">
        <v>8.1686402201977606E-3</v>
      </c>
      <c r="Y160" s="17">
        <v>0.28399999999999997</v>
      </c>
      <c r="Z160" s="17" t="s">
        <v>1531</v>
      </c>
      <c r="AA160" s="122">
        <v>0.15684576227789199</v>
      </c>
      <c r="AB160" s="17" t="s">
        <v>109</v>
      </c>
      <c r="AC160" s="17" t="s">
        <v>385</v>
      </c>
    </row>
    <row r="161" spans="1:29" ht="13.9">
      <c r="A161" s="17" t="s">
        <v>52</v>
      </c>
      <c r="B161" s="17" t="s">
        <v>21</v>
      </c>
      <c r="C161" s="17" t="s">
        <v>74</v>
      </c>
      <c r="D161" s="17" t="s">
        <v>75</v>
      </c>
      <c r="E161" s="17" t="s">
        <v>1526</v>
      </c>
      <c r="F161" s="17" t="s">
        <v>113</v>
      </c>
      <c r="G161" s="17" t="s">
        <v>79</v>
      </c>
      <c r="H161" s="17" t="s">
        <v>133</v>
      </c>
      <c r="I161" s="17" t="s">
        <v>218</v>
      </c>
      <c r="J161" s="17">
        <f t="shared" si="3"/>
        <v>315123</v>
      </c>
      <c r="K161" s="17">
        <v>55</v>
      </c>
      <c r="L161" s="17">
        <v>22867</v>
      </c>
      <c r="M161" s="17">
        <v>292256</v>
      </c>
      <c r="N161" s="17" t="s">
        <v>97</v>
      </c>
      <c r="O161" s="17" t="s">
        <v>98</v>
      </c>
      <c r="P161" s="17" t="s">
        <v>1354</v>
      </c>
      <c r="Q161" s="17">
        <v>0.73799999999999999</v>
      </c>
      <c r="R161" s="17" t="s">
        <v>1535</v>
      </c>
      <c r="S161" s="122">
        <v>7.1629831392131693E-2</v>
      </c>
      <c r="T161" s="122">
        <v>54.985982931458601</v>
      </c>
      <c r="U161" s="122">
        <v>0.36223121223614402</v>
      </c>
      <c r="V161" s="17">
        <v>0.82199999999999995</v>
      </c>
      <c r="W161" s="17" t="s">
        <v>1537</v>
      </c>
      <c r="X161" s="122">
        <v>0.43723398701586602</v>
      </c>
      <c r="Y161" s="17">
        <v>1.07</v>
      </c>
      <c r="Z161" s="17" t="s">
        <v>1538</v>
      </c>
      <c r="AA161" s="122">
        <v>0.907605245952676</v>
      </c>
      <c r="AB161" s="17" t="s">
        <v>109</v>
      </c>
      <c r="AC161" s="17" t="s">
        <v>385</v>
      </c>
    </row>
    <row r="162" spans="1:29" ht="13.9">
      <c r="A162" s="17" t="s">
        <v>52</v>
      </c>
      <c r="B162" s="17" t="s">
        <v>21</v>
      </c>
      <c r="C162" s="17" t="s">
        <v>74</v>
      </c>
      <c r="D162" s="17" t="s">
        <v>622</v>
      </c>
      <c r="E162" s="17" t="s">
        <v>1526</v>
      </c>
      <c r="F162" s="17" t="s">
        <v>215</v>
      </c>
      <c r="G162" s="17" t="s">
        <v>79</v>
      </c>
      <c r="H162" s="17" t="s">
        <v>133</v>
      </c>
      <c r="I162" s="17" t="s">
        <v>218</v>
      </c>
      <c r="J162" s="17">
        <f t="shared" si="3"/>
        <v>315123</v>
      </c>
      <c r="K162" s="17">
        <v>22</v>
      </c>
      <c r="L162" s="17">
        <v>22867</v>
      </c>
      <c r="M162" s="17">
        <v>292256</v>
      </c>
      <c r="N162" s="17" t="s">
        <v>97</v>
      </c>
      <c r="O162" s="17" t="s">
        <v>98</v>
      </c>
      <c r="P162" s="17" t="s">
        <v>1541</v>
      </c>
      <c r="Q162" s="17">
        <v>0.47799999999999998</v>
      </c>
      <c r="R162" s="17" t="s">
        <v>1542</v>
      </c>
      <c r="S162" s="122">
        <v>1.05039557621005E-2</v>
      </c>
      <c r="T162" s="122">
        <v>13.1218737924021</v>
      </c>
      <c r="U162" s="122">
        <v>0.66382671926902004</v>
      </c>
      <c r="V162" s="17">
        <v>0.35399999999999998</v>
      </c>
      <c r="W162" s="17" t="s">
        <v>1543</v>
      </c>
      <c r="X162" s="122">
        <v>9.5899983122018206E-3</v>
      </c>
      <c r="Y162" s="17">
        <v>0.29499999999999998</v>
      </c>
      <c r="Z162" s="17" t="s">
        <v>1544</v>
      </c>
      <c r="AA162" s="122">
        <v>0.37534792844825898</v>
      </c>
      <c r="AB162" s="17" t="s">
        <v>109</v>
      </c>
      <c r="AC162" s="17" t="s">
        <v>385</v>
      </c>
    </row>
    <row r="163" spans="1:29" ht="13.9">
      <c r="A163" s="17" t="s">
        <v>52</v>
      </c>
      <c r="B163" s="17" t="s">
        <v>21</v>
      </c>
      <c r="C163" s="17" t="s">
        <v>74</v>
      </c>
      <c r="D163" s="17" t="s">
        <v>246</v>
      </c>
      <c r="E163" s="17" t="s">
        <v>1526</v>
      </c>
      <c r="F163" s="17" t="s">
        <v>248</v>
      </c>
      <c r="G163" s="17" t="s">
        <v>79</v>
      </c>
      <c r="H163" s="17" t="s">
        <v>133</v>
      </c>
      <c r="I163" s="17" t="s">
        <v>218</v>
      </c>
      <c r="J163" s="17">
        <f t="shared" si="3"/>
        <v>315123</v>
      </c>
      <c r="K163" s="17">
        <v>17</v>
      </c>
      <c r="L163" s="17">
        <v>22867</v>
      </c>
      <c r="M163" s="17">
        <v>292256</v>
      </c>
      <c r="N163" s="17" t="s">
        <v>97</v>
      </c>
      <c r="O163" s="17" t="s">
        <v>98</v>
      </c>
      <c r="P163" s="17" t="s">
        <v>1547</v>
      </c>
      <c r="Q163" s="17">
        <v>1.911</v>
      </c>
      <c r="R163" s="17" t="s">
        <v>1548</v>
      </c>
      <c r="S163" s="122">
        <v>2.3885135272024901E-2</v>
      </c>
      <c r="T163" s="122">
        <v>21.1838560980251</v>
      </c>
      <c r="U163" s="122">
        <v>0.171551120875649</v>
      </c>
      <c r="V163" s="17">
        <v>1.75</v>
      </c>
      <c r="W163" s="17" t="s">
        <v>1549</v>
      </c>
      <c r="X163" s="122">
        <v>0.118731560403219</v>
      </c>
      <c r="Y163" s="17">
        <v>2E-3</v>
      </c>
      <c r="Z163" s="17" t="s">
        <v>1550</v>
      </c>
      <c r="AA163" s="122">
        <v>4.4020765996530299E-2</v>
      </c>
      <c r="AB163" s="17" t="s">
        <v>109</v>
      </c>
      <c r="AC163" s="17" t="s">
        <v>385</v>
      </c>
    </row>
    <row r="164" spans="1:29" ht="13.9">
      <c r="A164" s="17" t="s">
        <v>52</v>
      </c>
      <c r="B164" s="17" t="s">
        <v>21</v>
      </c>
      <c r="C164" s="17" t="s">
        <v>74</v>
      </c>
      <c r="D164" s="17" t="s">
        <v>164</v>
      </c>
      <c r="E164" s="17" t="s">
        <v>1343</v>
      </c>
      <c r="F164" s="17" t="s">
        <v>165</v>
      </c>
      <c r="G164" s="17" t="s">
        <v>79</v>
      </c>
      <c r="H164" s="17" t="s">
        <v>133</v>
      </c>
      <c r="I164" s="17" t="s">
        <v>218</v>
      </c>
      <c r="J164" s="17">
        <f t="shared" si="3"/>
        <v>293202</v>
      </c>
      <c r="K164" s="17">
        <v>43</v>
      </c>
      <c r="L164" s="17">
        <v>946</v>
      </c>
      <c r="M164" s="17">
        <v>292256</v>
      </c>
      <c r="N164" s="17" t="s">
        <v>97</v>
      </c>
      <c r="O164" s="17" t="s">
        <v>98</v>
      </c>
      <c r="P164" s="17" t="s">
        <v>1527</v>
      </c>
      <c r="Q164" s="17">
        <v>1.0760000000000001</v>
      </c>
      <c r="R164" s="17" t="s">
        <v>1551</v>
      </c>
      <c r="S164" s="122">
        <v>0.91328766526549499</v>
      </c>
      <c r="T164" s="122">
        <v>23.873411983834401</v>
      </c>
      <c r="U164" s="122">
        <v>0.96417520673478296</v>
      </c>
      <c r="V164" s="17">
        <v>1.226</v>
      </c>
      <c r="W164" s="17" t="s">
        <v>1552</v>
      </c>
      <c r="X164" s="122">
        <v>0.81910376149840203</v>
      </c>
      <c r="Y164" s="17">
        <v>0.48399999999999999</v>
      </c>
      <c r="Z164" s="17" t="s">
        <v>1554</v>
      </c>
      <c r="AA164" s="122">
        <v>0.80999689198909097</v>
      </c>
      <c r="AB164" s="17" t="s">
        <v>109</v>
      </c>
      <c r="AC164" s="17" t="s">
        <v>385</v>
      </c>
    </row>
    <row r="165" spans="1:29" ht="13.9">
      <c r="A165" s="17" t="s">
        <v>52</v>
      </c>
      <c r="B165" s="17" t="s">
        <v>21</v>
      </c>
      <c r="C165" s="17" t="s">
        <v>74</v>
      </c>
      <c r="D165" s="17" t="s">
        <v>75</v>
      </c>
      <c r="E165" s="17" t="s">
        <v>1343</v>
      </c>
      <c r="F165" s="17" t="s">
        <v>113</v>
      </c>
      <c r="G165" s="17" t="s">
        <v>79</v>
      </c>
      <c r="H165" s="17" t="s">
        <v>133</v>
      </c>
      <c r="I165" s="17" t="s">
        <v>218</v>
      </c>
      <c r="J165" s="17">
        <f t="shared" si="3"/>
        <v>293202</v>
      </c>
      <c r="K165" s="17">
        <v>55</v>
      </c>
      <c r="L165" s="17">
        <v>946</v>
      </c>
      <c r="M165" s="17">
        <v>292256</v>
      </c>
      <c r="N165" s="17" t="s">
        <v>97</v>
      </c>
      <c r="O165" s="17" t="s">
        <v>98</v>
      </c>
      <c r="P165" s="17" t="s">
        <v>1354</v>
      </c>
      <c r="Q165" s="17">
        <v>0.50600000000000001</v>
      </c>
      <c r="R165" s="17" t="s">
        <v>1355</v>
      </c>
      <c r="S165" s="122">
        <v>0.430489790482673</v>
      </c>
      <c r="T165" s="122">
        <v>64.800010012789599</v>
      </c>
      <c r="U165" s="122">
        <v>0.10953616806097501</v>
      </c>
      <c r="V165" s="17">
        <v>0.59299999999999997</v>
      </c>
      <c r="W165" s="17" t="s">
        <v>1357</v>
      </c>
      <c r="X165" s="122">
        <v>0.67900737169106595</v>
      </c>
      <c r="Y165" s="17">
        <v>2.0409999999999999</v>
      </c>
      <c r="Z165" s="17" t="s">
        <v>1363</v>
      </c>
      <c r="AA165" s="122">
        <v>0.81214321828871605</v>
      </c>
      <c r="AB165" s="17" t="s">
        <v>109</v>
      </c>
      <c r="AC165" s="17" t="s">
        <v>385</v>
      </c>
    </row>
    <row r="166" spans="1:29" ht="13.9">
      <c r="A166" s="17" t="s">
        <v>52</v>
      </c>
      <c r="B166" s="17" t="s">
        <v>21</v>
      </c>
      <c r="C166" s="17" t="s">
        <v>74</v>
      </c>
      <c r="D166" s="17" t="s">
        <v>622</v>
      </c>
      <c r="E166" s="17" t="s">
        <v>1343</v>
      </c>
      <c r="F166" s="17" t="s">
        <v>215</v>
      </c>
      <c r="G166" s="17" t="s">
        <v>79</v>
      </c>
      <c r="H166" s="17" t="s">
        <v>133</v>
      </c>
      <c r="I166" s="17" t="s">
        <v>218</v>
      </c>
      <c r="J166" s="17">
        <f t="shared" si="3"/>
        <v>293202</v>
      </c>
      <c r="K166" s="17">
        <v>22</v>
      </c>
      <c r="L166" s="17">
        <v>946</v>
      </c>
      <c r="M166" s="17">
        <v>292256</v>
      </c>
      <c r="N166" s="17" t="s">
        <v>97</v>
      </c>
      <c r="O166" s="17" t="s">
        <v>98</v>
      </c>
      <c r="P166" s="17" t="s">
        <v>1541</v>
      </c>
      <c r="Q166" s="17">
        <v>0.28599999999999998</v>
      </c>
      <c r="R166" s="17" t="s">
        <v>1558</v>
      </c>
      <c r="S166" s="122">
        <v>0.37045592980346198</v>
      </c>
      <c r="T166" s="122">
        <v>16.811609661108601</v>
      </c>
      <c r="U166" s="122">
        <v>0.39788787547843801</v>
      </c>
      <c r="V166" s="17">
        <v>3.7999999999999999E-2</v>
      </c>
      <c r="W166" s="17" t="s">
        <v>1559</v>
      </c>
      <c r="X166" s="122">
        <v>8.3401984338464505E-2</v>
      </c>
      <c r="Y166" s="123">
        <v>1.5999999999999999E-5</v>
      </c>
      <c r="Z166" s="17" t="s">
        <v>1560</v>
      </c>
      <c r="AA166" s="122">
        <v>9.9869827058193E-2</v>
      </c>
      <c r="AB166" s="17" t="s">
        <v>109</v>
      </c>
      <c r="AC166" s="17" t="s">
        <v>385</v>
      </c>
    </row>
    <row r="167" spans="1:29" ht="13.9">
      <c r="A167" s="17" t="s">
        <v>52</v>
      </c>
      <c r="B167" s="17" t="s">
        <v>21</v>
      </c>
      <c r="C167" s="17" t="s">
        <v>74</v>
      </c>
      <c r="D167" s="17" t="s">
        <v>246</v>
      </c>
      <c r="E167" s="17" t="s">
        <v>1343</v>
      </c>
      <c r="F167" s="17" t="s">
        <v>248</v>
      </c>
      <c r="G167" s="17" t="s">
        <v>79</v>
      </c>
      <c r="H167" s="17" t="s">
        <v>133</v>
      </c>
      <c r="I167" s="17" t="s">
        <v>218</v>
      </c>
      <c r="J167" s="17">
        <f t="shared" si="3"/>
        <v>293202</v>
      </c>
      <c r="K167" s="17">
        <v>17</v>
      </c>
      <c r="L167" s="17">
        <v>946</v>
      </c>
      <c r="M167" s="17">
        <v>292256</v>
      </c>
      <c r="N167" s="17" t="s">
        <v>97</v>
      </c>
      <c r="O167" s="17" t="s">
        <v>98</v>
      </c>
      <c r="P167" s="17" t="s">
        <v>1547</v>
      </c>
      <c r="Q167" s="17">
        <v>0.216</v>
      </c>
      <c r="R167" s="17" t="s">
        <v>1562</v>
      </c>
      <c r="S167" s="122">
        <v>0.286665732990252</v>
      </c>
      <c r="T167" s="122">
        <v>23.991492824105698</v>
      </c>
      <c r="U167" s="122">
        <v>8.9690467601547294E-2</v>
      </c>
      <c r="V167" s="17">
        <v>2.3E-2</v>
      </c>
      <c r="W167" s="17" t="s">
        <v>1563</v>
      </c>
      <c r="X167" s="122">
        <v>2.96505944847789E-2</v>
      </c>
      <c r="Y167" s="17">
        <v>1E-3</v>
      </c>
      <c r="Z167" s="17" t="s">
        <v>1564</v>
      </c>
      <c r="AA167" s="122">
        <v>0.69377238479703696</v>
      </c>
      <c r="AB167" s="17" t="s">
        <v>109</v>
      </c>
      <c r="AC167" s="17" t="s">
        <v>385</v>
      </c>
    </row>
    <row r="168" spans="1:29" ht="13.9">
      <c r="A168" s="17" t="s">
        <v>52</v>
      </c>
      <c r="B168" s="17" t="s">
        <v>21</v>
      </c>
      <c r="C168" s="17" t="s">
        <v>74</v>
      </c>
      <c r="D168" s="17" t="s">
        <v>164</v>
      </c>
      <c r="E168" s="17" t="s">
        <v>1565</v>
      </c>
      <c r="F168" s="17" t="s">
        <v>165</v>
      </c>
      <c r="G168" s="17" t="s">
        <v>79</v>
      </c>
      <c r="H168" s="17" t="s">
        <v>133</v>
      </c>
      <c r="I168" s="17" t="s">
        <v>218</v>
      </c>
      <c r="J168" s="17">
        <f t="shared" si="3"/>
        <v>260086</v>
      </c>
      <c r="K168" s="17">
        <v>43</v>
      </c>
      <c r="L168" s="17">
        <v>503</v>
      </c>
      <c r="M168" s="17">
        <v>259583</v>
      </c>
      <c r="N168" s="17" t="s">
        <v>97</v>
      </c>
      <c r="O168" s="17" t="s">
        <v>98</v>
      </c>
      <c r="P168" s="17" t="s">
        <v>1527</v>
      </c>
      <c r="Q168" s="17">
        <v>8.6999999999999994E-2</v>
      </c>
      <c r="R168" s="17" t="s">
        <v>1566</v>
      </c>
      <c r="S168" s="122">
        <v>2.1826566273587301E-2</v>
      </c>
      <c r="T168" s="122">
        <v>51.393739688158902</v>
      </c>
      <c r="U168" s="122">
        <v>7.2100287465377194E-2</v>
      </c>
      <c r="V168" s="17">
        <v>0.17100000000000001</v>
      </c>
      <c r="W168" s="17" t="s">
        <v>1567</v>
      </c>
      <c r="X168" s="122">
        <v>0.20546074511898901</v>
      </c>
      <c r="Y168" s="17">
        <v>0.123</v>
      </c>
      <c r="Z168" s="17" t="s">
        <v>1568</v>
      </c>
      <c r="AA168" s="122">
        <v>0.66661752858096202</v>
      </c>
      <c r="AB168" s="17" t="s">
        <v>109</v>
      </c>
      <c r="AC168" s="17" t="s">
        <v>385</v>
      </c>
    </row>
    <row r="169" spans="1:29" ht="13.9">
      <c r="A169" s="17" t="s">
        <v>52</v>
      </c>
      <c r="B169" s="17" t="s">
        <v>21</v>
      </c>
      <c r="C169" s="17" t="s">
        <v>74</v>
      </c>
      <c r="D169" s="17" t="s">
        <v>75</v>
      </c>
      <c r="E169" s="17" t="s">
        <v>1565</v>
      </c>
      <c r="F169" s="17" t="s">
        <v>113</v>
      </c>
      <c r="G169" s="17" t="s">
        <v>79</v>
      </c>
      <c r="H169" s="17" t="s">
        <v>133</v>
      </c>
      <c r="I169" s="17" t="s">
        <v>218</v>
      </c>
      <c r="J169" s="17">
        <f t="shared" si="3"/>
        <v>260086</v>
      </c>
      <c r="K169" s="17">
        <v>55</v>
      </c>
      <c r="L169" s="17">
        <v>503</v>
      </c>
      <c r="M169" s="17">
        <v>259583</v>
      </c>
      <c r="N169" s="17" t="s">
        <v>97</v>
      </c>
      <c r="O169" s="17" t="s">
        <v>98</v>
      </c>
      <c r="P169" s="17" t="s">
        <v>1354</v>
      </c>
      <c r="Q169" s="17">
        <v>0.127</v>
      </c>
      <c r="R169" s="17" t="s">
        <v>1571</v>
      </c>
      <c r="S169" s="122">
        <v>5.2348849835812103E-2</v>
      </c>
      <c r="T169" s="122">
        <v>50.849365635394598</v>
      </c>
      <c r="U169" s="122">
        <v>0.51918961088945803</v>
      </c>
      <c r="V169" s="17">
        <v>6.5000000000000002E-2</v>
      </c>
      <c r="W169" s="17" t="s">
        <v>1572</v>
      </c>
      <c r="X169" s="122">
        <v>9.0415338206360801E-2</v>
      </c>
      <c r="Y169" s="17">
        <v>0.193</v>
      </c>
      <c r="Z169" s="17" t="s">
        <v>1573</v>
      </c>
      <c r="AA169" s="122">
        <v>0.65422278034714298</v>
      </c>
      <c r="AB169" s="17" t="s">
        <v>109</v>
      </c>
      <c r="AC169" s="17" t="s">
        <v>385</v>
      </c>
    </row>
    <row r="170" spans="1:29" ht="13.9">
      <c r="A170" s="17" t="s">
        <v>52</v>
      </c>
      <c r="B170" s="17" t="s">
        <v>21</v>
      </c>
      <c r="C170" s="17" t="s">
        <v>74</v>
      </c>
      <c r="D170" s="17" t="s">
        <v>622</v>
      </c>
      <c r="E170" s="17" t="s">
        <v>1565</v>
      </c>
      <c r="F170" s="17" t="s">
        <v>215</v>
      </c>
      <c r="G170" s="17" t="s">
        <v>79</v>
      </c>
      <c r="H170" s="17" t="s">
        <v>133</v>
      </c>
      <c r="I170" s="17" t="s">
        <v>218</v>
      </c>
      <c r="J170" s="17">
        <f t="shared" si="3"/>
        <v>260086</v>
      </c>
      <c r="K170" s="17">
        <v>22</v>
      </c>
      <c r="L170" s="17">
        <v>503</v>
      </c>
      <c r="M170" s="17">
        <v>259583</v>
      </c>
      <c r="N170" s="17" t="s">
        <v>97</v>
      </c>
      <c r="O170" s="17" t="s">
        <v>98</v>
      </c>
      <c r="P170" s="17" t="s">
        <v>1541</v>
      </c>
      <c r="Q170" s="17">
        <v>2.3149999999999999</v>
      </c>
      <c r="R170" s="17" t="s">
        <v>1574</v>
      </c>
      <c r="S170" s="122">
        <v>0.64481139809299803</v>
      </c>
      <c r="T170" s="122">
        <v>13.742391115960499</v>
      </c>
      <c r="U170" s="122">
        <v>0.68524578492128496</v>
      </c>
      <c r="V170" s="17">
        <v>9.6820000000000004</v>
      </c>
      <c r="W170" s="17" t="s">
        <v>1575</v>
      </c>
      <c r="X170" s="122">
        <v>0.35265593075818902</v>
      </c>
      <c r="Y170" s="17">
        <v>8.9380000000000006</v>
      </c>
      <c r="Z170" s="17" t="s">
        <v>1576</v>
      </c>
      <c r="AA170" s="122">
        <v>0.79898319843086796</v>
      </c>
      <c r="AB170" s="17" t="s">
        <v>109</v>
      </c>
      <c r="AC170" s="17" t="s">
        <v>385</v>
      </c>
    </row>
    <row r="171" spans="1:29" ht="13.9">
      <c r="A171" s="17" t="s">
        <v>52</v>
      </c>
      <c r="B171" s="17" t="s">
        <v>21</v>
      </c>
      <c r="C171" s="17" t="s">
        <v>74</v>
      </c>
      <c r="D171" s="17" t="s">
        <v>246</v>
      </c>
      <c r="E171" s="17" t="s">
        <v>1565</v>
      </c>
      <c r="F171" s="17" t="s">
        <v>248</v>
      </c>
      <c r="G171" s="17" t="s">
        <v>79</v>
      </c>
      <c r="H171" s="17" t="s">
        <v>133</v>
      </c>
      <c r="I171" s="17" t="s">
        <v>218</v>
      </c>
      <c r="J171" s="17">
        <f t="shared" si="3"/>
        <v>260086</v>
      </c>
      <c r="K171" s="17">
        <v>17</v>
      </c>
      <c r="L171" s="17">
        <v>503</v>
      </c>
      <c r="M171" s="17">
        <v>259583</v>
      </c>
      <c r="N171" s="17" t="s">
        <v>97</v>
      </c>
      <c r="O171" s="17" t="s">
        <v>98</v>
      </c>
      <c r="P171" s="17" t="s">
        <v>1547</v>
      </c>
      <c r="Q171" s="17">
        <v>9.7560000000000002</v>
      </c>
      <c r="R171" s="17" t="s">
        <v>1577</v>
      </c>
      <c r="S171" s="122">
        <v>0.158223577569781</v>
      </c>
      <c r="T171" s="122">
        <v>15.184059292472</v>
      </c>
      <c r="U171" s="122">
        <v>0.51120128389563102</v>
      </c>
      <c r="V171" s="17">
        <v>65.218999999999994</v>
      </c>
      <c r="W171" s="17" t="s">
        <v>1578</v>
      </c>
      <c r="X171" s="122">
        <v>5.9651178310258103E-2</v>
      </c>
      <c r="Y171" s="123">
        <v>1500000000000000</v>
      </c>
      <c r="Z171" s="17" t="s">
        <v>1579</v>
      </c>
      <c r="AA171" s="122">
        <v>6.6535316373585895E-2</v>
      </c>
      <c r="AB171" s="17" t="s">
        <v>109</v>
      </c>
      <c r="AC171" s="17" t="s">
        <v>385</v>
      </c>
    </row>
    <row r="172" spans="1:29" ht="13.9">
      <c r="A172" s="9" t="s">
        <v>52</v>
      </c>
      <c r="B172" s="9" t="s">
        <v>121</v>
      </c>
      <c r="C172" s="9" t="s">
        <v>74</v>
      </c>
      <c r="D172" s="9" t="s">
        <v>1580</v>
      </c>
      <c r="E172" s="9" t="s">
        <v>1581</v>
      </c>
      <c r="F172" s="9" t="s">
        <v>79</v>
      </c>
      <c r="G172" s="9" t="s">
        <v>79</v>
      </c>
      <c r="H172" s="9" t="s">
        <v>133</v>
      </c>
      <c r="I172" s="9" t="s">
        <v>218</v>
      </c>
      <c r="J172" s="9">
        <v>215027</v>
      </c>
      <c r="K172" s="9">
        <v>22</v>
      </c>
      <c r="L172" s="9">
        <v>19883</v>
      </c>
      <c r="M172" s="9">
        <v>195144</v>
      </c>
      <c r="N172" s="110" t="s">
        <v>97</v>
      </c>
      <c r="O172" s="9" t="s">
        <v>98</v>
      </c>
      <c r="P172" s="9" t="s">
        <v>79</v>
      </c>
      <c r="Q172" s="9">
        <v>1.06</v>
      </c>
      <c r="R172" s="9" t="s">
        <v>1582</v>
      </c>
      <c r="S172" s="9">
        <v>0.88300000000000001</v>
      </c>
      <c r="T172" s="9" t="s">
        <v>62</v>
      </c>
      <c r="U172" s="9" t="s">
        <v>62</v>
      </c>
      <c r="V172" s="9" t="s">
        <v>62</v>
      </c>
      <c r="W172" s="9" t="s">
        <v>62</v>
      </c>
      <c r="X172" s="9" t="s">
        <v>62</v>
      </c>
      <c r="Y172" s="9" t="s">
        <v>62</v>
      </c>
      <c r="Z172" s="9" t="s">
        <v>62</v>
      </c>
      <c r="AA172" s="9" t="s">
        <v>62</v>
      </c>
      <c r="AB172" s="9" t="s">
        <v>140</v>
      </c>
      <c r="AC172" s="9" t="s">
        <v>385</v>
      </c>
    </row>
    <row r="173" spans="1:29" ht="13.9">
      <c r="A173" s="9" t="s">
        <v>52</v>
      </c>
      <c r="B173" s="9" t="s">
        <v>121</v>
      </c>
      <c r="C173" s="9" t="s">
        <v>74</v>
      </c>
      <c r="D173" s="9" t="s">
        <v>1580</v>
      </c>
      <c r="E173" s="9" t="s">
        <v>1581</v>
      </c>
      <c r="F173" s="9" t="s">
        <v>79</v>
      </c>
      <c r="G173" s="9" t="s">
        <v>79</v>
      </c>
      <c r="H173" s="9" t="s">
        <v>133</v>
      </c>
      <c r="I173" s="9" t="s">
        <v>133</v>
      </c>
      <c r="J173" s="9">
        <v>462933</v>
      </c>
      <c r="K173" s="9">
        <v>22</v>
      </c>
      <c r="L173" s="9">
        <v>7682</v>
      </c>
      <c r="M173" s="9">
        <v>455251</v>
      </c>
      <c r="N173" s="110" t="s">
        <v>97</v>
      </c>
      <c r="O173" s="9" t="s">
        <v>98</v>
      </c>
      <c r="P173" s="9" t="s">
        <v>79</v>
      </c>
      <c r="Q173" s="9">
        <v>0.98</v>
      </c>
      <c r="R173" s="9" t="s">
        <v>1584</v>
      </c>
      <c r="S173" s="9">
        <v>0.11700000000000001</v>
      </c>
      <c r="T173" s="9" t="s">
        <v>62</v>
      </c>
      <c r="U173" s="9" t="s">
        <v>62</v>
      </c>
      <c r="V173" s="9" t="s">
        <v>62</v>
      </c>
      <c r="W173" s="9" t="s">
        <v>62</v>
      </c>
      <c r="X173" s="9" t="s">
        <v>62</v>
      </c>
      <c r="Y173" s="9" t="s">
        <v>62</v>
      </c>
      <c r="Z173" s="9" t="s">
        <v>62</v>
      </c>
      <c r="AA173" s="9" t="s">
        <v>62</v>
      </c>
      <c r="AB173" s="9" t="s">
        <v>140</v>
      </c>
      <c r="AC173" s="9" t="s">
        <v>385</v>
      </c>
    </row>
    <row r="174" spans="1:29" ht="13.9">
      <c r="A174" s="96" t="s">
        <v>1585</v>
      </c>
      <c r="B174" s="96" t="s">
        <v>123</v>
      </c>
      <c r="C174" s="96" t="s">
        <v>74</v>
      </c>
      <c r="D174" s="96" t="s">
        <v>164</v>
      </c>
      <c r="E174" s="96" t="s">
        <v>1586</v>
      </c>
      <c r="F174" s="96" t="s">
        <v>165</v>
      </c>
      <c r="G174" s="96" t="s">
        <v>1587</v>
      </c>
      <c r="H174" s="96" t="s">
        <v>133</v>
      </c>
      <c r="I174" s="96" t="s">
        <v>834</v>
      </c>
      <c r="J174" s="96">
        <v>451099</v>
      </c>
      <c r="K174" s="96">
        <v>43</v>
      </c>
      <c r="L174" s="96" t="s">
        <v>79</v>
      </c>
      <c r="M174" s="96" t="s">
        <v>79</v>
      </c>
      <c r="N174" s="96" t="s">
        <v>97</v>
      </c>
      <c r="O174" s="96" t="s">
        <v>98</v>
      </c>
      <c r="P174" s="96" t="s">
        <v>79</v>
      </c>
      <c r="Q174" s="96">
        <v>0.52</v>
      </c>
      <c r="R174" s="96" t="s">
        <v>1588</v>
      </c>
      <c r="S174" s="96">
        <v>3.0000000000000001E-3</v>
      </c>
      <c r="T174" s="96" t="s">
        <v>79</v>
      </c>
      <c r="U174" s="96">
        <v>0.95899999999999996</v>
      </c>
      <c r="V174" s="96">
        <v>0.45</v>
      </c>
      <c r="W174" s="96" t="s">
        <v>1589</v>
      </c>
      <c r="X174" s="96">
        <v>0.01</v>
      </c>
      <c r="Y174" s="96">
        <v>0.4</v>
      </c>
      <c r="Z174" s="96" t="s">
        <v>1590</v>
      </c>
      <c r="AA174" s="96">
        <v>0.373</v>
      </c>
      <c r="AB174" s="96" t="s">
        <v>140</v>
      </c>
      <c r="AC174" s="96" t="s">
        <v>155</v>
      </c>
    </row>
    <row r="175" spans="1:29" ht="13.9">
      <c r="A175" s="96" t="s">
        <v>1585</v>
      </c>
      <c r="B175" s="5" t="s">
        <v>3</v>
      </c>
      <c r="C175" s="5" t="s">
        <v>74</v>
      </c>
      <c r="D175" s="5" t="s">
        <v>246</v>
      </c>
      <c r="E175" s="5" t="s">
        <v>106</v>
      </c>
      <c r="F175" s="5" t="s">
        <v>248</v>
      </c>
      <c r="G175" s="5" t="s">
        <v>115</v>
      </c>
      <c r="H175" s="5" t="s">
        <v>133</v>
      </c>
      <c r="I175" s="5" t="s">
        <v>218</v>
      </c>
      <c r="J175" s="89">
        <v>215644</v>
      </c>
      <c r="K175" s="5">
        <v>10</v>
      </c>
      <c r="L175" s="5" t="s">
        <v>79</v>
      </c>
      <c r="M175" s="5" t="s">
        <v>79</v>
      </c>
      <c r="N175" s="5" t="s">
        <v>97</v>
      </c>
      <c r="O175" s="5" t="s">
        <v>98</v>
      </c>
      <c r="P175" s="5" t="s">
        <v>79</v>
      </c>
      <c r="Q175" s="5" t="s">
        <v>1591</v>
      </c>
      <c r="R175" s="5" t="s">
        <v>1592</v>
      </c>
      <c r="S175" s="5">
        <v>8.9999999999999993E-3</v>
      </c>
      <c r="T175" s="5">
        <v>4.8372000000000002</v>
      </c>
      <c r="U175" s="5">
        <v>0.90200000000000002</v>
      </c>
      <c r="V175" s="5">
        <v>2.9849999999999999</v>
      </c>
      <c r="W175" s="5" t="s">
        <v>1593</v>
      </c>
      <c r="X175" s="5">
        <v>1.6E-2</v>
      </c>
      <c r="Y175" s="5">
        <v>1.702</v>
      </c>
      <c r="Z175" s="5" t="s">
        <v>1594</v>
      </c>
      <c r="AA175" s="5">
        <v>0.90800000000000003</v>
      </c>
      <c r="AB175" s="5" t="s">
        <v>109</v>
      </c>
      <c r="AC175" s="5" t="s">
        <v>112</v>
      </c>
    </row>
    <row r="176" spans="1:29" ht="13.9">
      <c r="A176" s="5" t="s">
        <v>52</v>
      </c>
      <c r="B176" s="5" t="s">
        <v>48</v>
      </c>
      <c r="C176" s="5" t="s">
        <v>74</v>
      </c>
      <c r="D176" s="5" t="s">
        <v>1595</v>
      </c>
      <c r="E176" s="5" t="s">
        <v>128</v>
      </c>
      <c r="F176" s="5" t="s">
        <v>79</v>
      </c>
      <c r="G176" s="5" t="s">
        <v>79</v>
      </c>
      <c r="H176" s="5" t="s">
        <v>2036</v>
      </c>
      <c r="I176" s="5" t="s">
        <v>2037</v>
      </c>
      <c r="J176" s="5">
        <f t="shared" ref="J176:J177" si="4">L176+M176</f>
        <v>377583</v>
      </c>
      <c r="K176" s="5">
        <v>12</v>
      </c>
      <c r="L176" s="5">
        <v>5567</v>
      </c>
      <c r="M176" s="5">
        <v>372016</v>
      </c>
      <c r="N176" s="5" t="s">
        <v>79</v>
      </c>
      <c r="O176" s="5" t="s">
        <v>98</v>
      </c>
      <c r="P176" s="5" t="s">
        <v>79</v>
      </c>
      <c r="Q176" s="5">
        <v>1.014</v>
      </c>
      <c r="R176" s="127" t="s">
        <v>1598</v>
      </c>
      <c r="S176" s="5">
        <v>4.8000000000000001E-2</v>
      </c>
      <c r="T176" s="5" t="s">
        <v>79</v>
      </c>
      <c r="U176" s="100">
        <v>0.63900000000000001</v>
      </c>
      <c r="V176" s="5">
        <v>1.0189999999999999</v>
      </c>
      <c r="W176" s="5" t="s">
        <v>1599</v>
      </c>
      <c r="X176" s="5">
        <v>4.4999999999999998E-2</v>
      </c>
      <c r="Y176" s="5">
        <v>1.004</v>
      </c>
      <c r="Z176" s="5" t="s">
        <v>1600</v>
      </c>
      <c r="AA176" s="5">
        <v>0.81899999999999995</v>
      </c>
      <c r="AB176" s="5" t="s">
        <v>140</v>
      </c>
      <c r="AC176" s="5" t="s">
        <v>204</v>
      </c>
    </row>
    <row r="177" spans="1:29" ht="13.9">
      <c r="A177" s="5" t="s">
        <v>52</v>
      </c>
      <c r="B177" s="5" t="s">
        <v>48</v>
      </c>
      <c r="C177" s="5" t="s">
        <v>74</v>
      </c>
      <c r="D177" s="5" t="s">
        <v>1601</v>
      </c>
      <c r="E177" s="5" t="s">
        <v>128</v>
      </c>
      <c r="F177" s="5" t="s">
        <v>79</v>
      </c>
      <c r="G177" s="5" t="s">
        <v>79</v>
      </c>
      <c r="H177" s="5" t="s">
        <v>2046</v>
      </c>
      <c r="I177" s="5" t="s">
        <v>2048</v>
      </c>
      <c r="J177" s="5">
        <f t="shared" si="4"/>
        <v>377583</v>
      </c>
      <c r="K177" s="5">
        <v>8</v>
      </c>
      <c r="L177" s="5">
        <v>5567</v>
      </c>
      <c r="M177" s="5">
        <v>372016</v>
      </c>
      <c r="N177" s="5" t="s">
        <v>79</v>
      </c>
      <c r="O177" s="5" t="s">
        <v>98</v>
      </c>
      <c r="P177" s="5" t="s">
        <v>79</v>
      </c>
      <c r="Q177" s="5">
        <v>1.0069999999999999</v>
      </c>
      <c r="R177" s="5" t="s">
        <v>1605</v>
      </c>
      <c r="S177" s="5">
        <v>0.51200000000000001</v>
      </c>
      <c r="T177" s="5"/>
      <c r="U177" s="100">
        <v>0.63900000000000001</v>
      </c>
      <c r="V177" s="5">
        <v>1.0189999999999999</v>
      </c>
      <c r="W177" s="5" t="s">
        <v>1606</v>
      </c>
      <c r="X177" s="5">
        <v>0.32700000000000001</v>
      </c>
      <c r="Y177" s="5">
        <v>1.002</v>
      </c>
      <c r="Z177" s="5" t="s">
        <v>1607</v>
      </c>
      <c r="AA177" s="5">
        <v>0.95</v>
      </c>
      <c r="AB177" s="5" t="s">
        <v>140</v>
      </c>
      <c r="AC177" s="5" t="s">
        <v>204</v>
      </c>
    </row>
    <row r="178" spans="1:29" ht="13.9">
      <c r="A178" s="5" t="s">
        <v>52</v>
      </c>
      <c r="B178" s="5" t="s">
        <v>126</v>
      </c>
      <c r="C178" s="5" t="s">
        <v>74</v>
      </c>
      <c r="D178" s="17" t="s">
        <v>164</v>
      </c>
      <c r="E178" s="17" t="s">
        <v>1626</v>
      </c>
      <c r="F178" s="17" t="s">
        <v>165</v>
      </c>
      <c r="G178" s="5" t="s">
        <v>1680</v>
      </c>
      <c r="H178" s="5" t="s">
        <v>133</v>
      </c>
      <c r="I178" s="5" t="s">
        <v>218</v>
      </c>
      <c r="J178" s="5">
        <v>177860</v>
      </c>
      <c r="K178" s="5">
        <v>41</v>
      </c>
      <c r="L178" s="5">
        <v>13178</v>
      </c>
      <c r="M178" s="17">
        <v>164682</v>
      </c>
      <c r="N178" s="110" t="s">
        <v>97</v>
      </c>
      <c r="O178" s="5" t="s">
        <v>98</v>
      </c>
      <c r="P178" s="5" t="s">
        <v>79</v>
      </c>
      <c r="Q178" s="5">
        <v>0.435</v>
      </c>
      <c r="R178" s="5" t="s">
        <v>1682</v>
      </c>
      <c r="S178" s="5" t="s">
        <v>1683</v>
      </c>
      <c r="T178" s="5">
        <v>48.801000000000002</v>
      </c>
      <c r="U178" s="5">
        <v>0.16</v>
      </c>
      <c r="V178" s="5">
        <v>0.56100000000000005</v>
      </c>
      <c r="W178" s="5" t="s">
        <v>1685</v>
      </c>
      <c r="X178" s="5">
        <v>3.7999999999999999E-2</v>
      </c>
      <c r="Y178" s="5">
        <v>7.8E-2</v>
      </c>
      <c r="Z178" s="5" t="s">
        <v>1688</v>
      </c>
      <c r="AA178" s="5">
        <v>8.9999999999999993E-3</v>
      </c>
      <c r="AB178" s="5" t="s">
        <v>109</v>
      </c>
      <c r="AC178" s="5" t="s">
        <v>145</v>
      </c>
    </row>
    <row r="179" spans="1:29" ht="13.9">
      <c r="A179" s="5" t="s">
        <v>52</v>
      </c>
      <c r="B179" s="5" t="s">
        <v>126</v>
      </c>
      <c r="C179" s="5" t="s">
        <v>74</v>
      </c>
      <c r="D179" s="17" t="s">
        <v>164</v>
      </c>
      <c r="E179" s="5" t="s">
        <v>1620</v>
      </c>
      <c r="F179" s="17" t="s">
        <v>165</v>
      </c>
      <c r="G179" s="5" t="s">
        <v>1621</v>
      </c>
      <c r="H179" s="5" t="s">
        <v>133</v>
      </c>
      <c r="I179" s="5" t="s">
        <v>133</v>
      </c>
      <c r="J179" s="5">
        <f>SUM(L179:M179)</f>
        <v>361194</v>
      </c>
      <c r="K179" s="5">
        <v>41</v>
      </c>
      <c r="L179" s="5">
        <v>5423</v>
      </c>
      <c r="M179" s="17">
        <v>355771</v>
      </c>
      <c r="N179" s="110" t="s">
        <v>97</v>
      </c>
      <c r="O179" s="5" t="s">
        <v>98</v>
      </c>
      <c r="P179" s="5" t="s">
        <v>79</v>
      </c>
      <c r="Q179" s="5">
        <v>0.98399999999999999</v>
      </c>
      <c r="R179" s="5" t="s">
        <v>1622</v>
      </c>
      <c r="S179" s="5" t="s">
        <v>1623</v>
      </c>
      <c r="T179" s="5" t="s">
        <v>79</v>
      </c>
      <c r="U179" s="5" t="s">
        <v>79</v>
      </c>
      <c r="V179" s="5">
        <v>0.98499999999999999</v>
      </c>
      <c r="W179" s="5" t="s">
        <v>1624</v>
      </c>
      <c r="X179" s="5">
        <v>8.9999999999999993E-3</v>
      </c>
      <c r="Y179" s="5">
        <v>0.96099999999999997</v>
      </c>
      <c r="Z179" s="5" t="s">
        <v>1625</v>
      </c>
      <c r="AA179" s="5">
        <v>4.0000000000000001E-3</v>
      </c>
      <c r="AB179" s="5" t="s">
        <v>109</v>
      </c>
      <c r="AC179" s="5" t="s">
        <v>145</v>
      </c>
    </row>
    <row r="180" spans="1:29" ht="13.9">
      <c r="A180" s="5" t="s">
        <v>52</v>
      </c>
      <c r="B180" s="5" t="s">
        <v>126</v>
      </c>
      <c r="C180" s="5" t="s">
        <v>74</v>
      </c>
      <c r="D180" s="5" t="s">
        <v>75</v>
      </c>
      <c r="E180" s="5" t="s">
        <v>1626</v>
      </c>
      <c r="F180" s="5" t="s">
        <v>1627</v>
      </c>
      <c r="G180" s="17" t="s">
        <v>1628</v>
      </c>
      <c r="H180" s="5" t="s">
        <v>133</v>
      </c>
      <c r="I180" s="5" t="s">
        <v>218</v>
      </c>
      <c r="J180" s="5">
        <v>177860</v>
      </c>
      <c r="K180" s="5">
        <v>51</v>
      </c>
      <c r="L180" s="5">
        <v>13178</v>
      </c>
      <c r="M180" s="17">
        <v>164682</v>
      </c>
      <c r="N180" s="110" t="s">
        <v>97</v>
      </c>
      <c r="O180" s="5" t="s">
        <v>98</v>
      </c>
      <c r="P180" s="5" t="s">
        <v>79</v>
      </c>
      <c r="Q180" s="5">
        <v>0.59399999999999997</v>
      </c>
      <c r="R180" s="5" t="s">
        <v>1629</v>
      </c>
      <c r="S180" s="5">
        <v>4.3999999999999997E-2</v>
      </c>
      <c r="T180" s="5" t="s">
        <v>79</v>
      </c>
      <c r="U180" s="5" t="s">
        <v>79</v>
      </c>
      <c r="V180" s="5" t="s">
        <v>79</v>
      </c>
      <c r="W180" s="5" t="s">
        <v>79</v>
      </c>
      <c r="X180" s="5" t="s">
        <v>79</v>
      </c>
      <c r="Y180" s="5" t="s">
        <v>79</v>
      </c>
      <c r="Z180" s="5" t="s">
        <v>79</v>
      </c>
      <c r="AA180" s="5" t="s">
        <v>79</v>
      </c>
      <c r="AB180" s="5" t="s">
        <v>109</v>
      </c>
      <c r="AC180" s="5" t="s">
        <v>145</v>
      </c>
    </row>
    <row r="181" spans="1:29" ht="13.9">
      <c r="A181" s="9" t="s">
        <v>52</v>
      </c>
      <c r="B181" s="9" t="s">
        <v>130</v>
      </c>
      <c r="C181" s="9" t="s">
        <v>74</v>
      </c>
      <c r="D181" s="9" t="s">
        <v>298</v>
      </c>
      <c r="E181" s="9" t="s">
        <v>362</v>
      </c>
      <c r="F181" s="9" t="s">
        <v>215</v>
      </c>
      <c r="G181" s="9" t="s">
        <v>79</v>
      </c>
      <c r="H181" s="9" t="s">
        <v>133</v>
      </c>
      <c r="I181" s="9" t="s">
        <v>218</v>
      </c>
      <c r="J181" s="9">
        <v>218792</v>
      </c>
      <c r="K181" s="9">
        <v>22</v>
      </c>
      <c r="L181" s="9">
        <v>19676</v>
      </c>
      <c r="M181" s="9">
        <f>J181-L181</f>
        <v>199116</v>
      </c>
      <c r="N181" s="110" t="s">
        <v>97</v>
      </c>
      <c r="O181" s="9" t="s">
        <v>98</v>
      </c>
      <c r="P181" s="9" t="s">
        <v>79</v>
      </c>
      <c r="Q181" s="9">
        <v>0.46800000000000003</v>
      </c>
      <c r="R181" s="9" t="s">
        <v>1631</v>
      </c>
      <c r="S181" s="9">
        <v>1.2E-2</v>
      </c>
      <c r="T181" s="9" t="s">
        <v>79</v>
      </c>
      <c r="U181" s="9" t="s">
        <v>79</v>
      </c>
      <c r="V181" s="9" t="s">
        <v>79</v>
      </c>
      <c r="W181" s="9" t="s">
        <v>79</v>
      </c>
      <c r="X181" s="9" t="s">
        <v>79</v>
      </c>
      <c r="Y181" s="9" t="s">
        <v>79</v>
      </c>
      <c r="Z181" s="9" t="s">
        <v>79</v>
      </c>
      <c r="AA181" s="9" t="s">
        <v>79</v>
      </c>
      <c r="AB181" s="9" t="s">
        <v>140</v>
      </c>
      <c r="AC181" s="9" t="s">
        <v>145</v>
      </c>
    </row>
    <row r="182" spans="1:29" ht="13.9">
      <c r="A182" s="9" t="s">
        <v>52</v>
      </c>
      <c r="B182" s="9" t="s">
        <v>130</v>
      </c>
      <c r="C182" s="9" t="s">
        <v>74</v>
      </c>
      <c r="D182" s="9" t="s">
        <v>298</v>
      </c>
      <c r="E182" s="9" t="s">
        <v>362</v>
      </c>
      <c r="F182" s="9" t="s">
        <v>215</v>
      </c>
      <c r="G182" s="9" t="s">
        <v>79</v>
      </c>
      <c r="H182" s="9" t="s">
        <v>133</v>
      </c>
      <c r="I182" s="9" t="s">
        <v>133</v>
      </c>
      <c r="J182" s="9">
        <v>462933</v>
      </c>
      <c r="K182" s="9">
        <v>22</v>
      </c>
      <c r="L182" s="9" t="s">
        <v>1634</v>
      </c>
      <c r="M182" s="9"/>
      <c r="N182" s="110" t="s">
        <v>97</v>
      </c>
      <c r="O182" s="9" t="s">
        <v>98</v>
      </c>
      <c r="P182" s="9" t="s">
        <v>79</v>
      </c>
      <c r="Q182" s="9">
        <v>1</v>
      </c>
      <c r="R182" s="9" t="s">
        <v>1637</v>
      </c>
      <c r="S182" s="9"/>
      <c r="T182" s="9" t="s">
        <v>79</v>
      </c>
      <c r="U182" s="9" t="s">
        <v>79</v>
      </c>
      <c r="V182" s="9" t="s">
        <v>79</v>
      </c>
      <c r="W182" s="9" t="s">
        <v>79</v>
      </c>
      <c r="X182" s="9" t="s">
        <v>79</v>
      </c>
      <c r="Y182" s="9" t="s">
        <v>79</v>
      </c>
      <c r="Z182" s="9" t="s">
        <v>79</v>
      </c>
      <c r="AA182" s="9" t="s">
        <v>79</v>
      </c>
      <c r="AB182" s="9" t="s">
        <v>140</v>
      </c>
      <c r="AC182" s="9" t="s">
        <v>145</v>
      </c>
    </row>
    <row r="183" spans="1:29" ht="13.9">
      <c r="A183" s="9" t="s">
        <v>52</v>
      </c>
      <c r="B183" s="9" t="s">
        <v>56</v>
      </c>
      <c r="C183" s="9" t="s">
        <v>74</v>
      </c>
      <c r="D183" s="9" t="s">
        <v>246</v>
      </c>
      <c r="E183" s="9" t="s">
        <v>1272</v>
      </c>
      <c r="F183" s="9" t="s">
        <v>248</v>
      </c>
      <c r="G183" s="132" t="s">
        <v>1276</v>
      </c>
      <c r="H183" s="9" t="s">
        <v>133</v>
      </c>
      <c r="I183" s="9" t="s">
        <v>1282</v>
      </c>
      <c r="J183" s="9">
        <v>56429</v>
      </c>
      <c r="K183" s="9">
        <v>10</v>
      </c>
      <c r="L183" s="9">
        <v>13358</v>
      </c>
      <c r="M183" s="9">
        <v>43071</v>
      </c>
      <c r="N183" s="9" t="s">
        <v>97</v>
      </c>
      <c r="O183" s="9" t="s">
        <v>98</v>
      </c>
      <c r="P183" s="9">
        <v>19.559999999999999</v>
      </c>
      <c r="Q183" s="9">
        <v>20.21</v>
      </c>
      <c r="R183" s="9" t="s">
        <v>1639</v>
      </c>
      <c r="S183" s="9" t="s">
        <v>1640</v>
      </c>
      <c r="T183" s="9">
        <v>4.97</v>
      </c>
      <c r="U183" s="9">
        <v>0.84</v>
      </c>
      <c r="V183" s="9">
        <v>18.489999999999998</v>
      </c>
      <c r="W183" s="9" t="s">
        <v>1641</v>
      </c>
      <c r="X183" s="9" t="s">
        <v>1642</v>
      </c>
      <c r="Y183" s="9">
        <v>703.13</v>
      </c>
      <c r="Z183" s="9" t="s">
        <v>1643</v>
      </c>
      <c r="AA183" s="9">
        <v>0.45</v>
      </c>
      <c r="AB183" s="9" t="s">
        <v>140</v>
      </c>
      <c r="AC183" s="9" t="s">
        <v>385</v>
      </c>
    </row>
    <row r="184" spans="1:29" ht="13.9">
      <c r="A184" s="9" t="s">
        <v>52</v>
      </c>
      <c r="B184" s="9" t="s">
        <v>56</v>
      </c>
      <c r="C184" s="9" t="s">
        <v>74</v>
      </c>
      <c r="D184" s="9" t="s">
        <v>75</v>
      </c>
      <c r="E184" s="9" t="s">
        <v>1272</v>
      </c>
      <c r="F184" s="9" t="s">
        <v>113</v>
      </c>
      <c r="G184" s="132" t="s">
        <v>1276</v>
      </c>
      <c r="H184" s="9" t="s">
        <v>133</v>
      </c>
      <c r="I184" s="9" t="s">
        <v>1282</v>
      </c>
      <c r="J184" s="9">
        <v>56429</v>
      </c>
      <c r="K184" s="9">
        <v>22</v>
      </c>
      <c r="L184" s="9">
        <v>13358</v>
      </c>
      <c r="M184" s="9">
        <v>43071</v>
      </c>
      <c r="N184" s="9" t="s">
        <v>97</v>
      </c>
      <c r="O184" s="9" t="s">
        <v>98</v>
      </c>
      <c r="P184" s="9">
        <v>15.33</v>
      </c>
      <c r="Q184" s="9">
        <v>0.28000000000000003</v>
      </c>
      <c r="R184" s="9" t="s">
        <v>1284</v>
      </c>
      <c r="S184" s="9">
        <v>0.01</v>
      </c>
      <c r="T184" s="9">
        <v>32.15</v>
      </c>
      <c r="U184" s="9">
        <v>0.06</v>
      </c>
      <c r="V184" s="9">
        <v>0.23</v>
      </c>
      <c r="W184" s="9" t="s">
        <v>1288</v>
      </c>
      <c r="X184" s="9">
        <v>0.02</v>
      </c>
      <c r="Y184" s="9">
        <v>0.19</v>
      </c>
      <c r="Z184" s="9" t="s">
        <v>1290</v>
      </c>
      <c r="AA184" s="9">
        <v>0.32</v>
      </c>
      <c r="AB184" s="9" t="s">
        <v>140</v>
      </c>
      <c r="AC184" s="9" t="s">
        <v>385</v>
      </c>
    </row>
    <row r="185" spans="1:29" ht="13.9">
      <c r="A185" s="9" t="s">
        <v>52</v>
      </c>
      <c r="B185" s="9" t="s">
        <v>56</v>
      </c>
      <c r="C185" s="9" t="s">
        <v>74</v>
      </c>
      <c r="D185" s="9" t="s">
        <v>459</v>
      </c>
      <c r="E185" s="9" t="s">
        <v>1272</v>
      </c>
      <c r="F185" s="9" t="s">
        <v>215</v>
      </c>
      <c r="G185" s="132" t="s">
        <v>1276</v>
      </c>
      <c r="H185" s="9" t="s">
        <v>133</v>
      </c>
      <c r="I185" s="9" t="s">
        <v>1282</v>
      </c>
      <c r="J185" s="9">
        <v>56429</v>
      </c>
      <c r="K185" s="9">
        <v>7</v>
      </c>
      <c r="L185" s="9">
        <v>13358</v>
      </c>
      <c r="M185" s="9">
        <v>43071</v>
      </c>
      <c r="N185" s="9" t="s">
        <v>97</v>
      </c>
      <c r="O185" s="9" t="s">
        <v>98</v>
      </c>
      <c r="P185" s="9">
        <v>14.62</v>
      </c>
      <c r="Q185" s="9">
        <v>0.15</v>
      </c>
      <c r="R185" s="9" t="s">
        <v>1644</v>
      </c>
      <c r="S185" s="9">
        <v>0.04</v>
      </c>
      <c r="T185" s="9">
        <v>10.48</v>
      </c>
      <c r="U185" s="9">
        <v>0.11</v>
      </c>
      <c r="V185" s="9">
        <v>0.22</v>
      </c>
      <c r="W185" s="9" t="s">
        <v>1645</v>
      </c>
      <c r="X185" s="9">
        <v>0.14000000000000001</v>
      </c>
      <c r="Y185" s="9">
        <v>0.6</v>
      </c>
      <c r="Z185" s="9" t="s">
        <v>1646</v>
      </c>
      <c r="AA185" s="9">
        <v>0.93</v>
      </c>
      <c r="AB185" s="9" t="s">
        <v>140</v>
      </c>
      <c r="AC185" s="9" t="s">
        <v>385</v>
      </c>
    </row>
    <row r="186" spans="1:29" ht="13.9">
      <c r="A186" s="9" t="s">
        <v>52</v>
      </c>
      <c r="B186" s="9" t="s">
        <v>56</v>
      </c>
      <c r="C186" s="9" t="s">
        <v>74</v>
      </c>
      <c r="D186" s="9" t="s">
        <v>164</v>
      </c>
      <c r="E186" s="9" t="s">
        <v>1272</v>
      </c>
      <c r="F186" s="9" t="s">
        <v>165</v>
      </c>
      <c r="G186" s="132" t="s">
        <v>1276</v>
      </c>
      <c r="H186" s="9" t="s">
        <v>133</v>
      </c>
      <c r="I186" s="9" t="s">
        <v>1282</v>
      </c>
      <c r="J186" s="9">
        <v>56429</v>
      </c>
      <c r="K186" s="9">
        <v>14</v>
      </c>
      <c r="L186" s="9">
        <v>13358</v>
      </c>
      <c r="M186" s="9">
        <v>43071</v>
      </c>
      <c r="N186" s="9" t="s">
        <v>97</v>
      </c>
      <c r="O186" s="9" t="s">
        <v>98</v>
      </c>
      <c r="P186" s="9">
        <v>19.57</v>
      </c>
      <c r="Q186" s="9">
        <v>0.26</v>
      </c>
      <c r="R186" s="9" t="s">
        <v>1647</v>
      </c>
      <c r="S186" s="9">
        <v>4.0000000000000001E-3</v>
      </c>
      <c r="T186" s="9">
        <v>16.329999999999998</v>
      </c>
      <c r="U186" s="9">
        <v>0.23</v>
      </c>
      <c r="V186" s="9">
        <v>0.47</v>
      </c>
      <c r="W186" s="9" t="s">
        <v>1648</v>
      </c>
      <c r="X186" s="9">
        <v>0.2</v>
      </c>
      <c r="Y186" s="9">
        <v>0.15</v>
      </c>
      <c r="Z186" s="9" t="s">
        <v>1649</v>
      </c>
      <c r="AA186" s="9">
        <v>0.67</v>
      </c>
      <c r="AB186" s="9" t="s">
        <v>140</v>
      </c>
      <c r="AC186" s="9" t="s">
        <v>385</v>
      </c>
    </row>
    <row r="187" spans="1:29" ht="13.9">
      <c r="A187" s="5" t="s">
        <v>52</v>
      </c>
      <c r="B187" s="5" t="s">
        <v>135</v>
      </c>
      <c r="C187" s="5" t="s">
        <v>74</v>
      </c>
      <c r="D187" s="5" t="s">
        <v>246</v>
      </c>
      <c r="E187" s="5" t="s">
        <v>1650</v>
      </c>
      <c r="F187" s="5" t="s">
        <v>248</v>
      </c>
      <c r="G187" s="5" t="s">
        <v>1651</v>
      </c>
      <c r="H187" s="5" t="s">
        <v>133</v>
      </c>
      <c r="I187" s="5" t="s">
        <v>218</v>
      </c>
      <c r="J187" s="89">
        <v>193638</v>
      </c>
      <c r="K187" s="5">
        <v>17</v>
      </c>
      <c r="L187" s="5">
        <v>6915</v>
      </c>
      <c r="M187" s="89">
        <v>186723</v>
      </c>
      <c r="N187" s="110" t="s">
        <v>97</v>
      </c>
      <c r="O187" s="5" t="s">
        <v>98</v>
      </c>
      <c r="P187" s="5" t="s">
        <v>79</v>
      </c>
      <c r="Q187" s="5">
        <v>0.91700000000000004</v>
      </c>
      <c r="R187" s="5" t="s">
        <v>1652</v>
      </c>
      <c r="S187" s="5">
        <v>0.85799999999999998</v>
      </c>
      <c r="T187" s="5" t="s">
        <v>79</v>
      </c>
      <c r="U187" s="5">
        <v>0.41799999999999998</v>
      </c>
      <c r="V187" s="5">
        <v>1.4079999999999999</v>
      </c>
      <c r="W187" s="5" t="s">
        <v>1653</v>
      </c>
      <c r="X187" s="5">
        <v>0.59899999999999998</v>
      </c>
      <c r="Y187" s="5">
        <v>6.0000000000000001E-3</v>
      </c>
      <c r="Z187" s="5" t="s">
        <v>1654</v>
      </c>
      <c r="AA187" s="5">
        <v>0.36199999999999999</v>
      </c>
      <c r="AB187" s="5" t="s">
        <v>140</v>
      </c>
      <c r="AC187" s="5" t="s">
        <v>145</v>
      </c>
    </row>
    <row r="188" spans="1:29" ht="13.9">
      <c r="A188" s="5" t="s">
        <v>52</v>
      </c>
      <c r="B188" s="5" t="s">
        <v>135</v>
      </c>
      <c r="C188" s="5" t="s">
        <v>74</v>
      </c>
      <c r="D188" s="5" t="s">
        <v>246</v>
      </c>
      <c r="E188" s="5" t="s">
        <v>1655</v>
      </c>
      <c r="F188" s="5" t="s">
        <v>248</v>
      </c>
      <c r="G188" s="5" t="s">
        <v>1656</v>
      </c>
      <c r="H188" s="5" t="s">
        <v>133</v>
      </c>
      <c r="I188" s="5" t="s">
        <v>218</v>
      </c>
      <c r="J188" s="89">
        <v>198014</v>
      </c>
      <c r="K188" s="5">
        <v>17</v>
      </c>
      <c r="L188" s="5">
        <v>1028</v>
      </c>
      <c r="M188" s="89">
        <v>196986</v>
      </c>
      <c r="N188" s="110" t="s">
        <v>97</v>
      </c>
      <c r="O188" s="5" t="s">
        <v>98</v>
      </c>
      <c r="P188" s="5" t="s">
        <v>79</v>
      </c>
      <c r="Q188" s="5">
        <v>2.246</v>
      </c>
      <c r="R188" s="5" t="s">
        <v>1657</v>
      </c>
      <c r="S188" s="5">
        <v>0.57099999999999995</v>
      </c>
      <c r="T188" s="5" t="s">
        <v>79</v>
      </c>
      <c r="U188" s="5">
        <v>9.4E-2</v>
      </c>
      <c r="V188" s="5">
        <v>7.4169999999999998</v>
      </c>
      <c r="W188" s="5" t="s">
        <v>1658</v>
      </c>
      <c r="X188" s="5">
        <v>0.26100000000000001</v>
      </c>
      <c r="Y188" s="5">
        <v>1.9E-2</v>
      </c>
      <c r="Z188" s="5" t="s">
        <v>1659</v>
      </c>
      <c r="AA188" s="5">
        <v>16.158000000000001</v>
      </c>
      <c r="AB188" s="5" t="s">
        <v>140</v>
      </c>
      <c r="AC188" s="5" t="s">
        <v>145</v>
      </c>
    </row>
    <row r="189" spans="1:29" ht="13.9">
      <c r="A189" s="66" t="s">
        <v>52</v>
      </c>
      <c r="B189" s="66" t="s">
        <v>135</v>
      </c>
      <c r="C189" s="66" t="s">
        <v>74</v>
      </c>
      <c r="D189" s="66" t="s">
        <v>246</v>
      </c>
      <c r="E189" s="66" t="s">
        <v>170</v>
      </c>
      <c r="F189" s="66" t="s">
        <v>248</v>
      </c>
      <c r="G189" s="66" t="s">
        <v>628</v>
      </c>
      <c r="H189" s="66" t="s">
        <v>133</v>
      </c>
      <c r="I189" s="66" t="s">
        <v>218</v>
      </c>
      <c r="J189" s="134">
        <v>156078</v>
      </c>
      <c r="K189" s="66">
        <v>17</v>
      </c>
      <c r="L189" s="134">
        <v>20629</v>
      </c>
      <c r="M189" s="134">
        <v>135449</v>
      </c>
      <c r="N189" s="66" t="s">
        <v>97</v>
      </c>
      <c r="O189" s="66" t="s">
        <v>98</v>
      </c>
      <c r="P189" s="66" t="s">
        <v>79</v>
      </c>
      <c r="Q189" s="135">
        <v>1.23</v>
      </c>
      <c r="R189" s="66" t="s">
        <v>1660</v>
      </c>
      <c r="S189" s="66">
        <v>0.60699999999999998</v>
      </c>
      <c r="T189" s="66" t="s">
        <v>79</v>
      </c>
      <c r="U189" s="66">
        <v>2.1999999999999999E-2</v>
      </c>
      <c r="V189" s="66">
        <v>0.98599999999999999</v>
      </c>
      <c r="W189" s="66" t="s">
        <v>1661</v>
      </c>
      <c r="X189" s="66">
        <v>0.97599999999999998</v>
      </c>
      <c r="Y189" s="66">
        <v>4.7359999999999998</v>
      </c>
      <c r="Z189" s="66" t="s">
        <v>1662</v>
      </c>
      <c r="AA189" s="66">
        <v>0.73699999999999999</v>
      </c>
      <c r="AB189" s="66" t="s">
        <v>140</v>
      </c>
      <c r="AC189" s="66" t="s">
        <v>145</v>
      </c>
    </row>
    <row r="190" spans="1:29" ht="13.9">
      <c r="A190" s="5" t="s">
        <v>52</v>
      </c>
      <c r="B190" s="5" t="s">
        <v>135</v>
      </c>
      <c r="C190" s="5" t="s">
        <v>74</v>
      </c>
      <c r="D190" s="5" t="s">
        <v>246</v>
      </c>
      <c r="E190" s="5" t="s">
        <v>1663</v>
      </c>
      <c r="F190" s="5" t="s">
        <v>248</v>
      </c>
      <c r="G190" s="5" t="s">
        <v>1664</v>
      </c>
      <c r="H190" s="5" t="s">
        <v>133</v>
      </c>
      <c r="I190" s="5" t="s">
        <v>218</v>
      </c>
      <c r="J190" s="89">
        <v>217995</v>
      </c>
      <c r="K190" s="5">
        <v>17</v>
      </c>
      <c r="L190" s="89">
        <v>16761</v>
      </c>
      <c r="M190" s="5" t="s">
        <v>1665</v>
      </c>
      <c r="N190" s="110" t="s">
        <v>97</v>
      </c>
      <c r="O190" s="5" t="s">
        <v>98</v>
      </c>
      <c r="P190" s="5" t="s">
        <v>79</v>
      </c>
      <c r="Q190" s="5">
        <v>3.0720000000000001</v>
      </c>
      <c r="R190" s="5" t="s">
        <v>1668</v>
      </c>
      <c r="S190" s="5">
        <v>0.128</v>
      </c>
      <c r="T190" s="5" t="s">
        <v>79</v>
      </c>
      <c r="U190" s="5">
        <v>1E-3</v>
      </c>
      <c r="V190" s="5" t="s">
        <v>79</v>
      </c>
      <c r="W190" s="5" t="s">
        <v>1669</v>
      </c>
      <c r="X190" s="5">
        <v>0.505</v>
      </c>
      <c r="Y190" s="5" t="s">
        <v>79</v>
      </c>
      <c r="Z190" s="5" t="s">
        <v>1670</v>
      </c>
      <c r="AA190" s="5">
        <v>0.95299999999999996</v>
      </c>
      <c r="AB190" s="5" t="s">
        <v>140</v>
      </c>
      <c r="AC190" s="5" t="s">
        <v>145</v>
      </c>
    </row>
    <row r="191" spans="1:29" ht="13.9">
      <c r="A191" s="5" t="s">
        <v>52</v>
      </c>
      <c r="B191" s="5" t="s">
        <v>135</v>
      </c>
      <c r="C191" s="5" t="s">
        <v>74</v>
      </c>
      <c r="D191" s="5" t="s">
        <v>1671</v>
      </c>
      <c r="E191" s="5" t="s">
        <v>1650</v>
      </c>
      <c r="F191" s="5" t="s">
        <v>215</v>
      </c>
      <c r="G191" s="5" t="s">
        <v>1651</v>
      </c>
      <c r="H191" s="5" t="s">
        <v>133</v>
      </c>
      <c r="I191" s="5" t="s">
        <v>218</v>
      </c>
      <c r="J191" s="89">
        <v>193638</v>
      </c>
      <c r="K191" s="5">
        <v>19</v>
      </c>
      <c r="L191" s="5">
        <v>6915</v>
      </c>
      <c r="M191" s="89">
        <v>186723</v>
      </c>
      <c r="N191" s="110" t="s">
        <v>97</v>
      </c>
      <c r="O191" s="5" t="s">
        <v>98</v>
      </c>
      <c r="P191" s="5" t="s">
        <v>79</v>
      </c>
      <c r="Q191" s="5">
        <v>0.52400000000000002</v>
      </c>
      <c r="R191" s="5" t="s">
        <v>1672</v>
      </c>
      <c r="S191" s="5">
        <v>0.41799999999999998</v>
      </c>
      <c r="T191" s="5" t="s">
        <v>79</v>
      </c>
      <c r="U191" s="5">
        <v>1E-3</v>
      </c>
      <c r="V191" s="5">
        <v>0.33500000000000002</v>
      </c>
      <c r="W191" s="5" t="s">
        <v>1673</v>
      </c>
      <c r="X191" s="5">
        <v>0.19600000000000001</v>
      </c>
      <c r="Y191" s="5">
        <v>17.597999999999999</v>
      </c>
      <c r="Z191" s="5" t="s">
        <v>1674</v>
      </c>
      <c r="AA191" s="5">
        <v>0.46200000000000002</v>
      </c>
      <c r="AB191" s="5" t="s">
        <v>140</v>
      </c>
      <c r="AC191" s="5" t="s">
        <v>145</v>
      </c>
    </row>
    <row r="192" spans="1:29" ht="13.9">
      <c r="A192" s="5" t="s">
        <v>52</v>
      </c>
      <c r="B192" s="5" t="s">
        <v>135</v>
      </c>
      <c r="C192" s="5" t="s">
        <v>74</v>
      </c>
      <c r="D192" s="5" t="s">
        <v>1671</v>
      </c>
      <c r="E192" s="5" t="s">
        <v>1655</v>
      </c>
      <c r="F192" s="5" t="s">
        <v>215</v>
      </c>
      <c r="G192" s="5" t="s">
        <v>1656</v>
      </c>
      <c r="H192" s="5" t="s">
        <v>133</v>
      </c>
      <c r="I192" s="5" t="s">
        <v>218</v>
      </c>
      <c r="J192" s="89">
        <v>198014</v>
      </c>
      <c r="K192" s="5">
        <v>19</v>
      </c>
      <c r="L192" s="5">
        <v>1028</v>
      </c>
      <c r="M192" s="89">
        <v>196986</v>
      </c>
      <c r="N192" s="110" t="s">
        <v>97</v>
      </c>
      <c r="O192" s="5" t="s">
        <v>98</v>
      </c>
      <c r="P192" s="5" t="s">
        <v>79</v>
      </c>
      <c r="Q192" s="107">
        <v>1.28</v>
      </c>
      <c r="R192" s="5" t="s">
        <v>1677</v>
      </c>
      <c r="S192" s="5">
        <v>0.84899999999999998</v>
      </c>
      <c r="T192" s="5" t="s">
        <v>79</v>
      </c>
      <c r="U192" s="5">
        <v>4.2999999999999997E-2</v>
      </c>
      <c r="V192" s="5">
        <v>0.45700000000000002</v>
      </c>
      <c r="W192" s="5" t="s">
        <v>1678</v>
      </c>
      <c r="X192" s="107">
        <v>0.68</v>
      </c>
      <c r="Y192" s="100">
        <v>3.8599999999999999E-7</v>
      </c>
      <c r="Z192" s="5" t="s">
        <v>1679</v>
      </c>
      <c r="AA192" s="5">
        <v>2.8000000000000001E-2</v>
      </c>
      <c r="AB192" s="5" t="s">
        <v>140</v>
      </c>
      <c r="AC192" s="5" t="s">
        <v>145</v>
      </c>
    </row>
    <row r="193" spans="1:29" ht="13.9">
      <c r="A193" s="66" t="s">
        <v>52</v>
      </c>
      <c r="B193" s="66" t="s">
        <v>135</v>
      </c>
      <c r="C193" s="66" t="s">
        <v>74</v>
      </c>
      <c r="D193" s="66" t="s">
        <v>1671</v>
      </c>
      <c r="E193" s="66" t="s">
        <v>170</v>
      </c>
      <c r="F193" s="66" t="s">
        <v>215</v>
      </c>
      <c r="G193" s="66" t="s">
        <v>628</v>
      </c>
      <c r="H193" s="66" t="s">
        <v>133</v>
      </c>
      <c r="I193" s="66" t="s">
        <v>218</v>
      </c>
      <c r="J193" s="134">
        <v>156078</v>
      </c>
      <c r="K193" s="66">
        <v>19</v>
      </c>
      <c r="L193" s="134">
        <v>20629</v>
      </c>
      <c r="M193" s="134">
        <v>135449</v>
      </c>
      <c r="N193" s="66" t="s">
        <v>97</v>
      </c>
      <c r="O193" s="66" t="s">
        <v>98</v>
      </c>
      <c r="P193" s="66" t="s">
        <v>79</v>
      </c>
      <c r="Q193" s="66">
        <v>0.80100000000000005</v>
      </c>
      <c r="R193" s="66" t="s">
        <v>630</v>
      </c>
      <c r="S193" s="135">
        <v>0.69</v>
      </c>
      <c r="T193" s="66" t="s">
        <v>79</v>
      </c>
      <c r="U193" s="66">
        <v>1E-3</v>
      </c>
      <c r="V193" s="66">
        <v>2.2629999999999999</v>
      </c>
      <c r="W193" s="66" t="s">
        <v>631</v>
      </c>
      <c r="X193" s="66">
        <v>0.13600000000000001</v>
      </c>
      <c r="Y193" s="66">
        <v>16.837</v>
      </c>
      <c r="Z193" s="66" t="s">
        <v>633</v>
      </c>
      <c r="AA193" s="135">
        <v>0.22539999999999999</v>
      </c>
      <c r="AB193" s="66" t="s">
        <v>140</v>
      </c>
      <c r="AC193" s="66" t="s">
        <v>145</v>
      </c>
    </row>
    <row r="194" spans="1:29" ht="13.9">
      <c r="A194" s="5" t="s">
        <v>52</v>
      </c>
      <c r="B194" s="5" t="s">
        <v>135</v>
      </c>
      <c r="C194" s="5" t="s">
        <v>74</v>
      </c>
      <c r="D194" s="5" t="s">
        <v>1671</v>
      </c>
      <c r="E194" s="5" t="s">
        <v>1663</v>
      </c>
      <c r="F194" s="5" t="s">
        <v>215</v>
      </c>
      <c r="G194" s="5" t="s">
        <v>1664</v>
      </c>
      <c r="H194" s="5" t="s">
        <v>133</v>
      </c>
      <c r="I194" s="5" t="s">
        <v>218</v>
      </c>
      <c r="J194" s="89">
        <v>217995</v>
      </c>
      <c r="K194" s="5">
        <v>19</v>
      </c>
      <c r="L194" s="89">
        <v>16761</v>
      </c>
      <c r="M194" s="5" t="s">
        <v>1665</v>
      </c>
      <c r="N194" s="110" t="s">
        <v>97</v>
      </c>
      <c r="O194" s="5" t="s">
        <v>98</v>
      </c>
      <c r="P194" s="5" t="s">
        <v>79</v>
      </c>
      <c r="Q194" s="5">
        <v>0.61899999999999999</v>
      </c>
      <c r="R194" s="5" t="s">
        <v>1690</v>
      </c>
      <c r="S194" s="5">
        <v>0.26200000000000001</v>
      </c>
      <c r="T194" s="5" t="s">
        <v>79</v>
      </c>
      <c r="U194" s="5">
        <v>0.08</v>
      </c>
      <c r="V194" s="5">
        <v>0.50700000000000001</v>
      </c>
      <c r="W194" s="5" t="s">
        <v>1691</v>
      </c>
      <c r="X194" s="5">
        <v>0.19900000000000001</v>
      </c>
      <c r="Y194" s="5">
        <v>3.0230000000000001</v>
      </c>
      <c r="Z194" s="5" t="s">
        <v>1692</v>
      </c>
      <c r="AA194" s="5">
        <v>0.59799999999999998</v>
      </c>
      <c r="AB194" s="5" t="s">
        <v>140</v>
      </c>
      <c r="AC194" s="5" t="s">
        <v>145</v>
      </c>
    </row>
    <row r="195" spans="1:29" ht="13.9">
      <c r="A195" s="66" t="s">
        <v>52</v>
      </c>
      <c r="B195" s="66" t="s">
        <v>135</v>
      </c>
      <c r="C195" s="66" t="s">
        <v>74</v>
      </c>
      <c r="D195" s="66" t="s">
        <v>164</v>
      </c>
      <c r="E195" s="66" t="s">
        <v>1650</v>
      </c>
      <c r="F195" s="66" t="s">
        <v>165</v>
      </c>
      <c r="G195" s="66" t="s">
        <v>1651</v>
      </c>
      <c r="H195" s="66" t="s">
        <v>133</v>
      </c>
      <c r="I195" s="66" t="s">
        <v>218</v>
      </c>
      <c r="J195" s="134">
        <v>193638</v>
      </c>
      <c r="K195" s="66">
        <v>41</v>
      </c>
      <c r="L195" s="66">
        <v>6915</v>
      </c>
      <c r="M195" s="134">
        <v>186723</v>
      </c>
      <c r="N195" s="66" t="s">
        <v>97</v>
      </c>
      <c r="O195" s="66" t="s">
        <v>98</v>
      </c>
      <c r="P195" s="66" t="s">
        <v>79</v>
      </c>
      <c r="Q195" s="66">
        <v>0.21099999999999999</v>
      </c>
      <c r="R195" s="66" t="s">
        <v>1759</v>
      </c>
      <c r="S195" s="66">
        <v>1.776E-7</v>
      </c>
      <c r="T195" s="66" t="s">
        <v>79</v>
      </c>
      <c r="U195" s="66">
        <v>0.115</v>
      </c>
      <c r="V195" s="66">
        <v>0.19600000000000001</v>
      </c>
      <c r="W195" s="66" t="s">
        <v>1760</v>
      </c>
      <c r="X195" s="136">
        <v>7.3649999999999998E-6</v>
      </c>
      <c r="Y195" s="66">
        <v>0.34399999999999997</v>
      </c>
      <c r="Z195" s="66" t="s">
        <v>1761</v>
      </c>
      <c r="AA195" s="136">
        <v>0.4355</v>
      </c>
      <c r="AB195" s="66" t="s">
        <v>140</v>
      </c>
      <c r="AC195" s="66" t="s">
        <v>145</v>
      </c>
    </row>
    <row r="196" spans="1:29" ht="13.9">
      <c r="A196" s="5" t="s">
        <v>52</v>
      </c>
      <c r="B196" s="5" t="s">
        <v>135</v>
      </c>
      <c r="C196" s="5" t="s">
        <v>74</v>
      </c>
      <c r="D196" s="5" t="s">
        <v>164</v>
      </c>
      <c r="E196" s="5" t="s">
        <v>1655</v>
      </c>
      <c r="F196" s="5" t="s">
        <v>165</v>
      </c>
      <c r="G196" s="5" t="s">
        <v>1656</v>
      </c>
      <c r="H196" s="5" t="s">
        <v>133</v>
      </c>
      <c r="I196" s="5" t="s">
        <v>218</v>
      </c>
      <c r="J196" s="89">
        <v>198014</v>
      </c>
      <c r="K196" s="5">
        <v>41</v>
      </c>
      <c r="L196" s="5">
        <v>1028</v>
      </c>
      <c r="M196" s="89">
        <v>196986</v>
      </c>
      <c r="N196" s="110" t="s">
        <v>97</v>
      </c>
      <c r="O196" s="5" t="s">
        <v>98</v>
      </c>
      <c r="P196" s="5" t="s">
        <v>79</v>
      </c>
      <c r="Q196" s="5">
        <v>1.359</v>
      </c>
      <c r="R196" s="5" t="s">
        <v>1699</v>
      </c>
      <c r="S196" s="5">
        <v>0.66700000000000004</v>
      </c>
      <c r="T196" s="5" t="s">
        <v>79</v>
      </c>
      <c r="U196" s="5">
        <v>0.16700000000000001</v>
      </c>
      <c r="V196" s="5">
        <v>1.1539999999999999</v>
      </c>
      <c r="W196" s="5" t="s">
        <v>1700</v>
      </c>
      <c r="X196" s="5">
        <v>0.879</v>
      </c>
      <c r="Y196" s="5" t="s">
        <v>79</v>
      </c>
      <c r="Z196" s="5" t="s">
        <v>1701</v>
      </c>
      <c r="AA196" s="5">
        <v>0.11600000000000001</v>
      </c>
      <c r="AB196" s="5" t="s">
        <v>140</v>
      </c>
      <c r="AC196" s="5" t="s">
        <v>145</v>
      </c>
    </row>
    <row r="197" spans="1:29" ht="13.9">
      <c r="A197" s="66" t="s">
        <v>52</v>
      </c>
      <c r="B197" s="66" t="s">
        <v>135</v>
      </c>
      <c r="C197" s="66" t="s">
        <v>74</v>
      </c>
      <c r="D197" s="66" t="s">
        <v>164</v>
      </c>
      <c r="E197" s="66" t="s">
        <v>170</v>
      </c>
      <c r="F197" s="66" t="s">
        <v>165</v>
      </c>
      <c r="G197" s="66" t="s">
        <v>628</v>
      </c>
      <c r="H197" s="66" t="s">
        <v>133</v>
      </c>
      <c r="I197" s="66" t="s">
        <v>218</v>
      </c>
      <c r="J197" s="134">
        <v>156078</v>
      </c>
      <c r="K197" s="66">
        <v>41</v>
      </c>
      <c r="L197" s="134">
        <v>20629</v>
      </c>
      <c r="M197" s="134">
        <v>135449</v>
      </c>
      <c r="N197" s="66" t="s">
        <v>97</v>
      </c>
      <c r="O197" s="66" t="s">
        <v>98</v>
      </c>
      <c r="P197" s="66" t="s">
        <v>79</v>
      </c>
      <c r="Q197" s="66">
        <v>0.53900000000000003</v>
      </c>
      <c r="R197" s="66" t="s">
        <v>1733</v>
      </c>
      <c r="S197" s="66">
        <v>3.0000000000000001E-3</v>
      </c>
      <c r="T197" s="66" t="s">
        <v>79</v>
      </c>
      <c r="U197" s="66">
        <v>8.0000000000000002E-3</v>
      </c>
      <c r="V197" s="66">
        <v>0.48899999999999999</v>
      </c>
      <c r="W197" s="66" t="s">
        <v>1734</v>
      </c>
      <c r="X197" s="66">
        <v>4.0000000000000001E-3</v>
      </c>
      <c r="Y197" s="66">
        <v>0.193</v>
      </c>
      <c r="Z197" s="66" t="s">
        <v>1735</v>
      </c>
      <c r="AA197" s="66">
        <v>8.8999999999999996E-2</v>
      </c>
      <c r="AB197" s="66" t="s">
        <v>140</v>
      </c>
      <c r="AC197" s="66" t="s">
        <v>145</v>
      </c>
    </row>
    <row r="198" spans="1:29" ht="13.9">
      <c r="A198" s="5" t="s">
        <v>52</v>
      </c>
      <c r="B198" s="5" t="s">
        <v>135</v>
      </c>
      <c r="C198" s="5" t="s">
        <v>74</v>
      </c>
      <c r="D198" s="5" t="s">
        <v>164</v>
      </c>
      <c r="E198" s="5" t="s">
        <v>1663</v>
      </c>
      <c r="F198" s="5" t="s">
        <v>165</v>
      </c>
      <c r="G198" s="5" t="s">
        <v>1664</v>
      </c>
      <c r="H198" s="5" t="s">
        <v>133</v>
      </c>
      <c r="I198" s="5" t="s">
        <v>218</v>
      </c>
      <c r="J198" s="89">
        <v>217995</v>
      </c>
      <c r="K198" s="5">
        <v>41</v>
      </c>
      <c r="L198" s="89">
        <v>16761</v>
      </c>
      <c r="M198" s="5" t="s">
        <v>1665</v>
      </c>
      <c r="N198" s="110" t="s">
        <v>97</v>
      </c>
      <c r="O198" s="5" t="s">
        <v>98</v>
      </c>
      <c r="P198" s="5" t="s">
        <v>79</v>
      </c>
      <c r="Q198" s="5">
        <v>0.64100000000000001</v>
      </c>
      <c r="R198" s="5" t="s">
        <v>1706</v>
      </c>
      <c r="S198" s="5">
        <v>0.05</v>
      </c>
      <c r="T198" s="5" t="s">
        <v>79</v>
      </c>
      <c r="U198" s="5">
        <v>5.0000000000000001E-3</v>
      </c>
      <c r="V198" s="5">
        <v>0.63400000000000001</v>
      </c>
      <c r="W198" s="5" t="s">
        <v>1707</v>
      </c>
      <c r="X198" s="5">
        <v>9.7000000000000003E-2</v>
      </c>
      <c r="Y198" s="5">
        <v>9.1999999999999998E-2</v>
      </c>
      <c r="Z198" s="5" t="s">
        <v>1708</v>
      </c>
      <c r="AA198" s="107">
        <v>0.02</v>
      </c>
      <c r="AB198" s="5" t="s">
        <v>140</v>
      </c>
      <c r="AC198" s="5" t="s">
        <v>145</v>
      </c>
    </row>
    <row r="199" spans="1:29" ht="13.9">
      <c r="A199" s="66" t="s">
        <v>52</v>
      </c>
      <c r="B199" s="66" t="s">
        <v>135</v>
      </c>
      <c r="C199" s="66" t="s">
        <v>74</v>
      </c>
      <c r="D199" s="66" t="s">
        <v>75</v>
      </c>
      <c r="E199" s="66" t="s">
        <v>1650</v>
      </c>
      <c r="F199" s="66" t="s">
        <v>113</v>
      </c>
      <c r="G199" s="66" t="s">
        <v>1651</v>
      </c>
      <c r="H199" s="66" t="s">
        <v>133</v>
      </c>
      <c r="I199" s="66" t="s">
        <v>218</v>
      </c>
      <c r="J199" s="134">
        <v>193638</v>
      </c>
      <c r="K199" s="66">
        <v>53</v>
      </c>
      <c r="L199" s="66">
        <v>6915</v>
      </c>
      <c r="M199" s="134">
        <v>186723</v>
      </c>
      <c r="N199" s="66" t="s">
        <v>97</v>
      </c>
      <c r="O199" s="66" t="s">
        <v>98</v>
      </c>
      <c r="P199" s="66" t="s">
        <v>79</v>
      </c>
      <c r="Q199" s="66">
        <v>0.48399999999999999</v>
      </c>
      <c r="R199" s="66" t="s">
        <v>1709</v>
      </c>
      <c r="S199" s="66">
        <v>0.10299999999999999</v>
      </c>
      <c r="T199" s="66" t="s">
        <v>79</v>
      </c>
      <c r="U199" s="136">
        <v>1.9150000000000001E-5</v>
      </c>
      <c r="V199" s="66">
        <v>0.58599999999999997</v>
      </c>
      <c r="W199" s="66" t="s">
        <v>1710</v>
      </c>
      <c r="X199" s="66">
        <v>0.27800000000000002</v>
      </c>
      <c r="Y199" s="66">
        <v>0.97199999999999998</v>
      </c>
      <c r="Z199" s="66" t="s">
        <v>1711</v>
      </c>
      <c r="AA199" s="66">
        <v>0.98499999999999999</v>
      </c>
      <c r="AB199" s="66" t="s">
        <v>140</v>
      </c>
      <c r="AC199" s="66" t="s">
        <v>145</v>
      </c>
    </row>
    <row r="200" spans="1:29" ht="13.9">
      <c r="A200" s="5" t="s">
        <v>52</v>
      </c>
      <c r="B200" s="5" t="s">
        <v>135</v>
      </c>
      <c r="C200" s="5" t="s">
        <v>74</v>
      </c>
      <c r="D200" s="5" t="s">
        <v>75</v>
      </c>
      <c r="E200" s="5" t="s">
        <v>1655</v>
      </c>
      <c r="F200" s="5" t="s">
        <v>113</v>
      </c>
      <c r="G200" s="5" t="s">
        <v>1656</v>
      </c>
      <c r="H200" s="5" t="s">
        <v>133</v>
      </c>
      <c r="I200" s="5" t="s">
        <v>218</v>
      </c>
      <c r="J200" s="89">
        <v>198014</v>
      </c>
      <c r="K200" s="5">
        <v>53</v>
      </c>
      <c r="L200" s="5">
        <v>1028</v>
      </c>
      <c r="M200" s="89">
        <v>196986</v>
      </c>
      <c r="N200" s="110" t="s">
        <v>97</v>
      </c>
      <c r="O200" s="5" t="s">
        <v>98</v>
      </c>
      <c r="P200" s="5" t="s">
        <v>79</v>
      </c>
      <c r="Q200" s="5">
        <v>1.7729999999999999</v>
      </c>
      <c r="R200" s="5" t="s">
        <v>1712</v>
      </c>
      <c r="S200" s="5">
        <v>0.45500000000000002</v>
      </c>
      <c r="T200" s="5" t="s">
        <v>79</v>
      </c>
      <c r="U200" s="5">
        <v>0.66800000000000004</v>
      </c>
      <c r="V200" s="5">
        <v>6.2309999999999999</v>
      </c>
      <c r="W200" s="5" t="s">
        <v>1713</v>
      </c>
      <c r="X200" s="5">
        <v>0.113</v>
      </c>
      <c r="Y200" s="5">
        <v>3.0649999999999999</v>
      </c>
      <c r="Z200" s="5" t="s">
        <v>1714</v>
      </c>
      <c r="AA200" s="5">
        <v>0.67100000000000004</v>
      </c>
      <c r="AB200" s="5" t="s">
        <v>140</v>
      </c>
      <c r="AC200" s="5" t="s">
        <v>145</v>
      </c>
    </row>
    <row r="201" spans="1:29" ht="13.9">
      <c r="A201" s="66" t="s">
        <v>52</v>
      </c>
      <c r="B201" s="66" t="s">
        <v>135</v>
      </c>
      <c r="C201" s="66" t="s">
        <v>74</v>
      </c>
      <c r="D201" s="66" t="s">
        <v>75</v>
      </c>
      <c r="E201" s="66" t="s">
        <v>170</v>
      </c>
      <c r="F201" s="66" t="s">
        <v>113</v>
      </c>
      <c r="G201" s="66" t="s">
        <v>628</v>
      </c>
      <c r="H201" s="66" t="s">
        <v>133</v>
      </c>
      <c r="I201" s="66" t="s">
        <v>218</v>
      </c>
      <c r="J201" s="134">
        <v>156078</v>
      </c>
      <c r="K201" s="66">
        <v>53</v>
      </c>
      <c r="L201" s="134">
        <v>20629</v>
      </c>
      <c r="M201" s="134">
        <v>135449</v>
      </c>
      <c r="N201" s="66" t="s">
        <v>97</v>
      </c>
      <c r="O201" s="66" t="s">
        <v>98</v>
      </c>
      <c r="P201" s="66" t="s">
        <v>79</v>
      </c>
      <c r="Q201" s="66">
        <v>0.496</v>
      </c>
      <c r="R201" s="66" t="s">
        <v>1073</v>
      </c>
      <c r="S201" s="66">
        <v>0.21299999999999999</v>
      </c>
      <c r="T201" s="66" t="s">
        <v>79</v>
      </c>
      <c r="U201" s="66">
        <v>0.155</v>
      </c>
      <c r="V201" s="66">
        <v>0.46300000000000002</v>
      </c>
      <c r="W201" s="66" t="s">
        <v>1074</v>
      </c>
      <c r="X201" s="66">
        <v>1.4999999999999999E-2</v>
      </c>
      <c r="Y201" s="66">
        <v>0.93700000000000006</v>
      </c>
      <c r="Z201" s="66" t="s">
        <v>1075</v>
      </c>
      <c r="AA201" s="135">
        <v>0.93</v>
      </c>
      <c r="AB201" s="66" t="s">
        <v>140</v>
      </c>
      <c r="AC201" s="66" t="s">
        <v>145</v>
      </c>
    </row>
    <row r="202" spans="1:29" ht="13.9">
      <c r="A202" s="5" t="s">
        <v>52</v>
      </c>
      <c r="B202" s="5" t="s">
        <v>135</v>
      </c>
      <c r="C202" s="5" t="s">
        <v>74</v>
      </c>
      <c r="D202" s="5" t="s">
        <v>75</v>
      </c>
      <c r="E202" s="5" t="s">
        <v>1663</v>
      </c>
      <c r="F202" s="5" t="s">
        <v>113</v>
      </c>
      <c r="G202" s="5" t="s">
        <v>1664</v>
      </c>
      <c r="H202" s="5" t="s">
        <v>133</v>
      </c>
      <c r="I202" s="5" t="s">
        <v>218</v>
      </c>
      <c r="J202" s="89">
        <v>217995</v>
      </c>
      <c r="K202" s="5">
        <v>53</v>
      </c>
      <c r="L202" s="89">
        <v>16761</v>
      </c>
      <c r="M202" s="5" t="s">
        <v>1665</v>
      </c>
      <c r="N202" s="110" t="s">
        <v>97</v>
      </c>
      <c r="O202" s="5" t="s">
        <v>98</v>
      </c>
      <c r="P202" s="5" t="s">
        <v>79</v>
      </c>
      <c r="Q202" s="5">
        <v>1.1359999999999999</v>
      </c>
      <c r="R202" s="5" t="s">
        <v>1715</v>
      </c>
      <c r="S202" s="5">
        <v>0.68600000000000005</v>
      </c>
      <c r="T202" s="5" t="s">
        <v>79</v>
      </c>
      <c r="U202" s="5">
        <v>1E-3</v>
      </c>
      <c r="V202" s="5">
        <v>1.1830000000000001</v>
      </c>
      <c r="W202" s="5" t="s">
        <v>1716</v>
      </c>
      <c r="X202" s="5">
        <v>0.621</v>
      </c>
      <c r="Y202" s="5">
        <v>1.7350000000000001</v>
      </c>
      <c r="Z202" s="5" t="s">
        <v>1717</v>
      </c>
      <c r="AA202" s="5">
        <v>0.61499999999999999</v>
      </c>
      <c r="AB202" s="5" t="s">
        <v>140</v>
      </c>
      <c r="AC202" s="5" t="s">
        <v>145</v>
      </c>
    </row>
    <row r="203" spans="1:29" ht="13.9">
      <c r="A203" s="66" t="s">
        <v>52</v>
      </c>
      <c r="B203" s="66" t="s">
        <v>139</v>
      </c>
      <c r="C203" s="66" t="s">
        <v>74</v>
      </c>
      <c r="D203" s="66" t="s">
        <v>246</v>
      </c>
      <c r="E203" s="66" t="s">
        <v>411</v>
      </c>
      <c r="F203" s="66" t="s">
        <v>248</v>
      </c>
      <c r="G203" s="66" t="s">
        <v>1681</v>
      </c>
      <c r="H203" s="66" t="s">
        <v>133</v>
      </c>
      <c r="I203" s="66" t="s">
        <v>218</v>
      </c>
      <c r="J203" s="134">
        <v>218754</v>
      </c>
      <c r="K203" s="137">
        <v>17</v>
      </c>
      <c r="L203" s="134">
        <v>55917</v>
      </c>
      <c r="M203" s="134">
        <v>162837</v>
      </c>
      <c r="N203" s="66" t="s">
        <v>97</v>
      </c>
      <c r="O203" s="66" t="s">
        <v>98</v>
      </c>
      <c r="P203" s="66">
        <v>20.678999999999998</v>
      </c>
      <c r="Q203" s="135">
        <v>1.48</v>
      </c>
      <c r="R203" s="66" t="s">
        <v>1722</v>
      </c>
      <c r="S203" s="66">
        <v>0.38100000000000001</v>
      </c>
      <c r="T203" s="66">
        <v>58.323999999999998</v>
      </c>
      <c r="U203" s="66" t="s">
        <v>1723</v>
      </c>
      <c r="V203" s="66">
        <v>1.3720000000000001</v>
      </c>
      <c r="W203" s="66" t="s">
        <v>1724</v>
      </c>
      <c r="X203" s="66">
        <v>0.35399999999999998</v>
      </c>
      <c r="Y203" s="66">
        <v>2.1589999999999998</v>
      </c>
      <c r="Z203" s="66" t="s">
        <v>1725</v>
      </c>
      <c r="AA203" s="66">
        <v>0.88100000000000001</v>
      </c>
      <c r="AB203" s="66" t="s">
        <v>140</v>
      </c>
      <c r="AC203" s="66" t="s">
        <v>1689</v>
      </c>
    </row>
    <row r="204" spans="1:29" ht="13.9">
      <c r="A204" s="66" t="s">
        <v>52</v>
      </c>
      <c r="B204" s="66" t="s">
        <v>139</v>
      </c>
      <c r="C204" s="66" t="s">
        <v>74</v>
      </c>
      <c r="D204" s="66" t="s">
        <v>622</v>
      </c>
      <c r="E204" s="66" t="s">
        <v>411</v>
      </c>
      <c r="F204" s="66" t="s">
        <v>215</v>
      </c>
      <c r="G204" s="66" t="s">
        <v>1681</v>
      </c>
      <c r="H204" s="66" t="s">
        <v>133</v>
      </c>
      <c r="I204" s="66" t="s">
        <v>218</v>
      </c>
      <c r="J204" s="134">
        <v>218754</v>
      </c>
      <c r="K204" s="66">
        <v>18</v>
      </c>
      <c r="L204" s="134">
        <v>55917</v>
      </c>
      <c r="M204" s="134">
        <v>162837</v>
      </c>
      <c r="N204" s="66" t="s">
        <v>97</v>
      </c>
      <c r="O204" s="66" t="s">
        <v>98</v>
      </c>
      <c r="P204" s="66">
        <v>17.571000000000002</v>
      </c>
      <c r="Q204" s="66">
        <v>0.79500000000000004</v>
      </c>
      <c r="R204" s="66" t="s">
        <v>1684</v>
      </c>
      <c r="S204" s="66">
        <v>0.42599999999999999</v>
      </c>
      <c r="T204" s="135">
        <v>19.71</v>
      </c>
      <c r="U204" s="66">
        <v>0.28899999999999998</v>
      </c>
      <c r="V204" s="66">
        <v>0.95099999999999996</v>
      </c>
      <c r="W204" s="66" t="s">
        <v>1686</v>
      </c>
      <c r="X204" s="66">
        <v>0.89700000000000002</v>
      </c>
      <c r="Y204" s="66">
        <v>2.2160000000000002</v>
      </c>
      <c r="Z204" s="66" t="s">
        <v>1687</v>
      </c>
      <c r="AA204" s="66">
        <v>0.56100000000000005</v>
      </c>
      <c r="AB204" s="66" t="s">
        <v>140</v>
      </c>
      <c r="AC204" s="66" t="s">
        <v>1689</v>
      </c>
    </row>
    <row r="205" spans="1:29" ht="13.9">
      <c r="A205" s="66" t="s">
        <v>52</v>
      </c>
      <c r="B205" s="66" t="s">
        <v>139</v>
      </c>
      <c r="C205" s="66" t="s">
        <v>74</v>
      </c>
      <c r="D205" s="66" t="s">
        <v>164</v>
      </c>
      <c r="E205" s="66" t="s">
        <v>411</v>
      </c>
      <c r="F205" s="66" t="s">
        <v>165</v>
      </c>
      <c r="G205" s="66" t="s">
        <v>1681</v>
      </c>
      <c r="H205" s="66" t="s">
        <v>133</v>
      </c>
      <c r="I205" s="66" t="s">
        <v>218</v>
      </c>
      <c r="J205" s="134">
        <v>218754</v>
      </c>
      <c r="K205" s="66">
        <v>39</v>
      </c>
      <c r="L205" s="134">
        <v>55917</v>
      </c>
      <c r="M205" s="134">
        <v>162837</v>
      </c>
      <c r="N205" s="66" t="s">
        <v>97</v>
      </c>
      <c r="O205" s="66" t="s">
        <v>98</v>
      </c>
      <c r="P205" s="66">
        <v>25.347999999999999</v>
      </c>
      <c r="Q205" s="66">
        <v>0.53100000000000003</v>
      </c>
      <c r="R205" s="66" t="s">
        <v>1814</v>
      </c>
      <c r="S205" s="66" t="s">
        <v>1815</v>
      </c>
      <c r="T205" s="66">
        <v>90.638000000000005</v>
      </c>
      <c r="U205" s="66" t="s">
        <v>1723</v>
      </c>
      <c r="V205" s="66">
        <v>0.38600000000000001</v>
      </c>
      <c r="W205" s="66" t="s">
        <v>1816</v>
      </c>
      <c r="X205" s="66" t="s">
        <v>1723</v>
      </c>
      <c r="Y205" s="66">
        <v>0.129</v>
      </c>
      <c r="Z205" s="66" t="s">
        <v>1817</v>
      </c>
      <c r="AA205" s="66">
        <v>2.6800000000000001E-2</v>
      </c>
      <c r="AB205" s="66" t="s">
        <v>140</v>
      </c>
      <c r="AC205" s="66" t="s">
        <v>1689</v>
      </c>
    </row>
    <row r="206" spans="1:29" ht="13.9">
      <c r="A206" s="9" t="s">
        <v>52</v>
      </c>
      <c r="B206" s="9" t="s">
        <v>139</v>
      </c>
      <c r="C206" s="9" t="s">
        <v>74</v>
      </c>
      <c r="D206" s="9" t="s">
        <v>75</v>
      </c>
      <c r="E206" s="9" t="s">
        <v>411</v>
      </c>
      <c r="F206" s="9" t="s">
        <v>113</v>
      </c>
      <c r="G206" s="9" t="s">
        <v>1681</v>
      </c>
      <c r="H206" s="9" t="s">
        <v>133</v>
      </c>
      <c r="I206" s="9" t="s">
        <v>218</v>
      </c>
      <c r="J206" s="65">
        <v>218754</v>
      </c>
      <c r="K206" s="9">
        <v>52</v>
      </c>
      <c r="L206" s="65">
        <v>55917</v>
      </c>
      <c r="M206" s="65">
        <v>162837</v>
      </c>
      <c r="N206" s="110" t="s">
        <v>97</v>
      </c>
      <c r="O206" s="9" t="s">
        <v>98</v>
      </c>
      <c r="P206" s="9">
        <v>15.715999999999999</v>
      </c>
      <c r="Q206" s="9">
        <v>0.97199999999999998</v>
      </c>
      <c r="R206" s="9" t="s">
        <v>1736</v>
      </c>
      <c r="S206" s="9">
        <v>0.89600000000000002</v>
      </c>
      <c r="T206" s="9">
        <v>103.747</v>
      </c>
      <c r="U206" s="9" t="s">
        <v>1723</v>
      </c>
      <c r="V206" s="9">
        <v>1.147</v>
      </c>
      <c r="W206" s="9" t="s">
        <v>1737</v>
      </c>
      <c r="X206" s="9">
        <v>0.59299999999999997</v>
      </c>
      <c r="Y206" s="9">
        <v>3.0750000000000002</v>
      </c>
      <c r="Z206" s="9" t="s">
        <v>1738</v>
      </c>
      <c r="AA206" s="9">
        <v>0.13500000000000001</v>
      </c>
      <c r="AB206" s="9" t="s">
        <v>140</v>
      </c>
      <c r="AC206" s="9" t="s">
        <v>1689</v>
      </c>
    </row>
    <row r="207" spans="1:29" ht="13.9">
      <c r="A207" s="5" t="s">
        <v>52</v>
      </c>
      <c r="B207" s="5" t="s">
        <v>142</v>
      </c>
      <c r="C207" s="5" t="s">
        <v>74</v>
      </c>
      <c r="D207" s="5" t="s">
        <v>246</v>
      </c>
      <c r="E207" s="5" t="s">
        <v>1206</v>
      </c>
      <c r="F207" s="5" t="s">
        <v>248</v>
      </c>
      <c r="G207" s="5" t="s">
        <v>1208</v>
      </c>
      <c r="H207" s="5" t="s">
        <v>133</v>
      </c>
      <c r="I207" s="5" t="s">
        <v>1209</v>
      </c>
      <c r="J207" s="5" t="s">
        <v>1210</v>
      </c>
      <c r="K207" s="5">
        <v>13</v>
      </c>
      <c r="L207" s="89">
        <v>18382</v>
      </c>
      <c r="M207" s="89">
        <v>27969</v>
      </c>
      <c r="N207" s="5" t="s">
        <v>97</v>
      </c>
      <c r="O207" s="5" t="s">
        <v>98</v>
      </c>
      <c r="P207" s="5" t="s">
        <v>79</v>
      </c>
      <c r="Q207" s="5">
        <v>1.1559999999999999</v>
      </c>
      <c r="R207" s="5" t="s">
        <v>1739</v>
      </c>
      <c r="S207" s="5">
        <v>0.79300000000000004</v>
      </c>
      <c r="T207" s="5" t="s">
        <v>79</v>
      </c>
      <c r="U207" s="5" t="s">
        <v>1220</v>
      </c>
      <c r="V207" s="5">
        <v>0.91</v>
      </c>
      <c r="W207" s="5" t="s">
        <v>1740</v>
      </c>
      <c r="X207" s="5">
        <v>0.86599999999999999</v>
      </c>
      <c r="Y207" s="5">
        <v>2.508</v>
      </c>
      <c r="Z207" s="5" t="s">
        <v>1741</v>
      </c>
      <c r="AA207" s="5">
        <v>0.89200000000000002</v>
      </c>
      <c r="AB207" s="5" t="s">
        <v>140</v>
      </c>
      <c r="AC207" s="5" t="s">
        <v>112</v>
      </c>
    </row>
    <row r="208" spans="1:29" ht="13.9">
      <c r="A208" s="5" t="s">
        <v>52</v>
      </c>
      <c r="B208" s="5" t="s">
        <v>142</v>
      </c>
      <c r="C208" s="17" t="s">
        <v>74</v>
      </c>
      <c r="D208" s="17" t="s">
        <v>622</v>
      </c>
      <c r="E208" s="5" t="s">
        <v>1206</v>
      </c>
      <c r="F208" s="5" t="s">
        <v>215</v>
      </c>
      <c r="G208" s="5" t="s">
        <v>1208</v>
      </c>
      <c r="H208" s="5" t="s">
        <v>133</v>
      </c>
      <c r="I208" s="5" t="s">
        <v>1209</v>
      </c>
      <c r="J208" s="5" t="s">
        <v>1210</v>
      </c>
      <c r="K208" s="5">
        <v>10</v>
      </c>
      <c r="L208" s="89">
        <v>18382</v>
      </c>
      <c r="M208" s="89">
        <v>27969</v>
      </c>
      <c r="N208" s="5" t="s">
        <v>97</v>
      </c>
      <c r="O208" s="5" t="s">
        <v>98</v>
      </c>
      <c r="P208" s="5" t="s">
        <v>79</v>
      </c>
      <c r="Q208" s="5">
        <v>1.6679999999999999</v>
      </c>
      <c r="R208" s="5" t="s">
        <v>1742</v>
      </c>
      <c r="S208" s="5">
        <v>0.313</v>
      </c>
      <c r="T208" s="5" t="s">
        <v>79</v>
      </c>
      <c r="U208" s="5" t="s">
        <v>1743</v>
      </c>
      <c r="V208" s="5">
        <v>3.0659999999999998</v>
      </c>
      <c r="W208" s="5" t="s">
        <v>1744</v>
      </c>
      <c r="X208" s="5">
        <v>0.112</v>
      </c>
      <c r="Y208" s="5">
        <v>0.13600000000000001</v>
      </c>
      <c r="Z208" s="5" t="s">
        <v>1745</v>
      </c>
      <c r="AA208" s="5">
        <v>0.69499999999999995</v>
      </c>
      <c r="AB208" s="5" t="s">
        <v>140</v>
      </c>
      <c r="AC208" s="5" t="s">
        <v>112</v>
      </c>
    </row>
    <row r="209" spans="1:29" ht="13.9">
      <c r="A209" s="5" t="s">
        <v>52</v>
      </c>
      <c r="B209" s="5" t="s">
        <v>142</v>
      </c>
      <c r="C209" s="5" t="s">
        <v>74</v>
      </c>
      <c r="D209" s="5" t="s">
        <v>164</v>
      </c>
      <c r="E209" s="5" t="s">
        <v>1206</v>
      </c>
      <c r="F209" s="17" t="s">
        <v>165</v>
      </c>
      <c r="G209" s="5" t="s">
        <v>1208</v>
      </c>
      <c r="H209" s="5" t="s">
        <v>133</v>
      </c>
      <c r="I209" s="5" t="s">
        <v>1209</v>
      </c>
      <c r="J209" s="5" t="s">
        <v>1210</v>
      </c>
      <c r="K209" s="5">
        <v>28</v>
      </c>
      <c r="L209" s="89">
        <v>18382</v>
      </c>
      <c r="M209" s="89">
        <v>27969</v>
      </c>
      <c r="N209" s="5" t="s">
        <v>97</v>
      </c>
      <c r="O209" s="5" t="s">
        <v>98</v>
      </c>
      <c r="P209" s="5" t="s">
        <v>79</v>
      </c>
      <c r="Q209" s="5">
        <v>2.1669999999999998</v>
      </c>
      <c r="R209" s="5" t="s">
        <v>1746</v>
      </c>
      <c r="S209" s="5">
        <v>2E-3</v>
      </c>
      <c r="T209" s="5" t="s">
        <v>79</v>
      </c>
      <c r="U209" s="5">
        <v>0.14899999999999999</v>
      </c>
      <c r="V209" s="5">
        <v>2.2010000000000001</v>
      </c>
      <c r="W209" s="5" t="s">
        <v>1747</v>
      </c>
      <c r="X209" s="107">
        <v>0.03</v>
      </c>
      <c r="Y209" s="5">
        <v>1.875</v>
      </c>
      <c r="Z209" s="5" t="s">
        <v>1748</v>
      </c>
      <c r="AA209" s="5">
        <v>0.63900000000000001</v>
      </c>
      <c r="AB209" s="5" t="s">
        <v>140</v>
      </c>
      <c r="AC209" s="5" t="s">
        <v>112</v>
      </c>
    </row>
    <row r="210" spans="1:29" ht="13.9">
      <c r="A210" s="5" t="s">
        <v>52</v>
      </c>
      <c r="B210" s="5" t="s">
        <v>142</v>
      </c>
      <c r="C210" s="17" t="s">
        <v>74</v>
      </c>
      <c r="D210" s="5" t="s">
        <v>75</v>
      </c>
      <c r="E210" s="5" t="s">
        <v>1206</v>
      </c>
      <c r="F210" s="5" t="s">
        <v>113</v>
      </c>
      <c r="G210" s="5" t="s">
        <v>1208</v>
      </c>
      <c r="H210" s="5" t="s">
        <v>133</v>
      </c>
      <c r="I210" s="5" t="s">
        <v>1209</v>
      </c>
      <c r="J210" s="5" t="s">
        <v>1210</v>
      </c>
      <c r="K210" s="5">
        <v>43</v>
      </c>
      <c r="L210" s="89">
        <v>18382</v>
      </c>
      <c r="M210" s="89">
        <v>27969</v>
      </c>
      <c r="N210" s="5" t="s">
        <v>97</v>
      </c>
      <c r="O210" s="5" t="s">
        <v>98</v>
      </c>
      <c r="P210" s="5" t="s">
        <v>79</v>
      </c>
      <c r="Q210" s="5">
        <v>1.792</v>
      </c>
      <c r="R210" s="5" t="s">
        <v>1219</v>
      </c>
      <c r="S210" s="5">
        <v>0.125</v>
      </c>
      <c r="T210" s="5" t="s">
        <v>79</v>
      </c>
      <c r="U210" s="5" t="s">
        <v>1220</v>
      </c>
      <c r="V210" s="5">
        <v>2.5550000000000002</v>
      </c>
      <c r="W210" s="5" t="s">
        <v>1222</v>
      </c>
      <c r="X210" s="5">
        <v>2.9000000000000001E-2</v>
      </c>
      <c r="Y210" s="5">
        <v>1.0249999999999999</v>
      </c>
      <c r="Z210" s="5" t="s">
        <v>1224</v>
      </c>
      <c r="AA210" s="5">
        <v>0.98599999999999999</v>
      </c>
      <c r="AB210" s="5" t="s">
        <v>140</v>
      </c>
      <c r="AC210" s="5" t="s">
        <v>112</v>
      </c>
    </row>
    <row r="211" spans="1:29" ht="13.9">
      <c r="A211" s="9" t="s">
        <v>52</v>
      </c>
      <c r="B211" s="9" t="s">
        <v>148</v>
      </c>
      <c r="C211" s="9" t="s">
        <v>74</v>
      </c>
      <c r="D211" s="9" t="s">
        <v>246</v>
      </c>
      <c r="E211" s="9" t="s">
        <v>1749</v>
      </c>
      <c r="F211" s="9" t="s">
        <v>248</v>
      </c>
      <c r="G211" s="139" t="s">
        <v>1750</v>
      </c>
      <c r="H211" s="9" t="s">
        <v>133</v>
      </c>
      <c r="I211" s="9"/>
      <c r="J211" s="65">
        <v>2597856</v>
      </c>
      <c r="K211" s="9">
        <v>10</v>
      </c>
      <c r="L211" s="65">
        <v>122616</v>
      </c>
      <c r="M211" s="65">
        <v>2475240</v>
      </c>
      <c r="N211" s="9" t="s">
        <v>97</v>
      </c>
      <c r="O211" s="9" t="s">
        <v>98</v>
      </c>
      <c r="P211" s="9" t="s">
        <v>79</v>
      </c>
      <c r="Q211" s="9">
        <v>1.07</v>
      </c>
      <c r="R211" s="9" t="s">
        <v>1751</v>
      </c>
      <c r="S211" s="9">
        <v>0.66700000000000004</v>
      </c>
      <c r="T211" s="9">
        <v>7.593</v>
      </c>
      <c r="U211" s="9">
        <v>0.57599999999999996</v>
      </c>
      <c r="V211" s="9">
        <v>0.95199999999999996</v>
      </c>
      <c r="W211" s="9" t="s">
        <v>1752</v>
      </c>
      <c r="X211" s="9">
        <v>0.81799999999999995</v>
      </c>
      <c r="Y211" s="9">
        <v>4.3760000000000003</v>
      </c>
      <c r="Z211" s="9" t="s">
        <v>1753</v>
      </c>
      <c r="AA211" s="9">
        <v>0.39300000000000002</v>
      </c>
      <c r="AB211" s="9" t="s">
        <v>1754</v>
      </c>
      <c r="AC211" s="9" t="s">
        <v>145</v>
      </c>
    </row>
    <row r="212" spans="1:29" ht="13.9">
      <c r="A212" s="9" t="s">
        <v>52</v>
      </c>
      <c r="B212" s="9" t="s">
        <v>148</v>
      </c>
      <c r="C212" s="9" t="s">
        <v>74</v>
      </c>
      <c r="D212" s="9" t="s">
        <v>246</v>
      </c>
      <c r="E212" s="9" t="s">
        <v>1755</v>
      </c>
      <c r="F212" s="9" t="s">
        <v>248</v>
      </c>
      <c r="G212" s="9" t="s">
        <v>1750</v>
      </c>
      <c r="H212" s="9" t="s">
        <v>133</v>
      </c>
      <c r="I212" s="9"/>
      <c r="J212" s="65">
        <v>2095324</v>
      </c>
      <c r="K212" s="9">
        <v>10</v>
      </c>
      <c r="L212" s="65">
        <v>32519</v>
      </c>
      <c r="M212" s="65">
        <v>2062805</v>
      </c>
      <c r="N212" s="9" t="s">
        <v>97</v>
      </c>
      <c r="O212" s="9" t="s">
        <v>98</v>
      </c>
      <c r="P212" s="9" t="s">
        <v>79</v>
      </c>
      <c r="Q212" s="9">
        <v>1.36</v>
      </c>
      <c r="R212" s="9" t="s">
        <v>1756</v>
      </c>
      <c r="S212" s="9">
        <v>0.42199999999999999</v>
      </c>
      <c r="T212" s="9">
        <v>11.488</v>
      </c>
      <c r="U212" s="9">
        <v>0.24399999999999999</v>
      </c>
      <c r="V212" s="9">
        <v>0.98899999999999999</v>
      </c>
      <c r="W212" s="9" t="s">
        <v>1757</v>
      </c>
      <c r="X212" s="9">
        <v>0.98099999999999998</v>
      </c>
      <c r="Y212" s="9">
        <v>363.45100000000002</v>
      </c>
      <c r="Z212" s="9" t="s">
        <v>1758</v>
      </c>
      <c r="AA212" s="9">
        <v>0.154</v>
      </c>
      <c r="AB212" s="9" t="s">
        <v>1754</v>
      </c>
      <c r="AC212" s="9" t="s">
        <v>145</v>
      </c>
    </row>
    <row r="213" spans="1:29" ht="13.9">
      <c r="A213" s="9" t="s">
        <v>52</v>
      </c>
      <c r="B213" s="9" t="s">
        <v>148</v>
      </c>
      <c r="C213" s="9" t="s">
        <v>74</v>
      </c>
      <c r="D213" s="9" t="s">
        <v>246</v>
      </c>
      <c r="E213" s="9" t="s">
        <v>1762</v>
      </c>
      <c r="F213" s="9" t="s">
        <v>248</v>
      </c>
      <c r="G213" s="9" t="s">
        <v>1750</v>
      </c>
      <c r="H213" s="9" t="s">
        <v>133</v>
      </c>
      <c r="I213" s="9"/>
      <c r="J213" s="65">
        <v>1086211</v>
      </c>
      <c r="K213" s="9">
        <v>10</v>
      </c>
      <c r="L213" s="65">
        <v>13769</v>
      </c>
      <c r="M213" s="65">
        <v>1072442</v>
      </c>
      <c r="N213" s="9" t="s">
        <v>97</v>
      </c>
      <c r="O213" s="9" t="s">
        <v>98</v>
      </c>
      <c r="P213" s="9" t="s">
        <v>79</v>
      </c>
      <c r="Q213" s="9">
        <v>1.37</v>
      </c>
      <c r="R213" s="9" t="s">
        <v>1763</v>
      </c>
      <c r="S213" s="9">
        <v>0.61499999999999999</v>
      </c>
      <c r="T213" s="9">
        <v>13.803000000000001</v>
      </c>
      <c r="U213" s="9">
        <v>0.129</v>
      </c>
      <c r="V213" s="9">
        <v>0.40799999999999997</v>
      </c>
      <c r="W213" s="9" t="s">
        <v>1764</v>
      </c>
      <c r="X213" s="9">
        <v>0.221</v>
      </c>
      <c r="Y213" s="9">
        <v>0.246</v>
      </c>
      <c r="Z213" s="9" t="s">
        <v>1765</v>
      </c>
      <c r="AA213" s="9">
        <v>0.84</v>
      </c>
      <c r="AB213" s="9" t="s">
        <v>1754</v>
      </c>
      <c r="AC213" s="9" t="s">
        <v>145</v>
      </c>
    </row>
    <row r="214" spans="1:29" ht="13.9">
      <c r="A214" s="9" t="s">
        <v>52</v>
      </c>
      <c r="B214" s="9" t="s">
        <v>148</v>
      </c>
      <c r="C214" s="9" t="s">
        <v>74</v>
      </c>
      <c r="D214" s="9" t="s">
        <v>622</v>
      </c>
      <c r="E214" s="9" t="s">
        <v>1749</v>
      </c>
      <c r="F214" s="9" t="s">
        <v>215</v>
      </c>
      <c r="G214" s="9" t="s">
        <v>1750</v>
      </c>
      <c r="H214" s="9" t="s">
        <v>133</v>
      </c>
      <c r="I214" s="9"/>
      <c r="J214" s="65">
        <v>2597856</v>
      </c>
      <c r="K214" s="9">
        <v>8</v>
      </c>
      <c r="L214" s="9">
        <v>122616</v>
      </c>
      <c r="M214" s="9">
        <v>2475240</v>
      </c>
      <c r="N214" s="9" t="s">
        <v>97</v>
      </c>
      <c r="O214" s="9" t="s">
        <v>98</v>
      </c>
      <c r="P214" s="9" t="s">
        <v>79</v>
      </c>
      <c r="Q214" s="9">
        <v>0.95</v>
      </c>
      <c r="R214" s="9" t="s">
        <v>1766</v>
      </c>
      <c r="S214" s="9">
        <v>0.88800000000000001</v>
      </c>
      <c r="T214" s="140">
        <v>22.91</v>
      </c>
      <c r="U214" s="9">
        <v>2E-3</v>
      </c>
      <c r="V214" s="9">
        <v>0.59699999999999998</v>
      </c>
      <c r="W214" s="9" t="s">
        <v>1767</v>
      </c>
      <c r="X214" s="9">
        <v>0.115</v>
      </c>
      <c r="Y214" s="9">
        <v>0.65800000000000003</v>
      </c>
      <c r="Z214" s="9" t="s">
        <v>1768</v>
      </c>
      <c r="AA214" s="9">
        <v>0.88100000000000001</v>
      </c>
      <c r="AB214" s="9" t="s">
        <v>1754</v>
      </c>
      <c r="AC214" s="9" t="s">
        <v>145</v>
      </c>
    </row>
    <row r="215" spans="1:29" ht="13.9">
      <c r="A215" s="9" t="s">
        <v>52</v>
      </c>
      <c r="B215" s="9" t="s">
        <v>148</v>
      </c>
      <c r="C215" s="9" t="s">
        <v>74</v>
      </c>
      <c r="D215" s="9" t="s">
        <v>622</v>
      </c>
      <c r="E215" s="9" t="s">
        <v>1755</v>
      </c>
      <c r="F215" s="9" t="s">
        <v>215</v>
      </c>
      <c r="G215" s="9" t="s">
        <v>1750</v>
      </c>
      <c r="H215" s="9" t="s">
        <v>133</v>
      </c>
      <c r="I215" s="9"/>
      <c r="J215" s="65">
        <v>2095324</v>
      </c>
      <c r="K215" s="9">
        <v>8</v>
      </c>
      <c r="L215" s="65">
        <v>32519</v>
      </c>
      <c r="M215" s="9">
        <v>2062805</v>
      </c>
      <c r="N215" s="9" t="s">
        <v>97</v>
      </c>
      <c r="O215" s="9" t="s">
        <v>98</v>
      </c>
      <c r="P215" s="9" t="s">
        <v>79</v>
      </c>
      <c r="Q215" s="9">
        <v>1.04</v>
      </c>
      <c r="R215" s="9" t="s">
        <v>1769</v>
      </c>
      <c r="S215" s="9">
        <v>0.95799999999999996</v>
      </c>
      <c r="T215" s="9">
        <v>19.873000000000001</v>
      </c>
      <c r="U215" s="9">
        <v>6.0000000000000001E-3</v>
      </c>
      <c r="V215" s="9">
        <v>1.0189999999999999</v>
      </c>
      <c r="W215" s="9" t="s">
        <v>1770</v>
      </c>
      <c r="X215" s="9">
        <v>0.97699999999999998</v>
      </c>
      <c r="Y215" s="9">
        <v>195.63800000000001</v>
      </c>
      <c r="Z215" s="9" t="s">
        <v>1771</v>
      </c>
      <c r="AA215" s="9">
        <v>0.32</v>
      </c>
      <c r="AB215" s="9" t="s">
        <v>1754</v>
      </c>
      <c r="AC215" s="9" t="s">
        <v>145</v>
      </c>
    </row>
    <row r="216" spans="1:29" ht="13.9">
      <c r="A216" s="9" t="s">
        <v>52</v>
      </c>
      <c r="B216" s="9" t="s">
        <v>148</v>
      </c>
      <c r="C216" s="9" t="s">
        <v>74</v>
      </c>
      <c r="D216" s="9" t="s">
        <v>622</v>
      </c>
      <c r="E216" s="9" t="s">
        <v>1762</v>
      </c>
      <c r="F216" s="9" t="s">
        <v>215</v>
      </c>
      <c r="G216" s="9" t="s">
        <v>1750</v>
      </c>
      <c r="H216" s="9" t="s">
        <v>133</v>
      </c>
      <c r="I216" s="9"/>
      <c r="J216" s="65">
        <v>1086211</v>
      </c>
      <c r="K216" s="65">
        <v>8</v>
      </c>
      <c r="L216" s="65">
        <v>13769</v>
      </c>
      <c r="M216" s="9">
        <v>1072442</v>
      </c>
      <c r="N216" s="9" t="s">
        <v>97</v>
      </c>
      <c r="O216" s="9" t="s">
        <v>98</v>
      </c>
      <c r="P216" s="9" t="s">
        <v>79</v>
      </c>
      <c r="Q216" s="9">
        <v>0.99</v>
      </c>
      <c r="R216" s="9" t="s">
        <v>1775</v>
      </c>
      <c r="S216" s="9">
        <v>0.98299999999999998</v>
      </c>
      <c r="T216" s="9">
        <v>6.8289999999999997</v>
      </c>
      <c r="U216" s="9">
        <v>0.44700000000000001</v>
      </c>
      <c r="V216" s="9">
        <v>0.93400000000000005</v>
      </c>
      <c r="W216" s="9" t="s">
        <v>1777</v>
      </c>
      <c r="X216" s="9">
        <v>0.94299999999999995</v>
      </c>
      <c r="Y216" s="9">
        <v>19.099</v>
      </c>
      <c r="Z216" s="9" t="s">
        <v>1778</v>
      </c>
      <c r="AA216" s="140">
        <v>0.53</v>
      </c>
      <c r="AB216" s="9" t="s">
        <v>1754</v>
      </c>
      <c r="AC216" s="9" t="s">
        <v>145</v>
      </c>
    </row>
    <row r="217" spans="1:29" ht="13.9">
      <c r="A217" s="9" t="s">
        <v>52</v>
      </c>
      <c r="B217" s="9" t="s">
        <v>148</v>
      </c>
      <c r="C217" s="9" t="s">
        <v>74</v>
      </c>
      <c r="D217" s="9" t="s">
        <v>164</v>
      </c>
      <c r="E217" s="9" t="s">
        <v>1749</v>
      </c>
      <c r="F217" s="9" t="s">
        <v>165</v>
      </c>
      <c r="G217" s="9" t="s">
        <v>1750</v>
      </c>
      <c r="H217" s="9" t="s">
        <v>133</v>
      </c>
      <c r="I217" s="9"/>
      <c r="J217" s="65">
        <v>2597856</v>
      </c>
      <c r="K217" s="9">
        <v>29</v>
      </c>
      <c r="L217" s="9">
        <v>122616</v>
      </c>
      <c r="M217" s="9">
        <v>2475240</v>
      </c>
      <c r="N217" s="9" t="s">
        <v>97</v>
      </c>
      <c r="O217" s="9" t="s">
        <v>98</v>
      </c>
      <c r="P217" s="9" t="s">
        <v>79</v>
      </c>
      <c r="Q217" s="9">
        <v>1.21</v>
      </c>
      <c r="R217" s="9" t="s">
        <v>1783</v>
      </c>
      <c r="S217" s="9">
        <v>8.4000000000000005E-2</v>
      </c>
      <c r="T217" s="9">
        <v>45.494999999999997</v>
      </c>
      <c r="U217" s="140">
        <v>0.02</v>
      </c>
      <c r="V217" s="9">
        <v>1.2310000000000001</v>
      </c>
      <c r="W217" s="9" t="s">
        <v>1786</v>
      </c>
      <c r="X217" s="9">
        <v>0.122</v>
      </c>
      <c r="Y217" s="9">
        <v>1.0680000000000001</v>
      </c>
      <c r="Z217" s="9" t="s">
        <v>1787</v>
      </c>
      <c r="AA217" s="9">
        <v>0.91700000000000004</v>
      </c>
      <c r="AB217" s="9" t="s">
        <v>1754</v>
      </c>
      <c r="AC217" s="9" t="s">
        <v>145</v>
      </c>
    </row>
    <row r="218" spans="1:29" ht="13.9">
      <c r="A218" s="9" t="s">
        <v>52</v>
      </c>
      <c r="B218" s="9" t="s">
        <v>148</v>
      </c>
      <c r="C218" s="9" t="s">
        <v>74</v>
      </c>
      <c r="D218" s="9" t="s">
        <v>164</v>
      </c>
      <c r="E218" s="9" t="s">
        <v>1755</v>
      </c>
      <c r="F218" s="9" t="s">
        <v>165</v>
      </c>
      <c r="G218" s="9" t="s">
        <v>1750</v>
      </c>
      <c r="H218" s="9" t="s">
        <v>133</v>
      </c>
      <c r="I218" s="9"/>
      <c r="J218" s="65">
        <v>2095324</v>
      </c>
      <c r="K218" s="9">
        <v>29</v>
      </c>
      <c r="L218" s="9">
        <v>32519</v>
      </c>
      <c r="M218" s="9">
        <v>2062805</v>
      </c>
      <c r="N218" s="9" t="s">
        <v>97</v>
      </c>
      <c r="O218" s="9" t="s">
        <v>98</v>
      </c>
      <c r="P218" s="9" t="s">
        <v>79</v>
      </c>
      <c r="Q218" s="9">
        <v>2.08</v>
      </c>
      <c r="R218" s="9" t="s">
        <v>1791</v>
      </c>
      <c r="S218" s="9">
        <v>1E-3</v>
      </c>
      <c r="T218" s="9">
        <v>37.896000000000001</v>
      </c>
      <c r="U218" s="140">
        <v>0.1</v>
      </c>
      <c r="V218" s="9">
        <v>2.1749999999999998</v>
      </c>
      <c r="W218" s="9" t="s">
        <v>1792</v>
      </c>
      <c r="X218" s="9">
        <v>5.0000000000000001E-3</v>
      </c>
      <c r="Y218" s="9">
        <v>1.6220000000000001</v>
      </c>
      <c r="Z218" s="9" t="s">
        <v>1793</v>
      </c>
      <c r="AA218" s="9">
        <v>0.69799999999999995</v>
      </c>
      <c r="AB218" s="9" t="s">
        <v>1754</v>
      </c>
      <c r="AC218" s="9" t="s">
        <v>145</v>
      </c>
    </row>
    <row r="219" spans="1:29" ht="13.9">
      <c r="A219" s="9" t="s">
        <v>52</v>
      </c>
      <c r="B219" s="9" t="s">
        <v>148</v>
      </c>
      <c r="C219" s="9" t="s">
        <v>74</v>
      </c>
      <c r="D219" s="9" t="s">
        <v>164</v>
      </c>
      <c r="E219" s="9" t="s">
        <v>1762</v>
      </c>
      <c r="F219" s="9" t="s">
        <v>165</v>
      </c>
      <c r="G219" s="9" t="s">
        <v>1750</v>
      </c>
      <c r="H219" s="9" t="s">
        <v>133</v>
      </c>
      <c r="I219" s="9"/>
      <c r="J219" s="65">
        <v>1086211</v>
      </c>
      <c r="K219" s="9">
        <v>29</v>
      </c>
      <c r="L219" s="9">
        <v>13769</v>
      </c>
      <c r="M219" s="9">
        <v>1072442</v>
      </c>
      <c r="N219" s="9" t="s">
        <v>97</v>
      </c>
      <c r="O219" s="9" t="s">
        <v>98</v>
      </c>
      <c r="P219" s="9" t="s">
        <v>79</v>
      </c>
      <c r="Q219" s="9">
        <v>1.98</v>
      </c>
      <c r="R219" s="9" t="s">
        <v>1798</v>
      </c>
      <c r="S219" s="9">
        <v>1.2E-2</v>
      </c>
      <c r="T219" s="9">
        <v>27.733000000000001</v>
      </c>
      <c r="U219" s="9">
        <v>0.47899999999999998</v>
      </c>
      <c r="V219" s="9">
        <v>1.633</v>
      </c>
      <c r="W219" s="9" t="s">
        <v>1799</v>
      </c>
      <c r="X219" s="9">
        <v>0.20300000000000001</v>
      </c>
      <c r="Y219" s="9">
        <v>5.6779999999999999</v>
      </c>
      <c r="Z219" s="9" t="s">
        <v>1800</v>
      </c>
      <c r="AA219" s="9">
        <v>0.27900000000000003</v>
      </c>
      <c r="AB219" s="9" t="s">
        <v>1754</v>
      </c>
      <c r="AC219" s="9" t="s">
        <v>145</v>
      </c>
    </row>
    <row r="220" spans="1:29" ht="13.9">
      <c r="A220" s="9" t="s">
        <v>52</v>
      </c>
      <c r="B220" s="9" t="s">
        <v>148</v>
      </c>
      <c r="C220" s="9" t="s">
        <v>74</v>
      </c>
      <c r="D220" s="9" t="s">
        <v>75</v>
      </c>
      <c r="E220" s="9" t="s">
        <v>1749</v>
      </c>
      <c r="F220" s="9" t="s">
        <v>113</v>
      </c>
      <c r="G220" s="9" t="s">
        <v>1750</v>
      </c>
      <c r="H220" s="9" t="s">
        <v>133</v>
      </c>
      <c r="I220" s="9"/>
      <c r="J220" s="65">
        <v>2597856</v>
      </c>
      <c r="K220" s="9">
        <v>32</v>
      </c>
      <c r="L220" s="9">
        <v>122616</v>
      </c>
      <c r="M220" s="9">
        <v>2475240</v>
      </c>
      <c r="N220" s="9" t="s">
        <v>97</v>
      </c>
      <c r="O220" s="9" t="s">
        <v>98</v>
      </c>
      <c r="P220" s="9" t="s">
        <v>79</v>
      </c>
      <c r="Q220" s="9">
        <v>1.18</v>
      </c>
      <c r="R220" s="9" t="s">
        <v>1802</v>
      </c>
      <c r="S220" s="9">
        <v>0.158</v>
      </c>
      <c r="T220" s="9">
        <v>38.790999999999997</v>
      </c>
      <c r="U220" s="9">
        <v>0.159</v>
      </c>
      <c r="V220" s="9">
        <v>1.19</v>
      </c>
      <c r="W220" s="9" t="s">
        <v>1804</v>
      </c>
      <c r="X220" s="9">
        <v>0.28299999999999997</v>
      </c>
      <c r="Y220" s="9">
        <v>1.335</v>
      </c>
      <c r="Z220" s="9" t="s">
        <v>1805</v>
      </c>
      <c r="AA220" s="9">
        <v>0.51100000000000001</v>
      </c>
      <c r="AB220" s="9" t="s">
        <v>1754</v>
      </c>
      <c r="AC220" s="9" t="s">
        <v>145</v>
      </c>
    </row>
    <row r="221" spans="1:29" ht="13.9">
      <c r="A221" s="9" t="s">
        <v>52</v>
      </c>
      <c r="B221" s="9" t="s">
        <v>148</v>
      </c>
      <c r="C221" s="9" t="s">
        <v>74</v>
      </c>
      <c r="D221" s="9" t="s">
        <v>75</v>
      </c>
      <c r="E221" s="9" t="s">
        <v>1755</v>
      </c>
      <c r="F221" s="9" t="s">
        <v>113</v>
      </c>
      <c r="G221" s="9" t="s">
        <v>1750</v>
      </c>
      <c r="H221" s="9" t="s">
        <v>133</v>
      </c>
      <c r="I221" s="9"/>
      <c r="J221" s="65">
        <v>2095324</v>
      </c>
      <c r="K221" s="9">
        <v>32</v>
      </c>
      <c r="L221" s="9">
        <v>32519</v>
      </c>
      <c r="M221" s="9">
        <v>2062805</v>
      </c>
      <c r="N221" s="9" t="s">
        <v>97</v>
      </c>
      <c r="O221" s="9" t="s">
        <v>98</v>
      </c>
      <c r="P221" s="9" t="s">
        <v>79</v>
      </c>
      <c r="Q221" s="9">
        <v>1.51</v>
      </c>
      <c r="R221" s="9" t="s">
        <v>1806</v>
      </c>
      <c r="S221" s="140">
        <v>0.16</v>
      </c>
      <c r="T221" s="9">
        <v>52.908000000000001</v>
      </c>
      <c r="U221" s="9">
        <v>8.0000000000000002E-3</v>
      </c>
      <c r="V221" s="9">
        <v>1.3080000000000001</v>
      </c>
      <c r="W221" s="9" t="s">
        <v>1807</v>
      </c>
      <c r="X221" s="9">
        <v>0.45900000000000002</v>
      </c>
      <c r="Y221" s="9">
        <v>2.1139999999999999</v>
      </c>
      <c r="Z221" s="9" t="s">
        <v>1808</v>
      </c>
      <c r="AA221" s="9">
        <v>0.51900000000000002</v>
      </c>
      <c r="AB221" s="9" t="s">
        <v>1754</v>
      </c>
      <c r="AC221" s="9" t="s">
        <v>145</v>
      </c>
    </row>
    <row r="222" spans="1:29" ht="13.9">
      <c r="A222" s="9" t="s">
        <v>52</v>
      </c>
      <c r="B222" s="9" t="s">
        <v>148</v>
      </c>
      <c r="C222" s="9" t="s">
        <v>74</v>
      </c>
      <c r="D222" s="9" t="s">
        <v>75</v>
      </c>
      <c r="E222" s="9" t="s">
        <v>1762</v>
      </c>
      <c r="F222" s="9" t="s">
        <v>113</v>
      </c>
      <c r="G222" s="9" t="s">
        <v>1750</v>
      </c>
      <c r="H222" s="9" t="s">
        <v>133</v>
      </c>
      <c r="I222" s="9"/>
      <c r="J222" s="65">
        <v>1086211</v>
      </c>
      <c r="K222" s="9">
        <v>32</v>
      </c>
      <c r="L222" s="9">
        <v>13769</v>
      </c>
      <c r="M222" s="9">
        <v>1072442</v>
      </c>
      <c r="N222" s="9" t="s">
        <v>97</v>
      </c>
      <c r="O222" s="9" t="s">
        <v>98</v>
      </c>
      <c r="P222" s="9" t="s">
        <v>79</v>
      </c>
      <c r="Q222" s="9">
        <v>1.38</v>
      </c>
      <c r="R222" s="9" t="s">
        <v>1811</v>
      </c>
      <c r="S222" s="9">
        <v>0.46600000000000003</v>
      </c>
      <c r="T222" s="9">
        <v>49.058999999999997</v>
      </c>
      <c r="U222" s="9">
        <v>2.1000000000000001E-2</v>
      </c>
      <c r="V222" s="9">
        <v>0.86799999999999999</v>
      </c>
      <c r="W222" s="9" t="s">
        <v>1812</v>
      </c>
      <c r="X222" s="9">
        <v>0.79100000000000004</v>
      </c>
      <c r="Y222" s="9">
        <v>8.9410000000000007</v>
      </c>
      <c r="Z222" s="9" t="s">
        <v>1813</v>
      </c>
      <c r="AA222" s="9">
        <v>0.25</v>
      </c>
      <c r="AB222" s="9" t="s">
        <v>1754</v>
      </c>
      <c r="AC222" s="9" t="s">
        <v>145</v>
      </c>
    </row>
    <row r="223" spans="1:29" ht="13.9">
      <c r="A223" s="17" t="s">
        <v>52</v>
      </c>
      <c r="B223" s="17" t="s">
        <v>153</v>
      </c>
      <c r="C223" s="17" t="s">
        <v>74</v>
      </c>
      <c r="D223" s="17" t="s">
        <v>75</v>
      </c>
      <c r="E223" s="17" t="s">
        <v>1650</v>
      </c>
      <c r="F223" s="17" t="s">
        <v>113</v>
      </c>
      <c r="G223" s="17"/>
      <c r="H223" s="17" t="s">
        <v>133</v>
      </c>
      <c r="I223" s="17" t="s">
        <v>1078</v>
      </c>
      <c r="J223" s="17">
        <f t="shared" ref="J223:J230" si="5">L223+M223</f>
        <v>299999</v>
      </c>
      <c r="K223" s="17">
        <v>43</v>
      </c>
      <c r="L223" s="17">
        <v>16410</v>
      </c>
      <c r="M223" s="17">
        <v>283589</v>
      </c>
      <c r="N223" s="17" t="s">
        <v>97</v>
      </c>
      <c r="O223" s="17" t="s">
        <v>98</v>
      </c>
      <c r="P223" s="17" t="s">
        <v>79</v>
      </c>
      <c r="Q223" s="17" t="s">
        <v>1241</v>
      </c>
      <c r="R223" s="17" t="s">
        <v>1822</v>
      </c>
      <c r="S223" s="17" t="s">
        <v>1823</v>
      </c>
      <c r="T223" s="17" t="s">
        <v>79</v>
      </c>
      <c r="U223" s="17">
        <v>0.106</v>
      </c>
      <c r="V223" s="17" t="s">
        <v>1824</v>
      </c>
      <c r="W223" s="17" t="s">
        <v>1825</v>
      </c>
      <c r="X223" s="17" t="s">
        <v>1826</v>
      </c>
      <c r="Y223" s="17" t="s">
        <v>1827</v>
      </c>
      <c r="Z223" s="17" t="s">
        <v>1828</v>
      </c>
      <c r="AA223" s="17" t="s">
        <v>1829</v>
      </c>
      <c r="AB223" s="17" t="s">
        <v>140</v>
      </c>
      <c r="AC223" s="17" t="s">
        <v>145</v>
      </c>
    </row>
    <row r="224" spans="1:29" ht="13.9">
      <c r="A224" s="17" t="s">
        <v>52</v>
      </c>
      <c r="B224" s="17" t="s">
        <v>153</v>
      </c>
      <c r="C224" s="17" t="s">
        <v>74</v>
      </c>
      <c r="D224" s="17" t="s">
        <v>75</v>
      </c>
      <c r="E224" s="17" t="s">
        <v>170</v>
      </c>
      <c r="F224" s="17" t="s">
        <v>113</v>
      </c>
      <c r="G224" s="17"/>
      <c r="H224" s="17" t="s">
        <v>133</v>
      </c>
      <c r="I224" s="17" t="s">
        <v>1078</v>
      </c>
      <c r="J224" s="17">
        <f t="shared" si="5"/>
        <v>224365</v>
      </c>
      <c r="K224" s="17">
        <v>45</v>
      </c>
      <c r="L224" s="17">
        <v>37253</v>
      </c>
      <c r="M224" s="17">
        <v>187112</v>
      </c>
      <c r="N224" s="17" t="s">
        <v>97</v>
      </c>
      <c r="O224" s="17" t="s">
        <v>98</v>
      </c>
      <c r="P224" s="17" t="s">
        <v>79</v>
      </c>
      <c r="Q224" s="17" t="s">
        <v>1080</v>
      </c>
      <c r="R224" s="17" t="s">
        <v>1081</v>
      </c>
      <c r="S224" s="17">
        <v>2E-3</v>
      </c>
      <c r="T224" s="17" t="s">
        <v>79</v>
      </c>
      <c r="U224" s="17">
        <v>2.7E-2</v>
      </c>
      <c r="V224" s="17" t="s">
        <v>1085</v>
      </c>
      <c r="W224" s="17" t="s">
        <v>1086</v>
      </c>
      <c r="X224" s="17" t="s">
        <v>1087</v>
      </c>
      <c r="Y224" s="17" t="s">
        <v>1088</v>
      </c>
      <c r="Z224" s="17" t="s">
        <v>1089</v>
      </c>
      <c r="AA224" s="17" t="s">
        <v>1091</v>
      </c>
      <c r="AB224" s="17" t="s">
        <v>140</v>
      </c>
      <c r="AC224" s="17" t="s">
        <v>145</v>
      </c>
    </row>
    <row r="225" spans="1:29" ht="13.9">
      <c r="A225" s="17" t="s">
        <v>52</v>
      </c>
      <c r="B225" s="17" t="s">
        <v>153</v>
      </c>
      <c r="C225" s="17" t="s">
        <v>74</v>
      </c>
      <c r="D225" s="17" t="s">
        <v>75</v>
      </c>
      <c r="E225" s="17" t="s">
        <v>1604</v>
      </c>
      <c r="F225" s="17" t="s">
        <v>113</v>
      </c>
      <c r="G225" s="17"/>
      <c r="H225" s="17" t="s">
        <v>133</v>
      </c>
      <c r="I225" s="17" t="s">
        <v>1078</v>
      </c>
      <c r="J225" s="17">
        <f t="shared" si="5"/>
        <v>342499</v>
      </c>
      <c r="K225" s="17">
        <v>52</v>
      </c>
      <c r="L225" s="17">
        <v>49078</v>
      </c>
      <c r="M225" s="17">
        <v>293421</v>
      </c>
      <c r="N225" s="17" t="s">
        <v>97</v>
      </c>
      <c r="O225" s="17" t="s">
        <v>98</v>
      </c>
      <c r="P225" s="17" t="s">
        <v>79</v>
      </c>
      <c r="Q225" s="17" t="s">
        <v>1608</v>
      </c>
      <c r="R225" s="17" t="s">
        <v>1609</v>
      </c>
      <c r="S225" s="17" t="s">
        <v>1610</v>
      </c>
      <c r="T225" s="17" t="s">
        <v>79</v>
      </c>
      <c r="U225" s="17">
        <v>0.24199999999999999</v>
      </c>
      <c r="V225" s="66" t="s">
        <v>1608</v>
      </c>
      <c r="W225" s="66" t="s">
        <v>1609</v>
      </c>
      <c r="X225" s="66" t="s">
        <v>1610</v>
      </c>
      <c r="Y225" s="17" t="s">
        <v>1611</v>
      </c>
      <c r="Z225" s="17" t="s">
        <v>1612</v>
      </c>
      <c r="AA225" s="17" t="s">
        <v>1613</v>
      </c>
      <c r="AB225" s="17" t="s">
        <v>140</v>
      </c>
      <c r="AC225" s="17" t="s">
        <v>145</v>
      </c>
    </row>
    <row r="226" spans="1:29" ht="13.9">
      <c r="A226" s="17" t="s">
        <v>52</v>
      </c>
      <c r="B226" s="17" t="s">
        <v>153</v>
      </c>
      <c r="C226" s="17" t="s">
        <v>74</v>
      </c>
      <c r="D226" s="17" t="s">
        <v>75</v>
      </c>
      <c r="E226" s="17" t="s">
        <v>1834</v>
      </c>
      <c r="F226" s="17" t="s">
        <v>113</v>
      </c>
      <c r="G226" s="17"/>
      <c r="H226" s="17" t="s">
        <v>133</v>
      </c>
      <c r="I226" s="17" t="s">
        <v>1078</v>
      </c>
      <c r="J226" s="17">
        <f t="shared" si="5"/>
        <v>285244</v>
      </c>
      <c r="K226" s="17">
        <v>52</v>
      </c>
      <c r="L226" s="17">
        <v>1655</v>
      </c>
      <c r="M226" s="17">
        <v>283589</v>
      </c>
      <c r="N226" s="17" t="s">
        <v>97</v>
      </c>
      <c r="O226" s="17" t="s">
        <v>98</v>
      </c>
      <c r="P226" s="17" t="s">
        <v>79</v>
      </c>
      <c r="Q226" s="17" t="s">
        <v>1837</v>
      </c>
      <c r="R226" s="17" t="s">
        <v>1838</v>
      </c>
      <c r="S226" s="17" t="s">
        <v>1839</v>
      </c>
      <c r="T226" s="17" t="s">
        <v>79</v>
      </c>
      <c r="U226" s="17">
        <v>0.80200000000000005</v>
      </c>
      <c r="V226" s="17" t="s">
        <v>1840</v>
      </c>
      <c r="W226" s="17" t="s">
        <v>1841</v>
      </c>
      <c r="X226" s="17" t="s">
        <v>1842</v>
      </c>
      <c r="Y226" s="17" t="s">
        <v>1843</v>
      </c>
      <c r="Z226" s="17" t="s">
        <v>1844</v>
      </c>
      <c r="AA226" s="17" t="s">
        <v>1845</v>
      </c>
      <c r="AB226" s="17" t="s">
        <v>140</v>
      </c>
      <c r="AC226" s="17" t="s">
        <v>145</v>
      </c>
    </row>
    <row r="227" spans="1:29" ht="13.9">
      <c r="A227" s="17" t="s">
        <v>52</v>
      </c>
      <c r="B227" s="17" t="s">
        <v>153</v>
      </c>
      <c r="C227" s="17" t="s">
        <v>74</v>
      </c>
      <c r="D227" s="17" t="s">
        <v>164</v>
      </c>
      <c r="E227" s="17" t="s">
        <v>1650</v>
      </c>
      <c r="F227" s="17" t="s">
        <v>165</v>
      </c>
      <c r="G227" s="17"/>
      <c r="H227" s="17" t="s">
        <v>133</v>
      </c>
      <c r="I227" s="17" t="s">
        <v>1078</v>
      </c>
      <c r="J227" s="17">
        <f t="shared" si="5"/>
        <v>299999</v>
      </c>
      <c r="K227" s="17">
        <v>31</v>
      </c>
      <c r="L227" s="17">
        <v>16410</v>
      </c>
      <c r="M227" s="17">
        <v>283589</v>
      </c>
      <c r="N227" s="17" t="s">
        <v>97</v>
      </c>
      <c r="O227" s="17" t="s">
        <v>98</v>
      </c>
      <c r="P227" s="17" t="s">
        <v>79</v>
      </c>
      <c r="Q227" s="17" t="s">
        <v>1980</v>
      </c>
      <c r="R227" s="17" t="s">
        <v>1981</v>
      </c>
      <c r="S227" s="17" t="s">
        <v>1165</v>
      </c>
      <c r="T227" s="17" t="s">
        <v>79</v>
      </c>
      <c r="U227" s="17">
        <v>0.95099999999999996</v>
      </c>
      <c r="V227" s="17" t="s">
        <v>1837</v>
      </c>
      <c r="W227" s="17" t="s">
        <v>1982</v>
      </c>
      <c r="X227" s="17" t="s">
        <v>1983</v>
      </c>
      <c r="Y227" s="17" t="s">
        <v>1611</v>
      </c>
      <c r="Z227" s="17" t="s">
        <v>1984</v>
      </c>
      <c r="AA227" s="17" t="s">
        <v>1985</v>
      </c>
      <c r="AB227" s="17" t="s">
        <v>140</v>
      </c>
      <c r="AC227" s="17" t="s">
        <v>145</v>
      </c>
    </row>
    <row r="228" spans="1:29" ht="13.9">
      <c r="A228" s="17" t="s">
        <v>52</v>
      </c>
      <c r="B228" s="17" t="s">
        <v>153</v>
      </c>
      <c r="C228" s="17" t="s">
        <v>74</v>
      </c>
      <c r="D228" s="17" t="s">
        <v>164</v>
      </c>
      <c r="E228" s="17" t="s">
        <v>170</v>
      </c>
      <c r="F228" s="17" t="s">
        <v>165</v>
      </c>
      <c r="G228" s="17"/>
      <c r="H228" s="17" t="s">
        <v>133</v>
      </c>
      <c r="I228" s="17" t="s">
        <v>1078</v>
      </c>
      <c r="J228" s="17">
        <f t="shared" si="5"/>
        <v>224365</v>
      </c>
      <c r="K228" s="17">
        <v>31</v>
      </c>
      <c r="L228" s="17">
        <v>37253</v>
      </c>
      <c r="M228" s="17">
        <v>187112</v>
      </c>
      <c r="N228" s="17" t="s">
        <v>97</v>
      </c>
      <c r="O228" s="17" t="s">
        <v>98</v>
      </c>
      <c r="P228" s="17" t="s">
        <v>79</v>
      </c>
      <c r="Q228" s="17" t="s">
        <v>1850</v>
      </c>
      <c r="R228" s="17" t="s">
        <v>1851</v>
      </c>
      <c r="S228" s="17" t="s">
        <v>1165</v>
      </c>
      <c r="T228" s="17" t="s">
        <v>79</v>
      </c>
      <c r="U228" s="17">
        <v>0.184</v>
      </c>
      <c r="V228" s="17" t="s">
        <v>1085</v>
      </c>
      <c r="W228" s="17" t="s">
        <v>1852</v>
      </c>
      <c r="X228" s="17" t="s">
        <v>1853</v>
      </c>
      <c r="Y228" s="17" t="s">
        <v>1854</v>
      </c>
      <c r="Z228" s="17" t="s">
        <v>1855</v>
      </c>
      <c r="AA228" s="17" t="s">
        <v>1856</v>
      </c>
      <c r="AB228" s="17" t="s">
        <v>140</v>
      </c>
      <c r="AC228" s="17" t="s">
        <v>145</v>
      </c>
    </row>
    <row r="229" spans="1:29" ht="13.9">
      <c r="A229" s="17" t="s">
        <v>52</v>
      </c>
      <c r="B229" s="17" t="s">
        <v>153</v>
      </c>
      <c r="C229" s="17" t="s">
        <v>74</v>
      </c>
      <c r="D229" s="17" t="s">
        <v>164</v>
      </c>
      <c r="E229" s="17" t="s">
        <v>1604</v>
      </c>
      <c r="F229" s="17" t="s">
        <v>165</v>
      </c>
      <c r="G229" s="17"/>
      <c r="H229" s="17" t="s">
        <v>133</v>
      </c>
      <c r="I229" s="17" t="s">
        <v>1078</v>
      </c>
      <c r="J229" s="17">
        <f t="shared" si="5"/>
        <v>342499</v>
      </c>
      <c r="K229" s="17">
        <v>36</v>
      </c>
      <c r="L229" s="17">
        <v>49078</v>
      </c>
      <c r="M229" s="17">
        <v>293421</v>
      </c>
      <c r="N229" s="17" t="s">
        <v>97</v>
      </c>
      <c r="O229" s="17" t="s">
        <v>98</v>
      </c>
      <c r="P229" s="17" t="s">
        <v>79</v>
      </c>
      <c r="Q229" s="17" t="s">
        <v>1864</v>
      </c>
      <c r="R229" s="17" t="s">
        <v>1865</v>
      </c>
      <c r="S229" s="17" t="s">
        <v>1165</v>
      </c>
      <c r="T229" s="17" t="s">
        <v>79</v>
      </c>
      <c r="U229" s="17">
        <v>0.48399999999999999</v>
      </c>
      <c r="V229" s="17" t="s">
        <v>1866</v>
      </c>
      <c r="W229" s="17" t="s">
        <v>1867</v>
      </c>
      <c r="X229" s="17" t="s">
        <v>1868</v>
      </c>
      <c r="Y229" s="17" t="s">
        <v>1869</v>
      </c>
      <c r="Z229" s="17" t="s">
        <v>1870</v>
      </c>
      <c r="AA229" s="17" t="s">
        <v>1871</v>
      </c>
      <c r="AB229" s="17" t="s">
        <v>140</v>
      </c>
      <c r="AC229" s="17" t="s">
        <v>145</v>
      </c>
    </row>
    <row r="230" spans="1:29" ht="13.9">
      <c r="A230" s="17" t="s">
        <v>52</v>
      </c>
      <c r="B230" s="17" t="s">
        <v>153</v>
      </c>
      <c r="C230" s="17" t="s">
        <v>74</v>
      </c>
      <c r="D230" s="17" t="s">
        <v>164</v>
      </c>
      <c r="E230" s="17" t="s">
        <v>1834</v>
      </c>
      <c r="F230" s="17" t="s">
        <v>165</v>
      </c>
      <c r="G230" s="17"/>
      <c r="H230" s="17" t="s">
        <v>133</v>
      </c>
      <c r="I230" s="17" t="s">
        <v>1078</v>
      </c>
      <c r="J230" s="17">
        <f t="shared" si="5"/>
        <v>285244</v>
      </c>
      <c r="K230" s="17">
        <v>36</v>
      </c>
      <c r="L230" s="17">
        <v>1655</v>
      </c>
      <c r="M230" s="17">
        <v>283589</v>
      </c>
      <c r="N230" s="17" t="s">
        <v>97</v>
      </c>
      <c r="O230" s="17" t="s">
        <v>98</v>
      </c>
      <c r="P230" s="17" t="s">
        <v>79</v>
      </c>
      <c r="Q230" s="17" t="s">
        <v>1872</v>
      </c>
      <c r="R230" s="17" t="s">
        <v>1874</v>
      </c>
      <c r="S230" s="17" t="s">
        <v>1165</v>
      </c>
      <c r="T230" s="17" t="s">
        <v>79</v>
      </c>
      <c r="U230" s="17">
        <v>0.92100000000000004</v>
      </c>
      <c r="V230" s="17" t="s">
        <v>1875</v>
      </c>
      <c r="W230" s="17" t="s">
        <v>1876</v>
      </c>
      <c r="X230" s="17" t="s">
        <v>682</v>
      </c>
      <c r="Y230" s="17" t="s">
        <v>1877</v>
      </c>
      <c r="Z230" s="17" t="s">
        <v>1879</v>
      </c>
      <c r="AA230" s="17" t="s">
        <v>1610</v>
      </c>
      <c r="AB230" s="17" t="s">
        <v>140</v>
      </c>
      <c r="AC230" s="17" t="s">
        <v>145</v>
      </c>
    </row>
    <row r="231" spans="1:29" ht="13.9">
      <c r="A231" s="5" t="s">
        <v>52</v>
      </c>
      <c r="B231" s="5" t="s">
        <v>63</v>
      </c>
      <c r="C231" s="5" t="s">
        <v>74</v>
      </c>
      <c r="D231" s="5" t="s">
        <v>164</v>
      </c>
      <c r="E231" s="5" t="s">
        <v>883</v>
      </c>
      <c r="F231" s="5" t="s">
        <v>165</v>
      </c>
      <c r="G231" s="5" t="s">
        <v>884</v>
      </c>
      <c r="H231" s="5" t="s">
        <v>133</v>
      </c>
      <c r="I231" s="5" t="s">
        <v>218</v>
      </c>
      <c r="J231" s="89">
        <v>342499</v>
      </c>
      <c r="K231" s="5">
        <v>24</v>
      </c>
      <c r="L231" s="89">
        <v>7759</v>
      </c>
      <c r="M231" s="89">
        <v>334740</v>
      </c>
      <c r="N231" s="5" t="s">
        <v>79</v>
      </c>
      <c r="O231" s="5" t="s">
        <v>98</v>
      </c>
      <c r="P231" s="5" t="s">
        <v>79</v>
      </c>
      <c r="Q231" s="5">
        <v>4.09</v>
      </c>
      <c r="R231" s="5" t="s">
        <v>1880</v>
      </c>
      <c r="S231" s="5" t="s">
        <v>1881</v>
      </c>
      <c r="T231" s="5" t="s">
        <v>79</v>
      </c>
      <c r="U231" s="5">
        <v>0.878</v>
      </c>
      <c r="V231" s="5">
        <v>2.68</v>
      </c>
      <c r="W231" s="5" t="s">
        <v>1882</v>
      </c>
      <c r="X231" s="5">
        <v>3.1E-2</v>
      </c>
      <c r="Y231" s="5">
        <v>6.65</v>
      </c>
      <c r="Z231" s="5" t="s">
        <v>1883</v>
      </c>
      <c r="AA231" s="5">
        <v>0.36299999999999999</v>
      </c>
      <c r="AB231" s="5" t="s">
        <v>140</v>
      </c>
      <c r="AC231" s="5" t="s">
        <v>112</v>
      </c>
    </row>
    <row r="232" spans="1:29" ht="13.9">
      <c r="A232" s="5" t="s">
        <v>52</v>
      </c>
      <c r="B232" s="5" t="s">
        <v>63</v>
      </c>
      <c r="C232" s="5" t="s">
        <v>74</v>
      </c>
      <c r="D232" s="5" t="s">
        <v>75</v>
      </c>
      <c r="E232" s="5" t="s">
        <v>883</v>
      </c>
      <c r="F232" s="5" t="s">
        <v>113</v>
      </c>
      <c r="G232" s="5" t="s">
        <v>884</v>
      </c>
      <c r="H232" s="5" t="s">
        <v>133</v>
      </c>
      <c r="I232" s="5" t="s">
        <v>218</v>
      </c>
      <c r="J232" s="89">
        <v>342499</v>
      </c>
      <c r="K232" s="5">
        <v>38</v>
      </c>
      <c r="L232" s="89">
        <v>7759</v>
      </c>
      <c r="M232" s="89">
        <v>334740</v>
      </c>
      <c r="N232" s="5" t="s">
        <v>79</v>
      </c>
      <c r="O232" s="5" t="s">
        <v>98</v>
      </c>
      <c r="P232" s="5" t="s">
        <v>79</v>
      </c>
      <c r="Q232" s="5">
        <v>0.97</v>
      </c>
      <c r="R232" s="5" t="s">
        <v>885</v>
      </c>
      <c r="S232" s="5">
        <v>0.93899999999999995</v>
      </c>
      <c r="T232" s="5" t="s">
        <v>79</v>
      </c>
      <c r="U232" s="5">
        <v>0.58199999999999996</v>
      </c>
      <c r="V232" s="5">
        <v>0.74</v>
      </c>
      <c r="W232" s="5" t="s">
        <v>887</v>
      </c>
      <c r="X232" s="5">
        <v>0.55400000000000005</v>
      </c>
      <c r="Y232" s="5">
        <v>0.26</v>
      </c>
      <c r="Z232" s="5" t="s">
        <v>889</v>
      </c>
      <c r="AA232" s="107">
        <v>0.26</v>
      </c>
      <c r="AB232" s="5" t="s">
        <v>140</v>
      </c>
      <c r="AC232" s="5" t="s">
        <v>112</v>
      </c>
    </row>
    <row r="233" spans="1:29" ht="13.9">
      <c r="A233" s="110" t="s">
        <v>70</v>
      </c>
      <c r="B233" s="110" t="s">
        <v>19</v>
      </c>
      <c r="C233" s="110" t="s">
        <v>74</v>
      </c>
      <c r="D233" s="110" t="s">
        <v>246</v>
      </c>
      <c r="E233" s="110" t="s">
        <v>1630</v>
      </c>
      <c r="F233" s="110" t="s">
        <v>248</v>
      </c>
      <c r="G233" s="110" t="s">
        <v>1632</v>
      </c>
      <c r="H233" s="110" t="s">
        <v>133</v>
      </c>
      <c r="I233" s="110" t="s">
        <v>218</v>
      </c>
      <c r="J233" s="111">
        <v>341725</v>
      </c>
      <c r="K233" s="110">
        <v>12</v>
      </c>
      <c r="L233" s="110">
        <v>8597</v>
      </c>
      <c r="M233" s="111">
        <f t="shared" ref="M233:M240" si="6">J233-L233</f>
        <v>333128</v>
      </c>
      <c r="N233" s="110" t="s">
        <v>97</v>
      </c>
      <c r="O233" s="110" t="s">
        <v>98</v>
      </c>
      <c r="P233" s="110">
        <v>17.286300000000001</v>
      </c>
      <c r="Q233" s="110">
        <v>0.97899999999999998</v>
      </c>
      <c r="R233" s="110" t="s">
        <v>1888</v>
      </c>
      <c r="S233" s="110">
        <v>0.97099999999999997</v>
      </c>
      <c r="T233" s="110">
        <v>34.570599999999999</v>
      </c>
      <c r="U233" s="110">
        <v>4.5500000000000002E-3</v>
      </c>
      <c r="V233" s="145">
        <v>0.68300000000000005</v>
      </c>
      <c r="W233" s="110" t="s">
        <v>1889</v>
      </c>
      <c r="X233" s="110">
        <v>0.52100000000000002</v>
      </c>
      <c r="Y233" s="110">
        <v>0.11600000000000001</v>
      </c>
      <c r="Z233" s="110" t="s">
        <v>1890</v>
      </c>
      <c r="AA233" s="110">
        <v>0.747</v>
      </c>
      <c r="AB233" s="110" t="s">
        <v>109</v>
      </c>
      <c r="AC233" s="110" t="s">
        <v>145</v>
      </c>
    </row>
    <row r="234" spans="1:29" ht="13.9">
      <c r="A234" s="110" t="s">
        <v>70</v>
      </c>
      <c r="B234" s="110" t="s">
        <v>19</v>
      </c>
      <c r="C234" s="110" t="s">
        <v>74</v>
      </c>
      <c r="D234" s="110" t="s">
        <v>246</v>
      </c>
      <c r="E234" s="110" t="s">
        <v>1697</v>
      </c>
      <c r="F234" s="110" t="s">
        <v>248</v>
      </c>
      <c r="G234" s="110" t="s">
        <v>1698</v>
      </c>
      <c r="H234" s="110" t="s">
        <v>133</v>
      </c>
      <c r="I234" s="110" t="s">
        <v>218</v>
      </c>
      <c r="J234" s="111">
        <v>334352</v>
      </c>
      <c r="K234" s="110">
        <v>12</v>
      </c>
      <c r="L234" s="110">
        <v>1224</v>
      </c>
      <c r="M234" s="111">
        <f t="shared" si="6"/>
        <v>333128</v>
      </c>
      <c r="N234" s="110" t="s">
        <v>97</v>
      </c>
      <c r="O234" s="110" t="s">
        <v>98</v>
      </c>
      <c r="P234" s="110">
        <v>17.286300000000001</v>
      </c>
      <c r="Q234" s="110">
        <v>0.28699999999999998</v>
      </c>
      <c r="R234" s="110" t="s">
        <v>1893</v>
      </c>
      <c r="S234" s="110">
        <v>0.22800000000000001</v>
      </c>
      <c r="T234" s="110">
        <v>11.5946</v>
      </c>
      <c r="U234" s="110">
        <v>0.77137999999999995</v>
      </c>
      <c r="V234" s="110">
        <v>0.13600000000000001</v>
      </c>
      <c r="W234" s="110" t="s">
        <v>1894</v>
      </c>
      <c r="X234" s="110">
        <v>0.17</v>
      </c>
      <c r="Y234" s="110">
        <v>0.89400000000000002</v>
      </c>
      <c r="Z234" s="110" t="s">
        <v>1895</v>
      </c>
      <c r="AA234" s="110">
        <v>0.99199999999999999</v>
      </c>
      <c r="AB234" s="110" t="s">
        <v>109</v>
      </c>
      <c r="AC234" s="110" t="s">
        <v>145</v>
      </c>
    </row>
    <row r="235" spans="1:29" ht="13.9">
      <c r="A235" s="110" t="s">
        <v>70</v>
      </c>
      <c r="B235" s="110" t="s">
        <v>19</v>
      </c>
      <c r="C235" s="110" t="s">
        <v>74</v>
      </c>
      <c r="D235" s="110" t="s">
        <v>622</v>
      </c>
      <c r="E235" s="110" t="s">
        <v>1630</v>
      </c>
      <c r="F235" s="110" t="s">
        <v>215</v>
      </c>
      <c r="G235" s="110" t="s">
        <v>1632</v>
      </c>
      <c r="H235" s="110" t="s">
        <v>133</v>
      </c>
      <c r="I235" s="110" t="s">
        <v>218</v>
      </c>
      <c r="J235" s="111">
        <v>341725</v>
      </c>
      <c r="K235" s="110">
        <v>9</v>
      </c>
      <c r="L235" s="110">
        <v>8597</v>
      </c>
      <c r="M235" s="111">
        <f t="shared" si="6"/>
        <v>333128</v>
      </c>
      <c r="N235" s="110" t="s">
        <v>97</v>
      </c>
      <c r="O235" s="110" t="s">
        <v>98</v>
      </c>
      <c r="P235" s="110">
        <v>14.9826</v>
      </c>
      <c r="Q235" s="110">
        <v>0.99</v>
      </c>
      <c r="R235" s="110" t="s">
        <v>1896</v>
      </c>
      <c r="S235" s="110">
        <v>0.98699999999999999</v>
      </c>
      <c r="T235" s="146">
        <v>49.825000000000003</v>
      </c>
      <c r="U235" s="110">
        <v>2.0000000000000001E-4</v>
      </c>
      <c r="V235" s="110">
        <v>0.36699999999999999</v>
      </c>
      <c r="W235" s="110" t="s">
        <v>1899</v>
      </c>
      <c r="X235" s="110">
        <v>0.14599999999999999</v>
      </c>
      <c r="Y235" s="110">
        <v>1.883</v>
      </c>
      <c r="Z235" s="110" t="s">
        <v>1900</v>
      </c>
      <c r="AA235" s="110">
        <v>0.83899999999999997</v>
      </c>
      <c r="AB235" s="110" t="s">
        <v>109</v>
      </c>
      <c r="AC235" s="110" t="s">
        <v>145</v>
      </c>
    </row>
    <row r="236" spans="1:29" ht="13.9">
      <c r="A236" s="110" t="s">
        <v>70</v>
      </c>
      <c r="B236" s="110" t="s">
        <v>19</v>
      </c>
      <c r="C236" s="110" t="s">
        <v>74</v>
      </c>
      <c r="D236" s="110" t="s">
        <v>622</v>
      </c>
      <c r="E236" s="110" t="s">
        <v>1697</v>
      </c>
      <c r="F236" s="110" t="s">
        <v>215</v>
      </c>
      <c r="G236" s="110" t="s">
        <v>1698</v>
      </c>
      <c r="H236" s="110" t="s">
        <v>133</v>
      </c>
      <c r="I236" s="110" t="s">
        <v>218</v>
      </c>
      <c r="J236" s="111">
        <v>334352</v>
      </c>
      <c r="K236" s="110">
        <v>9</v>
      </c>
      <c r="L236" s="110">
        <v>1224</v>
      </c>
      <c r="M236" s="111">
        <f t="shared" si="6"/>
        <v>333128</v>
      </c>
      <c r="N236" s="110" t="s">
        <v>97</v>
      </c>
      <c r="O236" s="110" t="s">
        <v>98</v>
      </c>
      <c r="P236" s="110">
        <v>14.9826</v>
      </c>
      <c r="Q236" s="110">
        <v>5.3369999999999997</v>
      </c>
      <c r="R236" s="110" t="s">
        <v>1901</v>
      </c>
      <c r="S236" s="110">
        <v>0.23599999999999999</v>
      </c>
      <c r="T236" s="146">
        <v>33.582999999999998</v>
      </c>
      <c r="U236" s="110">
        <v>2.9100000000000001E-2</v>
      </c>
      <c r="V236" s="110">
        <v>0.871</v>
      </c>
      <c r="W236" s="110" t="s">
        <v>1902</v>
      </c>
      <c r="X236" s="110">
        <v>0.93600000000000005</v>
      </c>
      <c r="Y236" s="110">
        <v>3.6709999999999998</v>
      </c>
      <c r="Z236" s="110" t="s">
        <v>1903</v>
      </c>
      <c r="AA236" s="110">
        <v>0.84599999999999997</v>
      </c>
      <c r="AB236" s="110" t="s">
        <v>109</v>
      </c>
      <c r="AC236" s="110" t="s">
        <v>145</v>
      </c>
    </row>
    <row r="237" spans="1:29" ht="13.9">
      <c r="A237" s="110" t="s">
        <v>70</v>
      </c>
      <c r="B237" s="110" t="s">
        <v>19</v>
      </c>
      <c r="C237" s="110" t="s">
        <v>74</v>
      </c>
      <c r="D237" s="110" t="s">
        <v>164</v>
      </c>
      <c r="E237" s="110" t="s">
        <v>1630</v>
      </c>
      <c r="F237" s="110" t="s">
        <v>165</v>
      </c>
      <c r="G237" s="110" t="s">
        <v>1632</v>
      </c>
      <c r="H237" s="110" t="s">
        <v>133</v>
      </c>
      <c r="I237" s="110" t="s">
        <v>218</v>
      </c>
      <c r="J237" s="111">
        <v>341725</v>
      </c>
      <c r="K237" s="110">
        <v>30</v>
      </c>
      <c r="L237" s="110">
        <v>8597</v>
      </c>
      <c r="M237" s="111">
        <f t="shared" si="6"/>
        <v>333128</v>
      </c>
      <c r="N237" s="110" t="s">
        <v>97</v>
      </c>
      <c r="O237" s="110" t="s">
        <v>98</v>
      </c>
      <c r="P237" s="110">
        <v>15.7614</v>
      </c>
      <c r="Q237" s="110">
        <v>0.72099999999999997</v>
      </c>
      <c r="R237" s="110" t="s">
        <v>1906</v>
      </c>
      <c r="S237" s="110">
        <v>0.22800000000000001</v>
      </c>
      <c r="T237" s="110">
        <v>70.743099999999998</v>
      </c>
      <c r="U237" s="110">
        <v>6.45E-3</v>
      </c>
      <c r="V237" s="110">
        <v>1.018</v>
      </c>
      <c r="W237" s="110" t="s">
        <v>1907</v>
      </c>
      <c r="X237" s="110">
        <v>0.95599999999999996</v>
      </c>
      <c r="Y237" s="110">
        <v>5.8999999999999997E-2</v>
      </c>
      <c r="Z237" s="110" t="s">
        <v>1908</v>
      </c>
      <c r="AA237" s="110">
        <v>2.1999999999999999E-2</v>
      </c>
      <c r="AB237" s="110" t="s">
        <v>109</v>
      </c>
      <c r="AC237" s="110" t="s">
        <v>145</v>
      </c>
    </row>
    <row r="238" spans="1:29" ht="13.9">
      <c r="A238" s="110" t="s">
        <v>70</v>
      </c>
      <c r="B238" s="110" t="s">
        <v>19</v>
      </c>
      <c r="C238" s="110" t="s">
        <v>74</v>
      </c>
      <c r="D238" s="110" t="s">
        <v>164</v>
      </c>
      <c r="E238" s="110" t="s">
        <v>1697</v>
      </c>
      <c r="F238" s="110" t="s">
        <v>165</v>
      </c>
      <c r="G238" s="110" t="s">
        <v>1698</v>
      </c>
      <c r="H238" s="110" t="s">
        <v>133</v>
      </c>
      <c r="I238" s="110" t="s">
        <v>218</v>
      </c>
      <c r="J238" s="111">
        <v>334352</v>
      </c>
      <c r="K238" s="110">
        <v>30</v>
      </c>
      <c r="L238" s="110">
        <v>1224</v>
      </c>
      <c r="M238" s="111">
        <f t="shared" si="6"/>
        <v>333128</v>
      </c>
      <c r="N238" s="110" t="s">
        <v>97</v>
      </c>
      <c r="O238" s="110" t="s">
        <v>98</v>
      </c>
      <c r="P238" s="110">
        <v>15.7614</v>
      </c>
      <c r="Q238" s="110">
        <v>0.72199999999999998</v>
      </c>
      <c r="R238" s="110" t="s">
        <v>1909</v>
      </c>
      <c r="S238" s="110">
        <v>0.63300000000000001</v>
      </c>
      <c r="T238" s="110">
        <v>65.641999999999996</v>
      </c>
      <c r="U238" s="110">
        <v>1.882E-2</v>
      </c>
      <c r="V238" s="110">
        <v>0.78500000000000003</v>
      </c>
      <c r="W238" s="110" t="s">
        <v>1912</v>
      </c>
      <c r="X238" s="110">
        <v>0.77600000000000002</v>
      </c>
      <c r="Y238" s="110">
        <v>4.0000000000000001E-3</v>
      </c>
      <c r="Z238" s="110" t="s">
        <v>1913</v>
      </c>
      <c r="AA238" s="110">
        <v>7.8E-2</v>
      </c>
      <c r="AB238" s="110" t="s">
        <v>109</v>
      </c>
      <c r="AC238" s="110" t="s">
        <v>145</v>
      </c>
    </row>
    <row r="239" spans="1:29" ht="13.9">
      <c r="A239" s="110" t="s">
        <v>70</v>
      </c>
      <c r="B239" s="110" t="s">
        <v>19</v>
      </c>
      <c r="C239" s="110" t="s">
        <v>74</v>
      </c>
      <c r="D239" s="110" t="s">
        <v>75</v>
      </c>
      <c r="E239" s="110" t="s">
        <v>1630</v>
      </c>
      <c r="F239" s="110" t="s">
        <v>113</v>
      </c>
      <c r="G239" s="110" t="s">
        <v>1632</v>
      </c>
      <c r="H239" s="110" t="s">
        <v>133</v>
      </c>
      <c r="I239" s="110" t="s">
        <v>218</v>
      </c>
      <c r="J239" s="111">
        <v>341725</v>
      </c>
      <c r="K239" s="110">
        <v>38</v>
      </c>
      <c r="L239" s="110">
        <v>8597</v>
      </c>
      <c r="M239" s="111">
        <f t="shared" si="6"/>
        <v>333128</v>
      </c>
      <c r="N239" s="110" t="s">
        <v>97</v>
      </c>
      <c r="O239" s="110" t="s">
        <v>98</v>
      </c>
      <c r="P239" s="110">
        <v>19.537700000000001</v>
      </c>
      <c r="Q239" s="110">
        <v>0.35799999999999998</v>
      </c>
      <c r="R239" s="110" t="s">
        <v>1633</v>
      </c>
      <c r="S239" s="110">
        <v>2E-3</v>
      </c>
      <c r="T239" s="110">
        <v>103.4684</v>
      </c>
      <c r="U239" s="110">
        <v>1.6000000000000001E-4</v>
      </c>
      <c r="V239" s="110">
        <v>0.29499999999999998</v>
      </c>
      <c r="W239" s="110" t="s">
        <v>1635</v>
      </c>
      <c r="X239" s="110">
        <v>2E-3</v>
      </c>
      <c r="Y239" s="110">
        <v>0.104</v>
      </c>
      <c r="Z239" s="110" t="s">
        <v>1636</v>
      </c>
      <c r="AA239" s="110">
        <v>6.3E-2</v>
      </c>
      <c r="AB239" s="110" t="s">
        <v>109</v>
      </c>
      <c r="AC239" s="110" t="s">
        <v>145</v>
      </c>
    </row>
    <row r="240" spans="1:29" ht="13.9">
      <c r="A240" s="110" t="s">
        <v>70</v>
      </c>
      <c r="B240" s="110" t="s">
        <v>19</v>
      </c>
      <c r="C240" s="110" t="s">
        <v>74</v>
      </c>
      <c r="D240" s="110" t="s">
        <v>75</v>
      </c>
      <c r="E240" s="110" t="s">
        <v>1697</v>
      </c>
      <c r="F240" s="110" t="s">
        <v>113</v>
      </c>
      <c r="G240" s="110" t="s">
        <v>1698</v>
      </c>
      <c r="H240" s="110" t="s">
        <v>133</v>
      </c>
      <c r="I240" s="110" t="s">
        <v>218</v>
      </c>
      <c r="J240" s="111">
        <v>334352</v>
      </c>
      <c r="K240" s="110">
        <v>38</v>
      </c>
      <c r="L240" s="110">
        <v>1224</v>
      </c>
      <c r="M240" s="111">
        <f t="shared" si="6"/>
        <v>333128</v>
      </c>
      <c r="N240" s="110" t="s">
        <v>97</v>
      </c>
      <c r="O240" s="110" t="s">
        <v>98</v>
      </c>
      <c r="P240" s="110">
        <v>19.537700000000001</v>
      </c>
      <c r="Q240" s="110">
        <v>0.247</v>
      </c>
      <c r="R240" s="110" t="s">
        <v>1702</v>
      </c>
      <c r="S240" s="110">
        <v>3.2000000000000001E-2</v>
      </c>
      <c r="T240" s="110">
        <v>53.109000000000002</v>
      </c>
      <c r="U240" s="110">
        <v>0.62180000000000002</v>
      </c>
      <c r="V240" s="110">
        <v>0.126</v>
      </c>
      <c r="W240" s="110" t="s">
        <v>1703</v>
      </c>
      <c r="X240" s="110">
        <v>3.4000000000000002E-2</v>
      </c>
      <c r="Y240" s="110">
        <v>6.0000000000000001E-3</v>
      </c>
      <c r="Z240" s="110" t="s">
        <v>1704</v>
      </c>
      <c r="AA240" s="110">
        <v>3.3000000000000002E-2</v>
      </c>
      <c r="AB240" s="110" t="s">
        <v>109</v>
      </c>
      <c r="AC240" s="110" t="s">
        <v>145</v>
      </c>
    </row>
    <row r="241" spans="1:29" ht="13.9">
      <c r="A241" s="66" t="s">
        <v>1585</v>
      </c>
      <c r="B241" s="66" t="s">
        <v>156</v>
      </c>
      <c r="C241" s="66" t="s">
        <v>74</v>
      </c>
      <c r="D241" s="66" t="s">
        <v>164</v>
      </c>
      <c r="E241" s="66" t="s">
        <v>477</v>
      </c>
      <c r="F241" s="66" t="s">
        <v>165</v>
      </c>
      <c r="G241" s="66" t="s">
        <v>1680</v>
      </c>
      <c r="H241" s="66" t="s">
        <v>133</v>
      </c>
      <c r="I241" s="66" t="s">
        <v>218</v>
      </c>
      <c r="J241" s="66">
        <v>177860</v>
      </c>
      <c r="K241" s="66">
        <v>41</v>
      </c>
      <c r="L241" s="66">
        <v>13178</v>
      </c>
      <c r="M241" s="66">
        <v>164682</v>
      </c>
      <c r="N241" s="66" t="s">
        <v>97</v>
      </c>
      <c r="O241" s="66" t="s">
        <v>98</v>
      </c>
      <c r="P241" s="66" t="s">
        <v>79</v>
      </c>
      <c r="Q241" s="66">
        <v>0.43</v>
      </c>
      <c r="R241" s="66" t="s">
        <v>1726</v>
      </c>
      <c r="S241" s="66">
        <v>8.0000000000000007E-5</v>
      </c>
      <c r="T241" s="66">
        <v>48.75</v>
      </c>
      <c r="U241" s="66">
        <v>0.16</v>
      </c>
      <c r="V241" s="66" t="s">
        <v>934</v>
      </c>
      <c r="W241" s="66" t="s">
        <v>1727</v>
      </c>
      <c r="X241" s="66" t="s">
        <v>1728</v>
      </c>
      <c r="Y241" s="66" t="s">
        <v>1729</v>
      </c>
      <c r="Z241" s="66" t="s">
        <v>1730</v>
      </c>
      <c r="AA241" s="66" t="s">
        <v>1731</v>
      </c>
      <c r="AB241" s="66" t="s">
        <v>109</v>
      </c>
      <c r="AC241" s="66" t="s">
        <v>155</v>
      </c>
    </row>
    <row r="242" spans="1:29" ht="13.9">
      <c r="A242" s="9" t="s">
        <v>1585</v>
      </c>
      <c r="B242" s="9" t="s">
        <v>156</v>
      </c>
      <c r="C242" s="9" t="s">
        <v>74</v>
      </c>
      <c r="D242" s="9" t="s">
        <v>246</v>
      </c>
      <c r="E242" s="9" t="s">
        <v>477</v>
      </c>
      <c r="F242" s="9" t="s">
        <v>248</v>
      </c>
      <c r="G242" s="9" t="s">
        <v>1680</v>
      </c>
      <c r="H242" s="9" t="s">
        <v>133</v>
      </c>
      <c r="I242" s="9" t="s">
        <v>218</v>
      </c>
      <c r="J242" s="9">
        <v>177860</v>
      </c>
      <c r="K242" s="9">
        <v>17</v>
      </c>
      <c r="L242" s="9">
        <v>13178</v>
      </c>
      <c r="M242" s="9">
        <v>164682</v>
      </c>
      <c r="N242" s="9" t="s">
        <v>97</v>
      </c>
      <c r="O242" s="9" t="s">
        <v>98</v>
      </c>
      <c r="P242" s="9" t="s">
        <v>79</v>
      </c>
      <c r="Q242" s="9">
        <v>1.82</v>
      </c>
      <c r="R242" s="9" t="s">
        <v>1924</v>
      </c>
      <c r="S242" s="9">
        <v>0.1</v>
      </c>
      <c r="T242" s="9">
        <v>17.22</v>
      </c>
      <c r="U242" s="9">
        <v>0.37</v>
      </c>
      <c r="V242" s="9">
        <v>2.21</v>
      </c>
      <c r="W242" s="9" t="s">
        <v>1925</v>
      </c>
      <c r="X242" s="9">
        <v>0.1</v>
      </c>
      <c r="Y242" s="9">
        <v>402.69</v>
      </c>
      <c r="Z242" s="9" t="s">
        <v>1926</v>
      </c>
      <c r="AA242" s="9">
        <v>0.14000000000000001</v>
      </c>
      <c r="AB242" s="9" t="s">
        <v>109</v>
      </c>
      <c r="AC242" s="9" t="s">
        <v>155</v>
      </c>
    </row>
    <row r="243" spans="1:29" ht="13.9">
      <c r="A243" s="9" t="s">
        <v>1585</v>
      </c>
      <c r="B243" s="9" t="s">
        <v>156</v>
      </c>
      <c r="C243" s="9" t="s">
        <v>74</v>
      </c>
      <c r="D243" s="9" t="s">
        <v>622</v>
      </c>
      <c r="E243" s="9" t="s">
        <v>477</v>
      </c>
      <c r="F243" s="9" t="s">
        <v>215</v>
      </c>
      <c r="G243" s="9" t="s">
        <v>1680</v>
      </c>
      <c r="H243" s="9" t="s">
        <v>133</v>
      </c>
      <c r="I243" s="9" t="s">
        <v>218</v>
      </c>
      <c r="J243" s="9">
        <v>177860</v>
      </c>
      <c r="K243" s="9">
        <v>19</v>
      </c>
      <c r="L243" s="9">
        <v>13178</v>
      </c>
      <c r="M243" s="9">
        <v>164682</v>
      </c>
      <c r="N243" s="9" t="s">
        <v>97</v>
      </c>
      <c r="O243" s="9" t="s">
        <v>98</v>
      </c>
      <c r="P243" s="9" t="s">
        <v>79</v>
      </c>
      <c r="Q243" s="9">
        <v>0.74</v>
      </c>
      <c r="R243" s="9" t="s">
        <v>1935</v>
      </c>
      <c r="S243" s="9">
        <v>0.53</v>
      </c>
      <c r="T243" s="9">
        <v>27.87</v>
      </c>
      <c r="U243" s="9">
        <v>0.06</v>
      </c>
      <c r="V243" s="9">
        <v>1.04</v>
      </c>
      <c r="W243" s="9" t="s">
        <v>1936</v>
      </c>
      <c r="X243" s="9">
        <v>0.95</v>
      </c>
      <c r="Y243" s="9">
        <v>0.91</v>
      </c>
      <c r="Z243" s="9" t="s">
        <v>1937</v>
      </c>
      <c r="AA243" s="9">
        <v>0.97</v>
      </c>
      <c r="AB243" s="9" t="s">
        <v>109</v>
      </c>
      <c r="AC243" s="9" t="s">
        <v>155</v>
      </c>
    </row>
    <row r="244" spans="1:29" ht="13.9">
      <c r="A244" s="9" t="s">
        <v>52</v>
      </c>
      <c r="B244" s="9" t="s">
        <v>160</v>
      </c>
      <c r="C244" s="9" t="s">
        <v>74</v>
      </c>
      <c r="D244" s="9" t="s">
        <v>246</v>
      </c>
      <c r="E244" s="9" t="s">
        <v>496</v>
      </c>
      <c r="F244" s="9" t="s">
        <v>248</v>
      </c>
      <c r="G244" s="9" t="s">
        <v>79</v>
      </c>
      <c r="H244" s="9" t="s">
        <v>133</v>
      </c>
      <c r="I244" s="9" t="s">
        <v>133</v>
      </c>
      <c r="J244" s="9" t="s">
        <v>79</v>
      </c>
      <c r="K244" s="9">
        <v>15</v>
      </c>
      <c r="L244" s="9" t="s">
        <v>79</v>
      </c>
      <c r="M244" s="9" t="s">
        <v>79</v>
      </c>
      <c r="N244" s="9" t="s">
        <v>97</v>
      </c>
      <c r="O244" s="9" t="s">
        <v>98</v>
      </c>
      <c r="P244" s="9" t="s">
        <v>79</v>
      </c>
      <c r="Q244" s="9">
        <v>0.99</v>
      </c>
      <c r="R244" s="9" t="s">
        <v>1942</v>
      </c>
      <c r="S244" s="9">
        <v>6.0000000000000001E-3</v>
      </c>
      <c r="T244" s="9">
        <v>10.212</v>
      </c>
      <c r="U244" s="9">
        <v>0.14699999999999999</v>
      </c>
      <c r="V244" s="9">
        <v>0.98699999999999999</v>
      </c>
      <c r="W244" s="9" t="s">
        <v>1943</v>
      </c>
      <c r="X244" s="9">
        <v>1.4999999999999999E-2</v>
      </c>
      <c r="Y244" s="9">
        <v>0.98499999999999999</v>
      </c>
      <c r="Z244" s="9" t="s">
        <v>1944</v>
      </c>
      <c r="AA244" s="9">
        <v>0.72799999999999998</v>
      </c>
      <c r="AB244" s="9" t="s">
        <v>109</v>
      </c>
      <c r="AC244" s="9" t="s">
        <v>145</v>
      </c>
    </row>
    <row r="245" spans="1:29" ht="13.9">
      <c r="A245" s="9" t="s">
        <v>52</v>
      </c>
      <c r="B245" s="9" t="s">
        <v>160</v>
      </c>
      <c r="C245" s="9" t="s">
        <v>74</v>
      </c>
      <c r="D245" s="9" t="s">
        <v>622</v>
      </c>
      <c r="E245" s="9" t="s">
        <v>496</v>
      </c>
      <c r="F245" s="9" t="s">
        <v>215</v>
      </c>
      <c r="G245" s="9" t="s">
        <v>79</v>
      </c>
      <c r="H245" s="9" t="s">
        <v>133</v>
      </c>
      <c r="I245" s="9" t="s">
        <v>133</v>
      </c>
      <c r="J245" s="9" t="s">
        <v>79</v>
      </c>
      <c r="K245" s="9">
        <v>11</v>
      </c>
      <c r="L245" s="9" t="s">
        <v>79</v>
      </c>
      <c r="M245" s="9" t="s">
        <v>79</v>
      </c>
      <c r="N245" s="9" t="s">
        <v>97</v>
      </c>
      <c r="O245" s="9" t="s">
        <v>98</v>
      </c>
      <c r="P245" s="9" t="s">
        <v>79</v>
      </c>
      <c r="Q245" s="9">
        <v>0.997</v>
      </c>
      <c r="R245" s="9" t="s">
        <v>1948</v>
      </c>
      <c r="S245" s="9">
        <v>0.53700000000000003</v>
      </c>
      <c r="T245" s="9">
        <v>12.48</v>
      </c>
      <c r="U245" s="9">
        <v>0.188</v>
      </c>
      <c r="V245" s="9">
        <v>0.995</v>
      </c>
      <c r="W245" s="9" t="s">
        <v>1950</v>
      </c>
      <c r="X245" s="9">
        <v>0.46200000000000002</v>
      </c>
      <c r="Y245" s="9">
        <v>1.022</v>
      </c>
      <c r="Z245" s="9" t="s">
        <v>1951</v>
      </c>
      <c r="AA245" s="9">
        <v>0.623</v>
      </c>
      <c r="AB245" s="9" t="s">
        <v>109</v>
      </c>
      <c r="AC245" s="9" t="s">
        <v>145</v>
      </c>
    </row>
    <row r="246" spans="1:29" ht="13.9">
      <c r="A246" s="66" t="s">
        <v>52</v>
      </c>
      <c r="B246" s="66" t="s">
        <v>160</v>
      </c>
      <c r="C246" s="66" t="s">
        <v>74</v>
      </c>
      <c r="D246" s="66" t="s">
        <v>164</v>
      </c>
      <c r="E246" s="66" t="s">
        <v>496</v>
      </c>
      <c r="F246" s="66" t="s">
        <v>165</v>
      </c>
      <c r="G246" s="66" t="s">
        <v>79</v>
      </c>
      <c r="H246" s="66" t="s">
        <v>133</v>
      </c>
      <c r="I246" s="66" t="s">
        <v>133</v>
      </c>
      <c r="J246" s="66" t="s">
        <v>79</v>
      </c>
      <c r="K246" s="66">
        <v>28</v>
      </c>
      <c r="L246" s="66" t="s">
        <v>79</v>
      </c>
      <c r="M246" s="66" t="s">
        <v>79</v>
      </c>
      <c r="N246" s="66" t="s">
        <v>97</v>
      </c>
      <c r="O246" s="66" t="s">
        <v>98</v>
      </c>
      <c r="P246" s="66" t="s">
        <v>79</v>
      </c>
      <c r="Q246" s="66">
        <v>0.99199999999999999</v>
      </c>
      <c r="R246" s="66" t="s">
        <v>1952</v>
      </c>
      <c r="S246" s="66">
        <v>1E-3</v>
      </c>
      <c r="T246" s="66">
        <v>17.286000000000001</v>
      </c>
      <c r="U246" s="66">
        <v>0.92400000000000004</v>
      </c>
      <c r="V246" s="66">
        <v>0.99199999999999999</v>
      </c>
      <c r="W246" s="66" t="s">
        <v>1953</v>
      </c>
      <c r="X246" s="66">
        <v>1.6E-2</v>
      </c>
      <c r="Y246" s="66">
        <v>1</v>
      </c>
      <c r="Z246" s="66" t="s">
        <v>1954</v>
      </c>
      <c r="AA246" s="66">
        <v>0.999</v>
      </c>
      <c r="AB246" s="66" t="s">
        <v>109</v>
      </c>
      <c r="AC246" s="66" t="s">
        <v>145</v>
      </c>
    </row>
    <row r="247" spans="1:29" ht="13.9">
      <c r="A247" s="9" t="s">
        <v>52</v>
      </c>
      <c r="B247" s="9" t="s">
        <v>160</v>
      </c>
      <c r="C247" s="9" t="s">
        <v>74</v>
      </c>
      <c r="D247" s="9" t="s">
        <v>75</v>
      </c>
      <c r="E247" s="9" t="s">
        <v>496</v>
      </c>
      <c r="F247" s="9" t="s">
        <v>113</v>
      </c>
      <c r="G247" s="9" t="s">
        <v>79</v>
      </c>
      <c r="H247" s="9" t="s">
        <v>133</v>
      </c>
      <c r="I247" s="9" t="s">
        <v>133</v>
      </c>
      <c r="J247" s="9" t="s">
        <v>79</v>
      </c>
      <c r="K247" s="9">
        <v>43</v>
      </c>
      <c r="L247" s="9" t="s">
        <v>79</v>
      </c>
      <c r="M247" s="9" t="s">
        <v>79</v>
      </c>
      <c r="N247" s="9" t="s">
        <v>97</v>
      </c>
      <c r="O247" s="9" t="s">
        <v>98</v>
      </c>
      <c r="P247" s="9" t="s">
        <v>79</v>
      </c>
      <c r="Q247" s="9">
        <v>0.998</v>
      </c>
      <c r="R247" s="9" t="s">
        <v>1773</v>
      </c>
      <c r="S247" s="9">
        <v>0.42</v>
      </c>
      <c r="T247" s="9">
        <v>43.997999999999998</v>
      </c>
      <c r="U247" s="9">
        <v>0.38700000000000001</v>
      </c>
      <c r="V247" s="9">
        <v>0.999</v>
      </c>
      <c r="W247" s="9" t="s">
        <v>1774</v>
      </c>
      <c r="X247" s="9">
        <v>0.76700000000000002</v>
      </c>
      <c r="Y247" s="9">
        <v>0.996</v>
      </c>
      <c r="Z247" s="9" t="s">
        <v>1776</v>
      </c>
      <c r="AA247" s="9">
        <v>0.70899999999999996</v>
      </c>
      <c r="AB247" s="9" t="s">
        <v>109</v>
      </c>
      <c r="AC247" s="9" t="s">
        <v>145</v>
      </c>
    </row>
    <row r="248" spans="1:29" ht="13.9">
      <c r="A248" s="17" t="s">
        <v>52</v>
      </c>
      <c r="B248" s="17" t="s">
        <v>161</v>
      </c>
      <c r="C248" s="17" t="s">
        <v>74</v>
      </c>
      <c r="D248" s="17" t="s">
        <v>246</v>
      </c>
      <c r="E248" s="17" t="s">
        <v>505</v>
      </c>
      <c r="F248" s="17" t="s">
        <v>248</v>
      </c>
      <c r="G248" s="17" t="s">
        <v>1955</v>
      </c>
      <c r="H248" s="17" t="s">
        <v>133</v>
      </c>
      <c r="I248" s="17" t="s">
        <v>834</v>
      </c>
      <c r="J248" s="17">
        <v>403124</v>
      </c>
      <c r="K248" s="17">
        <v>11</v>
      </c>
      <c r="L248" s="17">
        <v>24955</v>
      </c>
      <c r="M248" s="17">
        <v>378169</v>
      </c>
      <c r="N248" s="17" t="s">
        <v>97</v>
      </c>
      <c r="O248" s="17" t="s">
        <v>98</v>
      </c>
      <c r="P248" s="17" t="s">
        <v>79</v>
      </c>
      <c r="Q248" s="17">
        <v>1.5</v>
      </c>
      <c r="R248" s="17" t="s">
        <v>1956</v>
      </c>
      <c r="S248" s="17" t="s">
        <v>1613</v>
      </c>
      <c r="T248" s="17" t="s">
        <v>1957</v>
      </c>
      <c r="U248" s="17" t="s">
        <v>1958</v>
      </c>
      <c r="V248" s="17" t="s">
        <v>1959</v>
      </c>
      <c r="W248" s="17" t="s">
        <v>1960</v>
      </c>
      <c r="X248" s="17" t="s">
        <v>1961</v>
      </c>
      <c r="Y248" s="17">
        <v>4.54</v>
      </c>
      <c r="Z248" s="17" t="s">
        <v>1962</v>
      </c>
      <c r="AA248" s="17" t="s">
        <v>1963</v>
      </c>
      <c r="AB248" s="17" t="s">
        <v>140</v>
      </c>
      <c r="AC248" s="17" t="s">
        <v>155</v>
      </c>
    </row>
    <row r="249" spans="1:29" ht="13.9">
      <c r="A249" s="17" t="s">
        <v>52</v>
      </c>
      <c r="B249" s="17" t="s">
        <v>161</v>
      </c>
      <c r="C249" s="17" t="s">
        <v>74</v>
      </c>
      <c r="D249" s="17" t="s">
        <v>75</v>
      </c>
      <c r="E249" s="17" t="s">
        <v>505</v>
      </c>
      <c r="F249" s="17" t="s">
        <v>113</v>
      </c>
      <c r="G249" s="17" t="s">
        <v>1955</v>
      </c>
      <c r="H249" s="17" t="s">
        <v>133</v>
      </c>
      <c r="I249" s="17" t="s">
        <v>834</v>
      </c>
      <c r="J249" s="17">
        <v>403124</v>
      </c>
      <c r="K249" s="17">
        <v>43</v>
      </c>
      <c r="L249" s="17">
        <v>24955</v>
      </c>
      <c r="M249" s="17">
        <v>378169</v>
      </c>
      <c r="N249" s="17" t="s">
        <v>97</v>
      </c>
      <c r="O249" s="17" t="s">
        <v>98</v>
      </c>
      <c r="P249" s="17" t="s">
        <v>79</v>
      </c>
      <c r="Q249" s="17">
        <v>0.92</v>
      </c>
      <c r="R249" s="17" t="s">
        <v>1964</v>
      </c>
      <c r="S249" s="17" t="s">
        <v>1965</v>
      </c>
      <c r="T249" s="17" t="s">
        <v>1966</v>
      </c>
      <c r="U249" s="17" t="s">
        <v>1967</v>
      </c>
      <c r="V249" s="17" t="s">
        <v>1968</v>
      </c>
      <c r="W249" s="17" t="s">
        <v>1969</v>
      </c>
      <c r="X249" s="17" t="s">
        <v>1970</v>
      </c>
      <c r="Y249" s="17">
        <v>0.73</v>
      </c>
      <c r="Z249" s="17" t="s">
        <v>1971</v>
      </c>
      <c r="AA249" s="17" t="s">
        <v>1972</v>
      </c>
      <c r="AB249" s="17" t="s">
        <v>140</v>
      </c>
      <c r="AC249" s="17" t="s">
        <v>155</v>
      </c>
    </row>
    <row r="250" spans="1:29" ht="13.9">
      <c r="A250" s="17" t="s">
        <v>52</v>
      </c>
      <c r="B250" s="17" t="s">
        <v>161</v>
      </c>
      <c r="C250" s="17" t="s">
        <v>74</v>
      </c>
      <c r="D250" s="17" t="s">
        <v>459</v>
      </c>
      <c r="E250" s="17" t="s">
        <v>505</v>
      </c>
      <c r="F250" s="17" t="s">
        <v>215</v>
      </c>
      <c r="G250" s="17" t="s">
        <v>1955</v>
      </c>
      <c r="H250" s="17" t="s">
        <v>133</v>
      </c>
      <c r="I250" s="17" t="s">
        <v>834</v>
      </c>
      <c r="J250" s="17">
        <v>403124</v>
      </c>
      <c r="K250" s="17">
        <v>14</v>
      </c>
      <c r="L250" s="17">
        <v>24955</v>
      </c>
      <c r="M250" s="17">
        <v>378169</v>
      </c>
      <c r="N250" s="17" t="s">
        <v>97</v>
      </c>
      <c r="O250" s="17" t="s">
        <v>98</v>
      </c>
      <c r="P250" s="17" t="s">
        <v>79</v>
      </c>
      <c r="Q250" s="17">
        <v>0.71</v>
      </c>
      <c r="R250" s="17" t="s">
        <v>1973</v>
      </c>
      <c r="S250" s="17" t="s">
        <v>1974</v>
      </c>
      <c r="T250" s="17" t="s">
        <v>1975</v>
      </c>
      <c r="U250" s="17" t="s">
        <v>1729</v>
      </c>
      <c r="V250" s="17" t="s">
        <v>1976</v>
      </c>
      <c r="W250" s="17" t="s">
        <v>1977</v>
      </c>
      <c r="X250" s="17" t="s">
        <v>478</v>
      </c>
      <c r="Y250" s="17">
        <v>0.13</v>
      </c>
      <c r="Z250" s="17" t="s">
        <v>1978</v>
      </c>
      <c r="AA250" s="17" t="s">
        <v>1979</v>
      </c>
      <c r="AB250" s="17" t="s">
        <v>140</v>
      </c>
      <c r="AC250" s="17" t="s">
        <v>155</v>
      </c>
    </row>
    <row r="251" spans="1:29" ht="13.9">
      <c r="A251" s="17" t="s">
        <v>52</v>
      </c>
      <c r="B251" s="17" t="s">
        <v>161</v>
      </c>
      <c r="C251" s="17" t="s">
        <v>74</v>
      </c>
      <c r="D251" s="17" t="s">
        <v>164</v>
      </c>
      <c r="E251" s="17" t="s">
        <v>505</v>
      </c>
      <c r="F251" s="17" t="s">
        <v>165</v>
      </c>
      <c r="G251" s="17" t="s">
        <v>1955</v>
      </c>
      <c r="H251" s="17" t="s">
        <v>133</v>
      </c>
      <c r="I251" s="17" t="s">
        <v>834</v>
      </c>
      <c r="J251" s="17">
        <v>403124</v>
      </c>
      <c r="K251" s="17">
        <v>30</v>
      </c>
      <c r="L251" s="17">
        <v>24955</v>
      </c>
      <c r="M251" s="17">
        <v>378169</v>
      </c>
      <c r="N251" s="17" t="s">
        <v>97</v>
      </c>
      <c r="O251" s="17" t="s">
        <v>98</v>
      </c>
      <c r="P251" s="17" t="s">
        <v>79</v>
      </c>
      <c r="Q251" s="17">
        <v>0.46</v>
      </c>
      <c r="R251" s="17" t="s">
        <v>1986</v>
      </c>
      <c r="S251" s="123">
        <v>5.1679999999999999E-4</v>
      </c>
      <c r="T251" s="17" t="s">
        <v>1987</v>
      </c>
      <c r="U251" s="17" t="s">
        <v>1988</v>
      </c>
      <c r="V251" s="17">
        <v>0.44</v>
      </c>
      <c r="W251" s="17" t="s">
        <v>1989</v>
      </c>
      <c r="X251" s="123">
        <v>1.6230000000000001E-3</v>
      </c>
      <c r="Y251" s="17">
        <v>0.48</v>
      </c>
      <c r="Z251" s="17" t="s">
        <v>1990</v>
      </c>
      <c r="AA251" s="123">
        <v>0.50319999999999998</v>
      </c>
      <c r="AB251" s="17" t="s">
        <v>140</v>
      </c>
      <c r="AC251" s="17" t="s">
        <v>155</v>
      </c>
    </row>
    <row r="252" spans="1:29" ht="13.9">
      <c r="A252" s="17" t="s">
        <v>52</v>
      </c>
      <c r="B252" s="17" t="s">
        <v>163</v>
      </c>
      <c r="C252" s="17" t="s">
        <v>74</v>
      </c>
      <c r="D252" s="17" t="s">
        <v>1991</v>
      </c>
      <c r="E252" s="17" t="s">
        <v>1923</v>
      </c>
      <c r="F252" s="17" t="s">
        <v>248</v>
      </c>
      <c r="G252" s="17" t="s">
        <v>79</v>
      </c>
      <c r="H252" s="17" t="s">
        <v>133</v>
      </c>
      <c r="I252" s="17" t="s">
        <v>218</v>
      </c>
      <c r="J252" s="90">
        <f t="shared" ref="J252:J259" si="7">M252+L252</f>
        <v>276101</v>
      </c>
      <c r="K252" s="17">
        <v>17</v>
      </c>
      <c r="L252" s="17">
        <v>2659</v>
      </c>
      <c r="M252" s="17">
        <v>273442</v>
      </c>
      <c r="N252" s="17" t="s">
        <v>97</v>
      </c>
      <c r="O252" s="17" t="s">
        <v>98</v>
      </c>
      <c r="P252" s="90">
        <v>37584</v>
      </c>
      <c r="Q252" s="18" t="s">
        <v>1992</v>
      </c>
      <c r="R252" s="17" t="s">
        <v>1993</v>
      </c>
      <c r="S252" s="17">
        <v>0.18099999999999999</v>
      </c>
      <c r="T252" s="17" t="s">
        <v>79</v>
      </c>
      <c r="U252" s="17">
        <v>0.223</v>
      </c>
      <c r="V252" s="17" t="s">
        <v>1994</v>
      </c>
      <c r="W252" s="17" t="s">
        <v>1995</v>
      </c>
      <c r="X252" s="17">
        <v>6.8000000000000005E-2</v>
      </c>
      <c r="Y252" s="17" t="s">
        <v>1996</v>
      </c>
      <c r="Z252" s="17" t="s">
        <v>1997</v>
      </c>
      <c r="AA252" s="17">
        <v>0.69899999999999995</v>
      </c>
      <c r="AB252" s="17" t="s">
        <v>140</v>
      </c>
      <c r="AC252" s="17" t="s">
        <v>385</v>
      </c>
    </row>
    <row r="253" spans="1:29" ht="13.9">
      <c r="A253" s="17" t="s">
        <v>52</v>
      </c>
      <c r="B253" s="17" t="s">
        <v>163</v>
      </c>
      <c r="C253" s="17" t="s">
        <v>74</v>
      </c>
      <c r="D253" s="17" t="s">
        <v>1998</v>
      </c>
      <c r="E253" s="17" t="s">
        <v>1923</v>
      </c>
      <c r="F253" s="17" t="s">
        <v>165</v>
      </c>
      <c r="G253" s="17" t="s">
        <v>79</v>
      </c>
      <c r="H253" s="17" t="s">
        <v>133</v>
      </c>
      <c r="I253" s="17" t="s">
        <v>218</v>
      </c>
      <c r="J253" s="90">
        <f t="shared" si="7"/>
        <v>276101</v>
      </c>
      <c r="K253" s="17">
        <v>42</v>
      </c>
      <c r="L253" s="17">
        <v>2659</v>
      </c>
      <c r="M253" s="17">
        <v>273442</v>
      </c>
      <c r="N253" s="17" t="s">
        <v>97</v>
      </c>
      <c r="O253" s="17" t="s">
        <v>98</v>
      </c>
      <c r="P253" s="90">
        <v>42065</v>
      </c>
      <c r="Q253" s="18" t="s">
        <v>1999</v>
      </c>
      <c r="R253" s="17" t="s">
        <v>2000</v>
      </c>
      <c r="S253" s="17">
        <v>8.9999999999999993E-3</v>
      </c>
      <c r="T253" s="17" t="s">
        <v>79</v>
      </c>
      <c r="U253" s="17">
        <v>0.78800000000000003</v>
      </c>
      <c r="V253" s="17" t="s">
        <v>2001</v>
      </c>
      <c r="W253" s="17" t="s">
        <v>2002</v>
      </c>
      <c r="X253" s="17">
        <v>1.6E-2</v>
      </c>
      <c r="Y253" s="17" t="s">
        <v>2003</v>
      </c>
      <c r="Z253" s="17" t="s">
        <v>2004</v>
      </c>
      <c r="AA253" s="17">
        <v>9.9000000000000005E-2</v>
      </c>
      <c r="AB253" s="17" t="s">
        <v>140</v>
      </c>
      <c r="AC253" s="17" t="s">
        <v>385</v>
      </c>
    </row>
    <row r="254" spans="1:29" ht="13.9">
      <c r="A254" s="17" t="s">
        <v>52</v>
      </c>
      <c r="B254" s="17" t="s">
        <v>163</v>
      </c>
      <c r="C254" s="17" t="s">
        <v>74</v>
      </c>
      <c r="D254" s="17" t="s">
        <v>363</v>
      </c>
      <c r="E254" s="17" t="s">
        <v>1923</v>
      </c>
      <c r="F254" s="17" t="s">
        <v>113</v>
      </c>
      <c r="G254" s="17" t="s">
        <v>79</v>
      </c>
      <c r="H254" s="17" t="s">
        <v>133</v>
      </c>
      <c r="I254" s="17" t="s">
        <v>218</v>
      </c>
      <c r="J254" s="90">
        <f t="shared" si="7"/>
        <v>276101</v>
      </c>
      <c r="K254" s="17">
        <v>56</v>
      </c>
      <c r="L254" s="17">
        <v>2659</v>
      </c>
      <c r="M254" s="17">
        <v>273442</v>
      </c>
      <c r="N254" s="17" t="s">
        <v>97</v>
      </c>
      <c r="O254" s="17" t="s">
        <v>98</v>
      </c>
      <c r="P254" s="90">
        <v>45242</v>
      </c>
      <c r="Q254" s="18" t="s">
        <v>1927</v>
      </c>
      <c r="R254" s="17" t="s">
        <v>1928</v>
      </c>
      <c r="S254" s="17">
        <v>0.14000000000000001</v>
      </c>
      <c r="T254" s="17" t="s">
        <v>79</v>
      </c>
      <c r="U254" s="17">
        <v>0.06</v>
      </c>
      <c r="V254" s="17" t="s">
        <v>1929</v>
      </c>
      <c r="W254" s="17" t="s">
        <v>1930</v>
      </c>
      <c r="X254" s="17">
        <v>0.95299999999999996</v>
      </c>
      <c r="Y254" s="17" t="s">
        <v>1933</v>
      </c>
      <c r="Z254" s="17" t="s">
        <v>1934</v>
      </c>
      <c r="AA254" s="17">
        <v>0.21</v>
      </c>
      <c r="AB254" s="17" t="s">
        <v>140</v>
      </c>
      <c r="AC254" s="17" t="s">
        <v>385</v>
      </c>
    </row>
    <row r="255" spans="1:29" ht="13.9">
      <c r="A255" s="17" t="s">
        <v>52</v>
      </c>
      <c r="B255" s="17" t="s">
        <v>163</v>
      </c>
      <c r="C255" s="17" t="s">
        <v>74</v>
      </c>
      <c r="D255" s="17" t="s">
        <v>622</v>
      </c>
      <c r="E255" s="17" t="s">
        <v>1923</v>
      </c>
      <c r="F255" s="17" t="s">
        <v>215</v>
      </c>
      <c r="G255" s="17" t="s">
        <v>79</v>
      </c>
      <c r="H255" s="17" t="s">
        <v>133</v>
      </c>
      <c r="I255" s="17" t="s">
        <v>218</v>
      </c>
      <c r="J255" s="90">
        <f t="shared" si="7"/>
        <v>276101</v>
      </c>
      <c r="K255" s="17">
        <v>17</v>
      </c>
      <c r="L255" s="17">
        <v>2659</v>
      </c>
      <c r="M255" s="17">
        <v>273442</v>
      </c>
      <c r="N255" s="17" t="s">
        <v>97</v>
      </c>
      <c r="O255" s="17" t="s">
        <v>98</v>
      </c>
      <c r="P255" s="90">
        <v>39582</v>
      </c>
      <c r="Q255" s="18" t="s">
        <v>2005</v>
      </c>
      <c r="R255" s="17" t="s">
        <v>2006</v>
      </c>
      <c r="S255" s="17">
        <v>0.121</v>
      </c>
      <c r="T255" s="17" t="s">
        <v>79</v>
      </c>
      <c r="U255" s="17">
        <v>0.189</v>
      </c>
      <c r="V255" s="17" t="s">
        <v>2007</v>
      </c>
      <c r="W255" s="17" t="s">
        <v>2008</v>
      </c>
      <c r="X255" s="17">
        <v>0.41599999999999998</v>
      </c>
      <c r="Y255" s="17" t="s">
        <v>2009</v>
      </c>
      <c r="Z255" s="17" t="s">
        <v>2010</v>
      </c>
      <c r="AA255" s="17">
        <v>0.56899999999999995</v>
      </c>
      <c r="AB255" s="17" t="s">
        <v>140</v>
      </c>
      <c r="AC255" s="17" t="s">
        <v>385</v>
      </c>
    </row>
    <row r="256" spans="1:29" ht="13.9">
      <c r="A256" s="17" t="s">
        <v>52</v>
      </c>
      <c r="B256" s="17" t="s">
        <v>163</v>
      </c>
      <c r="C256" s="17" t="s">
        <v>74</v>
      </c>
      <c r="D256" s="17" t="s">
        <v>1991</v>
      </c>
      <c r="E256" s="17" t="s">
        <v>365</v>
      </c>
      <c r="F256" s="17" t="s">
        <v>248</v>
      </c>
      <c r="G256" s="17" t="s">
        <v>79</v>
      </c>
      <c r="H256" s="17" t="s">
        <v>133</v>
      </c>
      <c r="I256" s="17" t="s">
        <v>218</v>
      </c>
      <c r="J256" s="90">
        <f t="shared" si="7"/>
        <v>278090</v>
      </c>
      <c r="K256" s="17">
        <v>17</v>
      </c>
      <c r="L256" s="17">
        <v>4648</v>
      </c>
      <c r="M256" s="17">
        <v>273442</v>
      </c>
      <c r="N256" s="17" t="s">
        <v>97</v>
      </c>
      <c r="O256" s="17" t="s">
        <v>98</v>
      </c>
      <c r="P256" s="90">
        <v>37584</v>
      </c>
      <c r="Q256" s="18" t="s">
        <v>2011</v>
      </c>
      <c r="R256" s="17" t="s">
        <v>2012</v>
      </c>
      <c r="S256" s="17">
        <v>0.14199999999999999</v>
      </c>
      <c r="T256" s="17" t="s">
        <v>79</v>
      </c>
      <c r="U256" s="17">
        <v>6.6000000000000003E-2</v>
      </c>
      <c r="V256" s="17" t="s">
        <v>2013</v>
      </c>
      <c r="W256" s="17" t="s">
        <v>2014</v>
      </c>
      <c r="X256" s="17">
        <v>5.1999999999999998E-2</v>
      </c>
      <c r="Y256" s="17" t="s">
        <v>2015</v>
      </c>
      <c r="Z256" s="17" t="s">
        <v>2016</v>
      </c>
      <c r="AA256" s="17">
        <v>7.2999999999999995E-2</v>
      </c>
      <c r="AB256" s="17" t="s">
        <v>109</v>
      </c>
      <c r="AC256" s="17" t="s">
        <v>385</v>
      </c>
    </row>
    <row r="257" spans="1:29" ht="13.9">
      <c r="A257" s="17" t="s">
        <v>52</v>
      </c>
      <c r="B257" s="17" t="s">
        <v>163</v>
      </c>
      <c r="C257" s="17" t="s">
        <v>74</v>
      </c>
      <c r="D257" s="17" t="s">
        <v>1998</v>
      </c>
      <c r="E257" s="17" t="s">
        <v>365</v>
      </c>
      <c r="F257" s="17" t="s">
        <v>165</v>
      </c>
      <c r="G257" s="17" t="s">
        <v>79</v>
      </c>
      <c r="H257" s="17" t="s">
        <v>133</v>
      </c>
      <c r="I257" s="17" t="s">
        <v>218</v>
      </c>
      <c r="J257" s="90">
        <f t="shared" si="7"/>
        <v>278090</v>
      </c>
      <c r="K257" s="17">
        <v>42</v>
      </c>
      <c r="L257" s="17">
        <v>4648</v>
      </c>
      <c r="M257" s="17">
        <v>273442</v>
      </c>
      <c r="N257" s="17" t="s">
        <v>97</v>
      </c>
      <c r="O257" s="17" t="s">
        <v>98</v>
      </c>
      <c r="P257" s="90">
        <v>42065</v>
      </c>
      <c r="Q257" s="18" t="s">
        <v>2017</v>
      </c>
      <c r="R257" s="17" t="s">
        <v>2018</v>
      </c>
      <c r="S257" s="17" t="s">
        <v>2019</v>
      </c>
      <c r="T257" s="17" t="s">
        <v>79</v>
      </c>
      <c r="U257" s="17">
        <v>0.46</v>
      </c>
      <c r="V257" s="17" t="s">
        <v>2020</v>
      </c>
      <c r="W257" s="17" t="s">
        <v>2021</v>
      </c>
      <c r="X257" s="17">
        <v>1E-3</v>
      </c>
      <c r="Y257" s="17" t="s">
        <v>2022</v>
      </c>
      <c r="Z257" s="17" t="s">
        <v>2023</v>
      </c>
      <c r="AA257" s="17">
        <v>0.14000000000000001</v>
      </c>
      <c r="AB257" s="17" t="s">
        <v>109</v>
      </c>
      <c r="AC257" s="17" t="s">
        <v>385</v>
      </c>
    </row>
    <row r="258" spans="1:29" ht="13.9">
      <c r="A258" s="17" t="s">
        <v>52</v>
      </c>
      <c r="B258" s="17" t="s">
        <v>163</v>
      </c>
      <c r="C258" s="17" t="s">
        <v>74</v>
      </c>
      <c r="D258" s="17" t="s">
        <v>363</v>
      </c>
      <c r="E258" s="17" t="s">
        <v>365</v>
      </c>
      <c r="F258" s="17" t="s">
        <v>113</v>
      </c>
      <c r="G258" s="17" t="s">
        <v>79</v>
      </c>
      <c r="H258" s="17" t="s">
        <v>133</v>
      </c>
      <c r="I258" s="17" t="s">
        <v>218</v>
      </c>
      <c r="J258" s="17">
        <f t="shared" si="7"/>
        <v>278090</v>
      </c>
      <c r="K258" s="17">
        <v>56</v>
      </c>
      <c r="L258" s="17">
        <v>4648</v>
      </c>
      <c r="M258" s="17">
        <v>273442</v>
      </c>
      <c r="N258" s="17" t="s">
        <v>97</v>
      </c>
      <c r="O258" s="17" t="s">
        <v>98</v>
      </c>
      <c r="P258" s="17">
        <v>45242</v>
      </c>
      <c r="Q258" s="17">
        <v>0.44800000000000001</v>
      </c>
      <c r="R258" s="17" t="s">
        <v>377</v>
      </c>
      <c r="S258" s="17">
        <v>3.4000000000000002E-2</v>
      </c>
      <c r="T258" s="17" t="s">
        <v>79</v>
      </c>
      <c r="U258" s="17">
        <v>9.0999999999999998E-2</v>
      </c>
      <c r="V258" s="17">
        <v>0.51</v>
      </c>
      <c r="W258" s="17" t="s">
        <v>381</v>
      </c>
      <c r="X258" s="17">
        <v>0.20799999999999999</v>
      </c>
      <c r="Y258" s="17">
        <v>13.047000000000001</v>
      </c>
      <c r="Z258" s="17" t="s">
        <v>383</v>
      </c>
      <c r="AA258" s="17">
        <v>4.3999999999999997E-2</v>
      </c>
      <c r="AB258" s="17" t="s">
        <v>109</v>
      </c>
      <c r="AC258" s="17" t="s">
        <v>385</v>
      </c>
    </row>
    <row r="259" spans="1:29" ht="13.9">
      <c r="A259" s="17" t="s">
        <v>52</v>
      </c>
      <c r="B259" s="17" t="s">
        <v>163</v>
      </c>
      <c r="C259" s="17" t="s">
        <v>74</v>
      </c>
      <c r="D259" s="17" t="s">
        <v>622</v>
      </c>
      <c r="E259" s="17" t="s">
        <v>365</v>
      </c>
      <c r="F259" s="17" t="s">
        <v>215</v>
      </c>
      <c r="G259" s="17" t="s">
        <v>79</v>
      </c>
      <c r="H259" s="17" t="s">
        <v>133</v>
      </c>
      <c r="I259" s="17" t="s">
        <v>218</v>
      </c>
      <c r="J259" s="17">
        <f t="shared" si="7"/>
        <v>278090</v>
      </c>
      <c r="K259" s="17">
        <v>17</v>
      </c>
      <c r="L259" s="17">
        <v>4648</v>
      </c>
      <c r="M259" s="17">
        <v>273442</v>
      </c>
      <c r="N259" s="17" t="s">
        <v>97</v>
      </c>
      <c r="O259" s="17" t="s">
        <v>98</v>
      </c>
      <c r="P259" s="17">
        <v>39582</v>
      </c>
      <c r="Q259" s="17">
        <v>0.31900000000000001</v>
      </c>
      <c r="R259" s="17" t="s">
        <v>2025</v>
      </c>
      <c r="S259" s="17">
        <v>0.161</v>
      </c>
      <c r="T259" s="17" t="s">
        <v>79</v>
      </c>
      <c r="U259" s="17">
        <v>3.5000000000000003E-2</v>
      </c>
      <c r="V259" s="17">
        <v>0.55400000000000005</v>
      </c>
      <c r="W259" s="17" t="s">
        <v>2027</v>
      </c>
      <c r="X259" s="17">
        <v>0.54</v>
      </c>
      <c r="Y259" s="17">
        <v>2.254</v>
      </c>
      <c r="Z259" s="17" t="s">
        <v>2029</v>
      </c>
      <c r="AA259" s="17">
        <v>0.83599999999999997</v>
      </c>
      <c r="AB259" s="17" t="s">
        <v>109</v>
      </c>
      <c r="AC259" s="17" t="s">
        <v>385</v>
      </c>
    </row>
    <row r="260" spans="1:29" ht="13.9">
      <c r="A260" s="9" t="s">
        <v>52</v>
      </c>
      <c r="B260" s="9" t="s">
        <v>167</v>
      </c>
      <c r="C260" s="9" t="s">
        <v>74</v>
      </c>
      <c r="D260" s="9" t="s">
        <v>75</v>
      </c>
      <c r="E260" s="9" t="s">
        <v>2030</v>
      </c>
      <c r="F260" s="9" t="s">
        <v>113</v>
      </c>
      <c r="G260" s="9" t="s">
        <v>2031</v>
      </c>
      <c r="H260" s="9" t="s">
        <v>133</v>
      </c>
      <c r="I260" s="9" t="s">
        <v>1264</v>
      </c>
      <c r="J260" s="9">
        <v>309154</v>
      </c>
      <c r="K260" s="9">
        <v>55</v>
      </c>
      <c r="L260" s="9">
        <v>8060</v>
      </c>
      <c r="M260" s="9">
        <v>301094</v>
      </c>
      <c r="N260" s="9" t="s">
        <v>97</v>
      </c>
      <c r="O260" s="9" t="s">
        <v>98</v>
      </c>
      <c r="P260" s="9" t="s">
        <v>79</v>
      </c>
      <c r="Q260" s="9" t="s">
        <v>2032</v>
      </c>
      <c r="R260" s="9" t="s">
        <v>2033</v>
      </c>
      <c r="S260" s="9" t="s">
        <v>2034</v>
      </c>
      <c r="T260" s="9" t="s">
        <v>2035</v>
      </c>
      <c r="U260" s="9" t="s">
        <v>1875</v>
      </c>
      <c r="V260" s="9" t="s">
        <v>2038</v>
      </c>
      <c r="W260" s="9" t="s">
        <v>2039</v>
      </c>
      <c r="X260" s="9" t="s">
        <v>2040</v>
      </c>
      <c r="Y260" s="94" t="s">
        <v>579</v>
      </c>
      <c r="Z260" s="9" t="s">
        <v>2041</v>
      </c>
      <c r="AA260" s="9" t="s">
        <v>2042</v>
      </c>
      <c r="AB260" s="9" t="s">
        <v>109</v>
      </c>
      <c r="AC260" s="9" t="s">
        <v>145</v>
      </c>
    </row>
    <row r="261" spans="1:29" ht="13.9">
      <c r="A261" s="17" t="s">
        <v>70</v>
      </c>
      <c r="B261" s="17" t="s">
        <v>175</v>
      </c>
      <c r="C261" s="17" t="s">
        <v>74</v>
      </c>
      <c r="D261" s="17" t="s">
        <v>2043</v>
      </c>
      <c r="E261" s="17" t="s">
        <v>562</v>
      </c>
      <c r="F261" s="17" t="s">
        <v>248</v>
      </c>
      <c r="G261" s="17" t="s">
        <v>2044</v>
      </c>
      <c r="H261" s="17" t="s">
        <v>133</v>
      </c>
      <c r="I261" s="17" t="s">
        <v>218</v>
      </c>
      <c r="J261" s="90">
        <v>214620</v>
      </c>
      <c r="K261" s="17">
        <v>17</v>
      </c>
      <c r="L261" s="90">
        <v>4320</v>
      </c>
      <c r="M261" s="90">
        <f t="shared" ref="M261:M263" si="8">J261-L261</f>
        <v>210300</v>
      </c>
      <c r="N261" s="17" t="s">
        <v>79</v>
      </c>
      <c r="O261" s="17" t="s">
        <v>98</v>
      </c>
      <c r="P261" s="17" t="s">
        <v>79</v>
      </c>
      <c r="Q261" s="17">
        <v>1.742</v>
      </c>
      <c r="R261" s="17" t="s">
        <v>2045</v>
      </c>
      <c r="S261" s="17">
        <v>0.33700000000000002</v>
      </c>
      <c r="T261" s="17">
        <v>18.312000000000001</v>
      </c>
      <c r="U261" s="17">
        <v>0.30599999999999999</v>
      </c>
      <c r="V261" s="17">
        <v>1.129</v>
      </c>
      <c r="W261" s="17" t="s">
        <v>2047</v>
      </c>
      <c r="X261" s="17">
        <v>0.88100000000000001</v>
      </c>
      <c r="Y261" s="17" t="s">
        <v>1165</v>
      </c>
      <c r="Z261" s="17" t="s">
        <v>2049</v>
      </c>
      <c r="AA261" s="17">
        <v>0.108</v>
      </c>
      <c r="AB261" s="5" t="s">
        <v>140</v>
      </c>
      <c r="AC261" s="17" t="s">
        <v>385</v>
      </c>
    </row>
    <row r="262" spans="1:29" ht="13.9">
      <c r="A262" s="17" t="s">
        <v>70</v>
      </c>
      <c r="B262" s="17" t="s">
        <v>175</v>
      </c>
      <c r="C262" s="17" t="s">
        <v>74</v>
      </c>
      <c r="D262" s="17" t="s">
        <v>164</v>
      </c>
      <c r="E262" s="17" t="s">
        <v>562</v>
      </c>
      <c r="F262" s="17" t="s">
        <v>165</v>
      </c>
      <c r="G262" s="17" t="s">
        <v>2044</v>
      </c>
      <c r="H262" s="17" t="s">
        <v>133</v>
      </c>
      <c r="I262" s="17" t="s">
        <v>218</v>
      </c>
      <c r="J262" s="90">
        <v>214620</v>
      </c>
      <c r="K262" s="17">
        <v>41</v>
      </c>
      <c r="L262" s="90">
        <v>4320</v>
      </c>
      <c r="M262" s="90">
        <f t="shared" si="8"/>
        <v>210300</v>
      </c>
      <c r="N262" s="17" t="s">
        <v>79</v>
      </c>
      <c r="O262" s="17" t="s">
        <v>98</v>
      </c>
      <c r="P262" s="17" t="s">
        <v>79</v>
      </c>
      <c r="Q262" s="17">
        <v>0.48799999999999999</v>
      </c>
      <c r="R262" s="17" t="s">
        <v>2050</v>
      </c>
      <c r="S262" s="17">
        <v>2.5000000000000001E-2</v>
      </c>
      <c r="T262" s="147">
        <v>49.7</v>
      </c>
      <c r="U262" s="147">
        <v>0.14000000000000001</v>
      </c>
      <c r="V262" s="17">
        <v>0.73299999999999998</v>
      </c>
      <c r="W262" s="17" t="s">
        <v>2051</v>
      </c>
      <c r="X262" s="17">
        <v>0.505</v>
      </c>
      <c r="Y262" s="17">
        <v>0.307</v>
      </c>
      <c r="Z262" s="17" t="s">
        <v>2052</v>
      </c>
      <c r="AA262" s="147">
        <v>0.47</v>
      </c>
      <c r="AB262" s="5" t="s">
        <v>140</v>
      </c>
      <c r="AC262" s="17" t="s">
        <v>385</v>
      </c>
    </row>
    <row r="263" spans="1:29" ht="13.9">
      <c r="A263" s="17" t="s">
        <v>70</v>
      </c>
      <c r="B263" s="17" t="s">
        <v>175</v>
      </c>
      <c r="C263" s="17" t="s">
        <v>74</v>
      </c>
      <c r="D263" s="17" t="s">
        <v>75</v>
      </c>
      <c r="E263" s="17" t="s">
        <v>562</v>
      </c>
      <c r="F263" s="17" t="s">
        <v>113</v>
      </c>
      <c r="G263" s="17" t="s">
        <v>2044</v>
      </c>
      <c r="H263" s="17" t="s">
        <v>133</v>
      </c>
      <c r="I263" s="17" t="s">
        <v>218</v>
      </c>
      <c r="J263" s="90">
        <v>214620</v>
      </c>
      <c r="K263" s="17">
        <v>53</v>
      </c>
      <c r="L263" s="90">
        <v>4320</v>
      </c>
      <c r="M263" s="90">
        <f t="shared" si="8"/>
        <v>210300</v>
      </c>
      <c r="N263" s="17" t="s">
        <v>79</v>
      </c>
      <c r="O263" s="17" t="s">
        <v>98</v>
      </c>
      <c r="P263" s="17" t="s">
        <v>79</v>
      </c>
      <c r="Q263" s="17">
        <v>0.97699999999999998</v>
      </c>
      <c r="R263" s="17" t="s">
        <v>2053</v>
      </c>
      <c r="S263" s="17">
        <v>0.95199999999999996</v>
      </c>
      <c r="T263" s="17">
        <v>49.505000000000003</v>
      </c>
      <c r="U263" s="17">
        <v>0.57299999999999995</v>
      </c>
      <c r="V263" s="17">
        <v>0.76500000000000001</v>
      </c>
      <c r="W263" s="17" t="s">
        <v>2054</v>
      </c>
      <c r="X263" s="17">
        <v>0.63900000000000001</v>
      </c>
      <c r="Y263" s="147">
        <v>0.19</v>
      </c>
      <c r="Z263" s="17" t="s">
        <v>2055</v>
      </c>
      <c r="AA263" s="17">
        <v>0.20599999999999999</v>
      </c>
      <c r="AB263" s="5" t="s">
        <v>140</v>
      </c>
      <c r="AC263" s="17" t="s">
        <v>385</v>
      </c>
    </row>
    <row r="264" spans="1:29" ht="13.9">
      <c r="A264" s="9" t="s">
        <v>70</v>
      </c>
      <c r="B264" s="9" t="s">
        <v>211</v>
      </c>
      <c r="C264" s="9" t="s">
        <v>74</v>
      </c>
      <c r="D264" s="9" t="s">
        <v>246</v>
      </c>
      <c r="E264" s="9" t="s">
        <v>411</v>
      </c>
      <c r="F264" s="9" t="s">
        <v>248</v>
      </c>
      <c r="G264" s="9" t="s">
        <v>1693</v>
      </c>
      <c r="H264" s="9" t="s">
        <v>133</v>
      </c>
      <c r="I264" s="9" t="s">
        <v>218</v>
      </c>
      <c r="J264" s="65">
        <v>361088</v>
      </c>
      <c r="K264" s="9">
        <v>17</v>
      </c>
      <c r="L264" s="65">
        <v>95462</v>
      </c>
      <c r="M264" s="65">
        <v>265626</v>
      </c>
      <c r="N264" s="9" t="s">
        <v>97</v>
      </c>
      <c r="O264" s="9" t="s">
        <v>98</v>
      </c>
      <c r="P264" s="9" t="s">
        <v>79</v>
      </c>
      <c r="Q264" s="9">
        <v>1.01</v>
      </c>
      <c r="R264" s="9" t="s">
        <v>2061</v>
      </c>
      <c r="S264" s="9">
        <v>0.97099999999999997</v>
      </c>
      <c r="T264" s="9">
        <v>8.3800000000000008</v>
      </c>
      <c r="U264" s="9">
        <v>0.81799999999999995</v>
      </c>
      <c r="V264" s="9">
        <v>0.94</v>
      </c>
      <c r="W264" s="9" t="s">
        <v>2062</v>
      </c>
      <c r="X264" s="9">
        <v>0.80400000000000005</v>
      </c>
      <c r="Y264" s="9">
        <v>0.15</v>
      </c>
      <c r="Z264" s="9" t="s">
        <v>2063</v>
      </c>
      <c r="AA264" s="9">
        <v>0.36199999999999999</v>
      </c>
      <c r="AB264" s="9" t="s">
        <v>140</v>
      </c>
      <c r="AC264" s="9" t="s">
        <v>1689</v>
      </c>
    </row>
    <row r="265" spans="1:29" ht="13.9">
      <c r="A265" s="9" t="s">
        <v>70</v>
      </c>
      <c r="B265" s="9" t="s">
        <v>211</v>
      </c>
      <c r="C265" s="9" t="s">
        <v>74</v>
      </c>
      <c r="D265" s="9" t="s">
        <v>622</v>
      </c>
      <c r="E265" s="9" t="s">
        <v>411</v>
      </c>
      <c r="F265" s="9" t="s">
        <v>215</v>
      </c>
      <c r="G265" s="9" t="s">
        <v>1693</v>
      </c>
      <c r="H265" s="9" t="s">
        <v>133</v>
      </c>
      <c r="I265" s="9" t="s">
        <v>218</v>
      </c>
      <c r="J265" s="65">
        <v>361088</v>
      </c>
      <c r="K265" s="9">
        <v>22</v>
      </c>
      <c r="L265" s="65">
        <v>95462</v>
      </c>
      <c r="M265" s="65">
        <v>265626</v>
      </c>
      <c r="N265" s="9" t="s">
        <v>97</v>
      </c>
      <c r="O265" s="9" t="s">
        <v>98</v>
      </c>
      <c r="P265" s="9" t="s">
        <v>79</v>
      </c>
      <c r="Q265" s="9">
        <v>0.57999999999999996</v>
      </c>
      <c r="R265" s="9" t="s">
        <v>1694</v>
      </c>
      <c r="S265" s="9">
        <v>1.4999999999999999E-2</v>
      </c>
      <c r="T265" s="9">
        <v>24.88</v>
      </c>
      <c r="U265" s="9">
        <v>9.7500000000000003E-2</v>
      </c>
      <c r="V265" s="9">
        <v>0.74</v>
      </c>
      <c r="W265" s="9" t="s">
        <v>1695</v>
      </c>
      <c r="X265" s="9">
        <v>0.78800000000000003</v>
      </c>
      <c r="Y265" s="9">
        <v>0.78</v>
      </c>
      <c r="Z265" s="9" t="s">
        <v>1696</v>
      </c>
      <c r="AA265" s="9">
        <v>0.375</v>
      </c>
      <c r="AB265" s="9" t="s">
        <v>140</v>
      </c>
      <c r="AC265" s="9" t="s">
        <v>1689</v>
      </c>
    </row>
    <row r="266" spans="1:29" ht="13.9">
      <c r="A266" s="9" t="s">
        <v>70</v>
      </c>
      <c r="B266" s="9" t="s">
        <v>211</v>
      </c>
      <c r="C266" s="9" t="s">
        <v>74</v>
      </c>
      <c r="D266" s="9" t="s">
        <v>164</v>
      </c>
      <c r="E266" s="9" t="s">
        <v>411</v>
      </c>
      <c r="F266" s="9" t="s">
        <v>165</v>
      </c>
      <c r="G266" s="9" t="s">
        <v>1693</v>
      </c>
      <c r="H266" s="9" t="s">
        <v>133</v>
      </c>
      <c r="I266" s="9" t="s">
        <v>218</v>
      </c>
      <c r="J266" s="65">
        <v>361088</v>
      </c>
      <c r="K266" s="9">
        <v>43</v>
      </c>
      <c r="L266" s="65">
        <v>95462</v>
      </c>
      <c r="M266" s="65">
        <v>265626</v>
      </c>
      <c r="N266" s="9" t="s">
        <v>97</v>
      </c>
      <c r="O266" s="9" t="s">
        <v>98</v>
      </c>
      <c r="P266" s="9" t="s">
        <v>79</v>
      </c>
      <c r="Q266" s="9">
        <v>0.51</v>
      </c>
      <c r="R266" s="9" t="s">
        <v>2064</v>
      </c>
      <c r="S266" s="148">
        <v>2.3099999999999999E-5</v>
      </c>
      <c r="T266" s="9">
        <v>64.92</v>
      </c>
      <c r="U266" s="148">
        <v>2.24E-4</v>
      </c>
      <c r="V266" s="9">
        <v>0.46</v>
      </c>
      <c r="W266" s="9" t="s">
        <v>2065</v>
      </c>
      <c r="X266" s="9" t="s">
        <v>2066</v>
      </c>
      <c r="Y266" s="9">
        <v>0.15</v>
      </c>
      <c r="Z266" s="9" t="s">
        <v>2067</v>
      </c>
      <c r="AA266" s="9">
        <v>0.01</v>
      </c>
      <c r="AB266" s="9" t="s">
        <v>140</v>
      </c>
      <c r="AC266" s="9" t="s">
        <v>1689</v>
      </c>
    </row>
    <row r="267" spans="1:29" ht="13.9">
      <c r="A267" s="9" t="s">
        <v>52</v>
      </c>
      <c r="B267" s="9" t="s">
        <v>24</v>
      </c>
      <c r="C267" s="9" t="s">
        <v>74</v>
      </c>
      <c r="D267" s="9" t="s">
        <v>246</v>
      </c>
      <c r="E267" s="9" t="s">
        <v>1534</v>
      </c>
      <c r="F267" s="9" t="s">
        <v>248</v>
      </c>
      <c r="G267" s="9" t="s">
        <v>1533</v>
      </c>
      <c r="H267" s="9" t="s">
        <v>133</v>
      </c>
      <c r="I267" s="9" t="s">
        <v>256</v>
      </c>
      <c r="J267" s="9">
        <v>602604</v>
      </c>
      <c r="K267" s="65">
        <v>9</v>
      </c>
      <c r="L267" s="65">
        <v>129080</v>
      </c>
      <c r="M267" s="65">
        <v>473524</v>
      </c>
      <c r="N267" s="9" t="s">
        <v>97</v>
      </c>
      <c r="O267" s="9" t="s">
        <v>98</v>
      </c>
      <c r="P267" s="9">
        <v>10.983000000000001</v>
      </c>
      <c r="Q267" s="9">
        <v>1.87</v>
      </c>
      <c r="R267" s="9" t="s">
        <v>2069</v>
      </c>
      <c r="S267" s="148">
        <v>1E-3</v>
      </c>
      <c r="T267" s="9">
        <v>9.86</v>
      </c>
      <c r="U267" s="9">
        <v>0.27500000000000002</v>
      </c>
      <c r="V267" s="9">
        <v>1.56</v>
      </c>
      <c r="W267" s="9" t="s">
        <v>2070</v>
      </c>
      <c r="X267" s="9">
        <v>8.1000000000000003E-2</v>
      </c>
      <c r="Y267" s="9">
        <v>0.71</v>
      </c>
      <c r="Z267" s="9" t="s">
        <v>2071</v>
      </c>
      <c r="AA267" s="9">
        <v>0.88500000000000001</v>
      </c>
      <c r="AB267" s="9" t="s">
        <v>109</v>
      </c>
      <c r="AC267" s="9" t="s">
        <v>385</v>
      </c>
    </row>
    <row r="268" spans="1:29" ht="13.9">
      <c r="A268" s="9" t="s">
        <v>52</v>
      </c>
      <c r="B268" s="9" t="s">
        <v>24</v>
      </c>
      <c r="C268" s="9" t="s">
        <v>74</v>
      </c>
      <c r="D268" s="9" t="s">
        <v>459</v>
      </c>
      <c r="E268" s="9" t="s">
        <v>1534</v>
      </c>
      <c r="F268" s="9" t="s">
        <v>215</v>
      </c>
      <c r="G268" s="9" t="s">
        <v>1533</v>
      </c>
      <c r="H268" s="9" t="s">
        <v>133</v>
      </c>
      <c r="I268" s="9" t="s">
        <v>256</v>
      </c>
      <c r="J268" s="9">
        <v>602604</v>
      </c>
      <c r="K268" s="65">
        <v>10</v>
      </c>
      <c r="L268" s="65">
        <v>129080</v>
      </c>
      <c r="M268" s="65">
        <v>473524</v>
      </c>
      <c r="N268" s="9" t="s">
        <v>97</v>
      </c>
      <c r="O268" s="9" t="s">
        <v>98</v>
      </c>
      <c r="P268" s="9">
        <v>18.628</v>
      </c>
      <c r="Q268" s="9">
        <v>0.84</v>
      </c>
      <c r="R268" s="9" t="s">
        <v>2072</v>
      </c>
      <c r="S268" s="9">
        <v>0.309</v>
      </c>
      <c r="T268" s="9">
        <v>9.26</v>
      </c>
      <c r="U268" s="9">
        <v>0.41399999999999998</v>
      </c>
      <c r="V268" s="9">
        <v>0.9</v>
      </c>
      <c r="W268" s="9" t="s">
        <v>2073</v>
      </c>
      <c r="X268" s="9">
        <v>0.63900000000000001</v>
      </c>
      <c r="Y268" s="9">
        <v>2.39</v>
      </c>
      <c r="Z268" s="9" t="s">
        <v>2074</v>
      </c>
      <c r="AA268" s="9">
        <v>0.35199999999999998</v>
      </c>
      <c r="AB268" s="9" t="s">
        <v>109</v>
      </c>
      <c r="AC268" s="9" t="s">
        <v>385</v>
      </c>
    </row>
    <row r="269" spans="1:29" ht="13.9">
      <c r="A269" s="9" t="s">
        <v>52</v>
      </c>
      <c r="B269" s="9" t="s">
        <v>24</v>
      </c>
      <c r="C269" s="9" t="s">
        <v>74</v>
      </c>
      <c r="D269" s="9" t="s">
        <v>75</v>
      </c>
      <c r="E269" s="9" t="s">
        <v>1534</v>
      </c>
      <c r="F269" s="9" t="s">
        <v>113</v>
      </c>
      <c r="G269" s="9" t="s">
        <v>1533</v>
      </c>
      <c r="H269" s="9" t="s">
        <v>133</v>
      </c>
      <c r="I269" s="9" t="s">
        <v>256</v>
      </c>
      <c r="J269" s="9">
        <v>602604</v>
      </c>
      <c r="K269" s="65">
        <v>37</v>
      </c>
      <c r="L269" s="65">
        <v>129080</v>
      </c>
      <c r="M269" s="65">
        <v>473524</v>
      </c>
      <c r="N269" s="9" t="s">
        <v>97</v>
      </c>
      <c r="O269" s="9" t="s">
        <v>98</v>
      </c>
      <c r="P269" s="9">
        <v>18.132000000000001</v>
      </c>
      <c r="Q269" s="9">
        <v>0.79</v>
      </c>
      <c r="R269" s="9" t="s">
        <v>2075</v>
      </c>
      <c r="S269" s="9">
        <v>0.17799999999999999</v>
      </c>
      <c r="T269" s="9">
        <v>124</v>
      </c>
      <c r="U269" s="148">
        <v>1.35E-11</v>
      </c>
      <c r="V269" s="9">
        <v>0.87</v>
      </c>
      <c r="W269" s="9" t="s">
        <v>2076</v>
      </c>
      <c r="X269" s="9">
        <v>0.47199999999999998</v>
      </c>
      <c r="Y269" s="9">
        <v>1.65</v>
      </c>
      <c r="Z269" s="9" t="s">
        <v>2077</v>
      </c>
      <c r="AA269" s="9">
        <v>0.443</v>
      </c>
      <c r="AB269" s="9" t="s">
        <v>109</v>
      </c>
      <c r="AC269" s="9" t="s">
        <v>385</v>
      </c>
    </row>
    <row r="270" spans="1:29" ht="13.9">
      <c r="A270" s="9" t="s">
        <v>52</v>
      </c>
      <c r="B270" s="9" t="s">
        <v>24</v>
      </c>
      <c r="C270" s="9" t="s">
        <v>74</v>
      </c>
      <c r="D270" s="9" t="s">
        <v>164</v>
      </c>
      <c r="E270" s="9" t="s">
        <v>1534</v>
      </c>
      <c r="F270" s="9" t="s">
        <v>165</v>
      </c>
      <c r="G270" s="9" t="s">
        <v>1533</v>
      </c>
      <c r="H270" s="9" t="s">
        <v>133</v>
      </c>
      <c r="I270" s="9" t="s">
        <v>256</v>
      </c>
      <c r="J270" s="9">
        <v>602604</v>
      </c>
      <c r="K270" s="65">
        <v>26</v>
      </c>
      <c r="L270" s="65">
        <v>129080</v>
      </c>
      <c r="M270" s="65">
        <v>473524</v>
      </c>
      <c r="N270" s="9" t="s">
        <v>97</v>
      </c>
      <c r="O270" s="9" t="s">
        <v>98</v>
      </c>
      <c r="P270" s="9">
        <v>12.061999999999999</v>
      </c>
      <c r="Q270" s="9">
        <v>0.37</v>
      </c>
      <c r="R270" s="9" t="s">
        <v>2078</v>
      </c>
      <c r="S270" s="148">
        <v>6.2700000000000001E-11</v>
      </c>
      <c r="T270" s="9">
        <v>69.47</v>
      </c>
      <c r="U270" s="148">
        <v>4.6099999999999999E-6</v>
      </c>
      <c r="V270" s="9">
        <v>0.44</v>
      </c>
      <c r="W270" s="9" t="s">
        <v>2079</v>
      </c>
      <c r="X270" s="148">
        <v>8.9999999999999996E-7</v>
      </c>
      <c r="Y270" s="9">
        <v>0.13</v>
      </c>
      <c r="Z270" s="9" t="s">
        <v>2080</v>
      </c>
      <c r="AA270" s="9">
        <v>4.4999999999999998E-2</v>
      </c>
      <c r="AB270" s="9" t="s">
        <v>109</v>
      </c>
      <c r="AC270" s="9" t="s">
        <v>385</v>
      </c>
    </row>
    <row r="271" spans="1:29" ht="13.9">
      <c r="A271" s="17" t="s">
        <v>52</v>
      </c>
      <c r="B271" s="17" t="s">
        <v>33</v>
      </c>
      <c r="C271" s="17" t="s">
        <v>74</v>
      </c>
      <c r="D271" s="17" t="s">
        <v>2081</v>
      </c>
      <c r="E271" s="17" t="s">
        <v>2082</v>
      </c>
      <c r="F271" s="149" t="s">
        <v>2083</v>
      </c>
      <c r="G271" s="17" t="s">
        <v>2084</v>
      </c>
      <c r="H271" s="17" t="s">
        <v>79</v>
      </c>
      <c r="I271" s="17" t="s">
        <v>133</v>
      </c>
      <c r="J271" s="17">
        <v>336473</v>
      </c>
      <c r="K271" s="90">
        <v>41</v>
      </c>
      <c r="L271" s="17">
        <v>16183</v>
      </c>
      <c r="M271" s="17">
        <f t="shared" ref="M271:M278" si="9">J271-L271</f>
        <v>320290</v>
      </c>
      <c r="N271" s="17" t="s">
        <v>79</v>
      </c>
      <c r="O271" s="17" t="s">
        <v>98</v>
      </c>
      <c r="P271" s="17" t="s">
        <v>62</v>
      </c>
      <c r="Q271" s="17">
        <v>0.92</v>
      </c>
      <c r="R271" s="17" t="s">
        <v>2085</v>
      </c>
      <c r="S271" s="17" t="s">
        <v>2086</v>
      </c>
      <c r="T271" s="17" t="s">
        <v>2084</v>
      </c>
      <c r="U271" s="17" t="s">
        <v>2084</v>
      </c>
      <c r="V271" s="17" t="s">
        <v>2084</v>
      </c>
      <c r="W271" s="17" t="s">
        <v>2084</v>
      </c>
      <c r="X271" s="17" t="s">
        <v>2084</v>
      </c>
      <c r="Y271" s="17" t="s">
        <v>2084</v>
      </c>
      <c r="Z271" s="17" t="s">
        <v>2084</v>
      </c>
      <c r="AA271" s="17" t="s">
        <v>2084</v>
      </c>
      <c r="AB271" s="17" t="s">
        <v>140</v>
      </c>
      <c r="AC271" s="17" t="s">
        <v>2087</v>
      </c>
    </row>
    <row r="272" spans="1:29" ht="13.9">
      <c r="A272" s="17" t="s">
        <v>52</v>
      </c>
      <c r="B272" s="17" t="s">
        <v>33</v>
      </c>
      <c r="C272" s="17" t="s">
        <v>74</v>
      </c>
      <c r="D272" s="17" t="s">
        <v>298</v>
      </c>
      <c r="E272" s="17" t="s">
        <v>2082</v>
      </c>
      <c r="F272" s="17" t="s">
        <v>79</v>
      </c>
      <c r="G272" s="17" t="s">
        <v>2084</v>
      </c>
      <c r="H272" s="17" t="s">
        <v>133</v>
      </c>
      <c r="I272" s="17" t="s">
        <v>133</v>
      </c>
      <c r="J272" s="17">
        <v>336473</v>
      </c>
      <c r="K272" s="90">
        <v>22</v>
      </c>
      <c r="L272" s="17">
        <v>16183</v>
      </c>
      <c r="M272" s="17">
        <f t="shared" si="9"/>
        <v>320290</v>
      </c>
      <c r="N272" s="17" t="s">
        <v>79</v>
      </c>
      <c r="O272" s="17" t="s">
        <v>98</v>
      </c>
      <c r="P272" s="17" t="s">
        <v>62</v>
      </c>
      <c r="Q272" s="17">
        <v>0.98</v>
      </c>
      <c r="R272" s="17" t="s">
        <v>2088</v>
      </c>
      <c r="S272" s="17">
        <v>0.16900000000000001</v>
      </c>
      <c r="T272" s="17" t="s">
        <v>2084</v>
      </c>
      <c r="U272" s="17" t="s">
        <v>2084</v>
      </c>
      <c r="V272" s="17" t="s">
        <v>2084</v>
      </c>
      <c r="W272" s="17" t="s">
        <v>2084</v>
      </c>
      <c r="X272" s="17" t="s">
        <v>2084</v>
      </c>
      <c r="Y272" s="17" t="s">
        <v>2084</v>
      </c>
      <c r="Z272" s="17" t="s">
        <v>2084</v>
      </c>
      <c r="AA272" s="17" t="s">
        <v>2084</v>
      </c>
      <c r="AB272" s="17" t="s">
        <v>140</v>
      </c>
      <c r="AC272" s="17" t="s">
        <v>2087</v>
      </c>
    </row>
    <row r="273" spans="1:29" ht="13.9">
      <c r="A273" s="17" t="s">
        <v>52</v>
      </c>
      <c r="B273" s="17" t="s">
        <v>33</v>
      </c>
      <c r="C273" s="17" t="s">
        <v>74</v>
      </c>
      <c r="D273" s="17" t="s">
        <v>2081</v>
      </c>
      <c r="E273" s="17" t="s">
        <v>2089</v>
      </c>
      <c r="F273" s="149" t="s">
        <v>2083</v>
      </c>
      <c r="G273" s="17" t="s">
        <v>2084</v>
      </c>
      <c r="H273" s="17" t="s">
        <v>79</v>
      </c>
      <c r="I273" s="17" t="s">
        <v>218</v>
      </c>
      <c r="J273" s="17">
        <v>215654</v>
      </c>
      <c r="K273" s="90">
        <v>41</v>
      </c>
      <c r="L273" s="17">
        <v>32469</v>
      </c>
      <c r="M273" s="17">
        <f t="shared" si="9"/>
        <v>183185</v>
      </c>
      <c r="N273" s="17" t="s">
        <v>79</v>
      </c>
      <c r="O273" s="17" t="s">
        <v>98</v>
      </c>
      <c r="P273" s="17" t="s">
        <v>62</v>
      </c>
      <c r="Q273" s="17">
        <v>0.28999999999999998</v>
      </c>
      <c r="R273" s="17" t="s">
        <v>2090</v>
      </c>
      <c r="S273" s="17" t="s">
        <v>2086</v>
      </c>
      <c r="T273" s="17" t="s">
        <v>2084</v>
      </c>
      <c r="U273" s="17" t="s">
        <v>2084</v>
      </c>
      <c r="V273" s="17" t="s">
        <v>2084</v>
      </c>
      <c r="W273" s="17" t="s">
        <v>2084</v>
      </c>
      <c r="X273" s="17" t="s">
        <v>2084</v>
      </c>
      <c r="Y273" s="17" t="s">
        <v>2084</v>
      </c>
      <c r="Z273" s="17" t="s">
        <v>2084</v>
      </c>
      <c r="AA273" s="17" t="s">
        <v>2084</v>
      </c>
      <c r="AB273" s="17" t="s">
        <v>140</v>
      </c>
      <c r="AC273" s="17" t="s">
        <v>2087</v>
      </c>
    </row>
    <row r="274" spans="1:29" ht="13.9">
      <c r="A274" s="17" t="s">
        <v>52</v>
      </c>
      <c r="B274" s="17" t="s">
        <v>33</v>
      </c>
      <c r="C274" s="17" t="s">
        <v>74</v>
      </c>
      <c r="D274" s="17" t="s">
        <v>298</v>
      </c>
      <c r="E274" s="17" t="s">
        <v>2089</v>
      </c>
      <c r="F274" s="17" t="s">
        <v>79</v>
      </c>
      <c r="G274" s="17" t="s">
        <v>2084</v>
      </c>
      <c r="H274" s="17" t="s">
        <v>133</v>
      </c>
      <c r="I274" s="17" t="s">
        <v>218</v>
      </c>
      <c r="J274" s="17">
        <v>215654</v>
      </c>
      <c r="K274" s="90">
        <v>22</v>
      </c>
      <c r="L274" s="17">
        <v>32469</v>
      </c>
      <c r="M274" s="17">
        <f t="shared" si="9"/>
        <v>183185</v>
      </c>
      <c r="N274" s="17" t="s">
        <v>79</v>
      </c>
      <c r="O274" s="17" t="s">
        <v>98</v>
      </c>
      <c r="P274" s="17" t="s">
        <v>62</v>
      </c>
      <c r="Q274" s="17">
        <v>1.24</v>
      </c>
      <c r="R274" s="17" t="s">
        <v>2091</v>
      </c>
      <c r="S274" s="90" t="s">
        <v>2092</v>
      </c>
      <c r="T274" s="17" t="s">
        <v>2084</v>
      </c>
      <c r="U274" s="17" t="s">
        <v>2084</v>
      </c>
      <c r="V274" s="17" t="s">
        <v>2084</v>
      </c>
      <c r="W274" s="17" t="s">
        <v>2084</v>
      </c>
      <c r="X274" s="17" t="s">
        <v>2084</v>
      </c>
      <c r="Y274" s="17" t="s">
        <v>2084</v>
      </c>
      <c r="Z274" s="17" t="s">
        <v>2084</v>
      </c>
      <c r="AA274" s="17" t="s">
        <v>2084</v>
      </c>
      <c r="AB274" s="17" t="s">
        <v>140</v>
      </c>
      <c r="AC274" s="17" t="s">
        <v>2087</v>
      </c>
    </row>
    <row r="275" spans="1:29" ht="13.9">
      <c r="A275" s="9" t="s">
        <v>52</v>
      </c>
      <c r="B275" s="9" t="s">
        <v>40</v>
      </c>
      <c r="C275" s="9" t="s">
        <v>74</v>
      </c>
      <c r="D275" s="9" t="s">
        <v>246</v>
      </c>
      <c r="E275" s="9" t="s">
        <v>618</v>
      </c>
      <c r="F275" s="9" t="s">
        <v>248</v>
      </c>
      <c r="G275" s="9" t="s">
        <v>79</v>
      </c>
      <c r="H275" s="9" t="s">
        <v>133</v>
      </c>
      <c r="I275" s="9" t="s">
        <v>1264</v>
      </c>
      <c r="J275" s="9">
        <v>249351</v>
      </c>
      <c r="K275" s="9">
        <v>17</v>
      </c>
      <c r="L275" s="9">
        <v>8489</v>
      </c>
      <c r="M275" s="9">
        <f t="shared" si="9"/>
        <v>240862</v>
      </c>
      <c r="N275" s="9" t="s">
        <v>97</v>
      </c>
      <c r="O275" s="9" t="s">
        <v>98</v>
      </c>
      <c r="P275" s="9" t="s">
        <v>79</v>
      </c>
      <c r="Q275" s="9">
        <v>1.2792968</v>
      </c>
      <c r="R275" s="9" t="s">
        <v>2093</v>
      </c>
      <c r="S275" s="9">
        <v>0.63579680000000005</v>
      </c>
      <c r="T275" s="9" t="s">
        <v>2094</v>
      </c>
      <c r="U275" s="9" t="s">
        <v>2095</v>
      </c>
      <c r="V275" s="9">
        <v>2.0952541</v>
      </c>
      <c r="W275" s="9" t="s">
        <v>2096</v>
      </c>
      <c r="X275" s="9">
        <v>0.22960050000000001</v>
      </c>
      <c r="Y275" s="9">
        <v>0.42065950000000002</v>
      </c>
      <c r="Z275" s="9" t="s">
        <v>2097</v>
      </c>
      <c r="AA275" s="9">
        <v>0.88463170000000002</v>
      </c>
      <c r="AB275" s="9" t="s">
        <v>109</v>
      </c>
      <c r="AC275" s="9" t="s">
        <v>2087</v>
      </c>
    </row>
    <row r="276" spans="1:29" ht="13.9">
      <c r="A276" s="9" t="s">
        <v>52</v>
      </c>
      <c r="B276" s="9" t="s">
        <v>40</v>
      </c>
      <c r="C276" s="9" t="s">
        <v>74</v>
      </c>
      <c r="D276" s="9" t="s">
        <v>75</v>
      </c>
      <c r="E276" s="9" t="s">
        <v>618</v>
      </c>
      <c r="F276" s="9" t="s">
        <v>113</v>
      </c>
      <c r="G276" s="9" t="s">
        <v>79</v>
      </c>
      <c r="H276" s="9" t="s">
        <v>133</v>
      </c>
      <c r="I276" s="9" t="s">
        <v>1264</v>
      </c>
      <c r="J276" s="9">
        <v>249351</v>
      </c>
      <c r="K276" s="9">
        <v>51</v>
      </c>
      <c r="L276" s="9">
        <v>8489</v>
      </c>
      <c r="M276" s="9">
        <f t="shared" si="9"/>
        <v>240862</v>
      </c>
      <c r="N276" s="9" t="s">
        <v>97</v>
      </c>
      <c r="O276" s="9" t="s">
        <v>98</v>
      </c>
      <c r="P276" s="9" t="s">
        <v>79</v>
      </c>
      <c r="Q276" s="9">
        <v>1.008756</v>
      </c>
      <c r="R276" s="9" t="s">
        <v>2433</v>
      </c>
      <c r="S276" s="9">
        <v>0.98233250000000005</v>
      </c>
      <c r="T276" s="9">
        <v>104.4806</v>
      </c>
      <c r="U276" s="9" t="s">
        <v>2099</v>
      </c>
      <c r="V276" s="9">
        <v>0.80304600000000004</v>
      </c>
      <c r="W276" s="9" t="s">
        <v>2100</v>
      </c>
      <c r="X276" s="9">
        <v>0.62576200000000004</v>
      </c>
      <c r="Y276" s="9">
        <v>2.545023</v>
      </c>
      <c r="Z276" s="9" t="s">
        <v>2101</v>
      </c>
      <c r="AA276" s="9">
        <v>0.49317840000000002</v>
      </c>
      <c r="AB276" s="9" t="s">
        <v>109</v>
      </c>
      <c r="AC276" s="9" t="s">
        <v>2087</v>
      </c>
    </row>
    <row r="277" spans="1:29" ht="13.9">
      <c r="A277" s="9" t="s">
        <v>52</v>
      </c>
      <c r="B277" s="9" t="s">
        <v>40</v>
      </c>
      <c r="C277" s="9" t="s">
        <v>74</v>
      </c>
      <c r="D277" s="9" t="s">
        <v>459</v>
      </c>
      <c r="E277" s="9" t="s">
        <v>618</v>
      </c>
      <c r="F277" s="9" t="s">
        <v>215</v>
      </c>
      <c r="G277" s="9" t="s">
        <v>79</v>
      </c>
      <c r="H277" s="9" t="s">
        <v>133</v>
      </c>
      <c r="I277" s="9" t="s">
        <v>1264</v>
      </c>
      <c r="J277" s="9">
        <v>249351</v>
      </c>
      <c r="K277" s="9">
        <v>17</v>
      </c>
      <c r="L277" s="9">
        <v>8489</v>
      </c>
      <c r="M277" s="9">
        <f t="shared" si="9"/>
        <v>240862</v>
      </c>
      <c r="N277" s="9" t="s">
        <v>97</v>
      </c>
      <c r="O277" s="9" t="s">
        <v>98</v>
      </c>
      <c r="P277" s="9" t="s">
        <v>79</v>
      </c>
      <c r="Q277" s="9">
        <v>1.5600090799999999</v>
      </c>
      <c r="R277" s="9" t="s">
        <v>2102</v>
      </c>
      <c r="S277" s="9">
        <v>0.48051983999999998</v>
      </c>
      <c r="T277" s="9">
        <v>28.230499999999999</v>
      </c>
      <c r="U277" s="9">
        <v>2.967204E-2</v>
      </c>
      <c r="V277" s="9">
        <v>2.3323616710000001</v>
      </c>
      <c r="W277" s="9" t="s">
        <v>2103</v>
      </c>
      <c r="X277" s="9">
        <v>0.24853048999999999</v>
      </c>
      <c r="Y277" s="9">
        <v>4.5463669999999999E-3</v>
      </c>
      <c r="Z277" s="9" t="s">
        <v>2437</v>
      </c>
      <c r="AA277" s="9">
        <v>5.587831E-2</v>
      </c>
      <c r="AB277" s="9" t="s">
        <v>109</v>
      </c>
      <c r="AC277" s="9" t="s">
        <v>2087</v>
      </c>
    </row>
    <row r="278" spans="1:29" ht="13.9">
      <c r="A278" s="9" t="s">
        <v>52</v>
      </c>
      <c r="B278" s="9" t="s">
        <v>40</v>
      </c>
      <c r="C278" s="9" t="s">
        <v>74</v>
      </c>
      <c r="D278" s="9" t="s">
        <v>164</v>
      </c>
      <c r="E278" s="9" t="s">
        <v>618</v>
      </c>
      <c r="F278" s="9" t="s">
        <v>165</v>
      </c>
      <c r="G278" s="9" t="s">
        <v>79</v>
      </c>
      <c r="H278" s="9" t="s">
        <v>133</v>
      </c>
      <c r="I278" s="9" t="s">
        <v>1264</v>
      </c>
      <c r="J278" s="9">
        <v>249351</v>
      </c>
      <c r="K278" s="9">
        <v>39</v>
      </c>
      <c r="L278" s="9">
        <v>8489</v>
      </c>
      <c r="M278" s="9">
        <f t="shared" si="9"/>
        <v>240862</v>
      </c>
      <c r="N278" s="9" t="s">
        <v>97</v>
      </c>
      <c r="O278" s="9" t="s">
        <v>98</v>
      </c>
      <c r="P278" s="9" t="s">
        <v>79</v>
      </c>
      <c r="Q278" s="9">
        <v>0.53295590000000004</v>
      </c>
      <c r="R278" s="9" t="s">
        <v>2105</v>
      </c>
      <c r="S278" s="9">
        <v>4.7207190000000003E-2</v>
      </c>
      <c r="T278" s="9">
        <v>70.334609999999998</v>
      </c>
      <c r="U278" s="9">
        <v>1.0992949999999999E-3</v>
      </c>
      <c r="V278" s="9">
        <v>0.60422419999999999</v>
      </c>
      <c r="W278" s="9" t="s">
        <v>2106</v>
      </c>
      <c r="X278" s="9">
        <v>0.16190990999999999</v>
      </c>
      <c r="Y278" s="9">
        <v>3.8417899999999998E-2</v>
      </c>
      <c r="Z278" s="9" t="s">
        <v>2107</v>
      </c>
      <c r="AA278" s="9">
        <v>2.2466630000000001E-2</v>
      </c>
      <c r="AB278" s="9" t="s">
        <v>109</v>
      </c>
      <c r="AC278" s="9" t="s">
        <v>2087</v>
      </c>
    </row>
    <row r="279" spans="1:29" ht="13.9">
      <c r="A279" s="9" t="s">
        <v>52</v>
      </c>
      <c r="B279" s="9" t="s">
        <v>71</v>
      </c>
      <c r="C279" s="9" t="s">
        <v>74</v>
      </c>
      <c r="D279" s="9" t="s">
        <v>246</v>
      </c>
      <c r="E279" s="9" t="s">
        <v>492</v>
      </c>
      <c r="F279" s="9" t="s">
        <v>248</v>
      </c>
      <c r="G279" s="9" t="s">
        <v>493</v>
      </c>
      <c r="H279" s="9" t="s">
        <v>133</v>
      </c>
      <c r="I279" s="9" t="s">
        <v>218</v>
      </c>
      <c r="J279" s="9">
        <v>195.762</v>
      </c>
      <c r="K279" s="9">
        <v>17</v>
      </c>
      <c r="L279" s="9" t="s">
        <v>79</v>
      </c>
      <c r="M279" s="9" t="s">
        <v>79</v>
      </c>
      <c r="N279" s="9" t="s">
        <v>97</v>
      </c>
      <c r="O279" s="9" t="s">
        <v>98</v>
      </c>
      <c r="P279" s="9" t="s">
        <v>79</v>
      </c>
      <c r="Q279" s="9" t="s">
        <v>2108</v>
      </c>
      <c r="R279" s="9" t="s">
        <v>2109</v>
      </c>
      <c r="S279" s="9" t="s">
        <v>1112</v>
      </c>
      <c r="T279" s="9" t="s">
        <v>62</v>
      </c>
      <c r="U279" s="9" t="s">
        <v>62</v>
      </c>
      <c r="V279" s="9" t="s">
        <v>62</v>
      </c>
      <c r="W279" s="9" t="s">
        <v>62</v>
      </c>
      <c r="X279" s="9" t="s">
        <v>62</v>
      </c>
      <c r="Y279" s="9" t="s">
        <v>62</v>
      </c>
      <c r="Z279" s="9" t="s">
        <v>62</v>
      </c>
      <c r="AA279" s="9" t="s">
        <v>62</v>
      </c>
      <c r="AB279" s="9" t="s">
        <v>109</v>
      </c>
      <c r="AC279" s="9" t="s">
        <v>145</v>
      </c>
    </row>
    <row r="280" spans="1:29" ht="13.9">
      <c r="A280" s="9" t="s">
        <v>52</v>
      </c>
      <c r="B280" s="9" t="s">
        <v>71</v>
      </c>
      <c r="C280" s="9" t="s">
        <v>74</v>
      </c>
      <c r="D280" s="9" t="s">
        <v>622</v>
      </c>
      <c r="E280" s="9" t="s">
        <v>492</v>
      </c>
      <c r="F280" s="9" t="s">
        <v>215</v>
      </c>
      <c r="G280" s="9" t="s">
        <v>493</v>
      </c>
      <c r="H280" s="9" t="s">
        <v>133</v>
      </c>
      <c r="I280" s="9" t="s">
        <v>218</v>
      </c>
      <c r="J280" s="9">
        <v>195.762</v>
      </c>
      <c r="K280" s="9">
        <v>22</v>
      </c>
      <c r="L280" s="9" t="s">
        <v>79</v>
      </c>
      <c r="M280" s="9" t="s">
        <v>79</v>
      </c>
      <c r="N280" s="9" t="s">
        <v>97</v>
      </c>
      <c r="O280" s="9" t="s">
        <v>98</v>
      </c>
      <c r="P280" s="9" t="s">
        <v>79</v>
      </c>
      <c r="Q280" s="9" t="s">
        <v>2110</v>
      </c>
      <c r="R280" s="9" t="s">
        <v>2111</v>
      </c>
      <c r="S280" s="9" t="s">
        <v>2112</v>
      </c>
      <c r="T280" s="9" t="s">
        <v>62</v>
      </c>
      <c r="U280" s="9" t="s">
        <v>62</v>
      </c>
      <c r="V280" s="9" t="s">
        <v>62</v>
      </c>
      <c r="W280" s="9" t="s">
        <v>62</v>
      </c>
      <c r="X280" s="9" t="s">
        <v>62</v>
      </c>
      <c r="Y280" s="9" t="s">
        <v>62</v>
      </c>
      <c r="Z280" s="9" t="s">
        <v>62</v>
      </c>
      <c r="AA280" s="9" t="s">
        <v>62</v>
      </c>
      <c r="AB280" s="9" t="s">
        <v>109</v>
      </c>
      <c r="AC280" s="9" t="s">
        <v>145</v>
      </c>
    </row>
    <row r="281" spans="1:29" ht="13.9">
      <c r="A281" s="9" t="s">
        <v>52</v>
      </c>
      <c r="B281" s="9" t="s">
        <v>71</v>
      </c>
      <c r="C281" s="9" t="s">
        <v>74</v>
      </c>
      <c r="D281" s="9" t="s">
        <v>75</v>
      </c>
      <c r="E281" s="9" t="s">
        <v>492</v>
      </c>
      <c r="F281" s="9" t="s">
        <v>113</v>
      </c>
      <c r="G281" s="9" t="s">
        <v>493</v>
      </c>
      <c r="H281" s="9" t="s">
        <v>133</v>
      </c>
      <c r="I281" s="9" t="s">
        <v>218</v>
      </c>
      <c r="J281" s="9">
        <v>195.762</v>
      </c>
      <c r="K281" s="9">
        <v>55</v>
      </c>
      <c r="L281" s="9" t="s">
        <v>79</v>
      </c>
      <c r="M281" s="9" t="s">
        <v>79</v>
      </c>
      <c r="N281" s="9" t="s">
        <v>97</v>
      </c>
      <c r="O281" s="9" t="s">
        <v>98</v>
      </c>
      <c r="P281" s="9" t="s">
        <v>79</v>
      </c>
      <c r="Q281" s="9" t="s">
        <v>494</v>
      </c>
      <c r="R281" s="9" t="s">
        <v>495</v>
      </c>
      <c r="S281" s="9" t="s">
        <v>350</v>
      </c>
      <c r="T281" s="9" t="s">
        <v>62</v>
      </c>
      <c r="U281" s="9" t="s">
        <v>62</v>
      </c>
      <c r="V281" s="9" t="s">
        <v>62</v>
      </c>
      <c r="W281" s="9" t="s">
        <v>62</v>
      </c>
      <c r="X281" s="9" t="s">
        <v>62</v>
      </c>
      <c r="Y281" s="9" t="s">
        <v>62</v>
      </c>
      <c r="Z281" s="9" t="s">
        <v>62</v>
      </c>
      <c r="AA281" s="9" t="s">
        <v>62</v>
      </c>
      <c r="AB281" s="9" t="s">
        <v>109</v>
      </c>
      <c r="AC281" s="9" t="s">
        <v>145</v>
      </c>
    </row>
    <row r="282" spans="1:29" ht="13.9">
      <c r="A282" s="9" t="s">
        <v>52</v>
      </c>
      <c r="B282" s="9" t="s">
        <v>71</v>
      </c>
      <c r="C282" s="9" t="s">
        <v>74</v>
      </c>
      <c r="D282" s="9" t="s">
        <v>164</v>
      </c>
      <c r="E282" s="9" t="s">
        <v>492</v>
      </c>
      <c r="F282" s="9" t="s">
        <v>165</v>
      </c>
      <c r="G282" s="9" t="s">
        <v>493</v>
      </c>
      <c r="H282" s="9" t="s">
        <v>133</v>
      </c>
      <c r="I282" s="9" t="s">
        <v>218</v>
      </c>
      <c r="J282" s="9">
        <v>195.762</v>
      </c>
      <c r="K282" s="9">
        <v>43</v>
      </c>
      <c r="L282" s="9" t="s">
        <v>79</v>
      </c>
      <c r="M282" s="9" t="s">
        <v>79</v>
      </c>
      <c r="N282" s="9" t="s">
        <v>97</v>
      </c>
      <c r="O282" s="9" t="s">
        <v>98</v>
      </c>
      <c r="P282" s="9" t="s">
        <v>79</v>
      </c>
      <c r="Q282" s="9" t="s">
        <v>2115</v>
      </c>
      <c r="R282" s="9" t="s">
        <v>2116</v>
      </c>
      <c r="S282" s="9" t="s">
        <v>2117</v>
      </c>
      <c r="T282" s="9" t="s">
        <v>62</v>
      </c>
      <c r="U282" s="9" t="s">
        <v>62</v>
      </c>
      <c r="V282" s="9" t="s">
        <v>62</v>
      </c>
      <c r="W282" s="9" t="s">
        <v>62</v>
      </c>
      <c r="X282" s="9" t="s">
        <v>62</v>
      </c>
      <c r="Y282" s="9" t="s">
        <v>62</v>
      </c>
      <c r="Z282" s="9" t="s">
        <v>62</v>
      </c>
      <c r="AA282" s="9" t="s">
        <v>62</v>
      </c>
      <c r="AB282" s="9" t="s">
        <v>109</v>
      </c>
      <c r="AC282" s="9" t="s">
        <v>145</v>
      </c>
    </row>
    <row r="283" spans="1:29" ht="13.9">
      <c r="A283" s="9" t="s">
        <v>52</v>
      </c>
      <c r="B283" s="9" t="s">
        <v>71</v>
      </c>
      <c r="C283" s="9" t="s">
        <v>74</v>
      </c>
      <c r="D283" s="9" t="s">
        <v>246</v>
      </c>
      <c r="E283" s="9" t="s">
        <v>1938</v>
      </c>
      <c r="F283" s="9" t="s">
        <v>248</v>
      </c>
      <c r="G283" s="9" t="s">
        <v>1939</v>
      </c>
      <c r="H283" s="9" t="s">
        <v>133</v>
      </c>
      <c r="I283" s="9" t="s">
        <v>218</v>
      </c>
      <c r="J283" s="9">
        <v>198.441</v>
      </c>
      <c r="K283" s="9">
        <v>17</v>
      </c>
      <c r="L283" s="9" t="s">
        <v>79</v>
      </c>
      <c r="M283" s="9" t="s">
        <v>79</v>
      </c>
      <c r="N283" s="9" t="s">
        <v>97</v>
      </c>
      <c r="O283" s="9" t="s">
        <v>98</v>
      </c>
      <c r="P283" s="9" t="s">
        <v>79</v>
      </c>
      <c r="Q283" s="9" t="s">
        <v>880</v>
      </c>
      <c r="R283" s="9" t="s">
        <v>2120</v>
      </c>
      <c r="S283" s="9" t="s">
        <v>2121</v>
      </c>
      <c r="T283" s="9" t="s">
        <v>62</v>
      </c>
      <c r="U283" s="9" t="s">
        <v>62</v>
      </c>
      <c r="V283" s="9" t="s">
        <v>62</v>
      </c>
      <c r="W283" s="9" t="s">
        <v>62</v>
      </c>
      <c r="X283" s="9" t="s">
        <v>62</v>
      </c>
      <c r="Y283" s="9" t="s">
        <v>62</v>
      </c>
      <c r="Z283" s="9" t="s">
        <v>62</v>
      </c>
      <c r="AA283" s="9" t="s">
        <v>62</v>
      </c>
      <c r="AB283" s="9" t="s">
        <v>140</v>
      </c>
      <c r="AC283" s="9" t="s">
        <v>145</v>
      </c>
    </row>
    <row r="284" spans="1:29" ht="13.9">
      <c r="A284" s="9" t="s">
        <v>52</v>
      </c>
      <c r="B284" s="9" t="s">
        <v>71</v>
      </c>
      <c r="C284" s="9" t="s">
        <v>74</v>
      </c>
      <c r="D284" s="9" t="s">
        <v>622</v>
      </c>
      <c r="E284" s="9" t="s">
        <v>1938</v>
      </c>
      <c r="F284" s="9" t="s">
        <v>215</v>
      </c>
      <c r="G284" s="9" t="s">
        <v>1939</v>
      </c>
      <c r="H284" s="9" t="s">
        <v>133</v>
      </c>
      <c r="I284" s="9" t="s">
        <v>218</v>
      </c>
      <c r="J284" s="9">
        <v>198.441</v>
      </c>
      <c r="K284" s="9">
        <v>22</v>
      </c>
      <c r="L284" s="9" t="s">
        <v>79</v>
      </c>
      <c r="M284" s="9" t="s">
        <v>79</v>
      </c>
      <c r="N284" s="9" t="s">
        <v>97</v>
      </c>
      <c r="O284" s="9" t="s">
        <v>98</v>
      </c>
      <c r="P284" s="9" t="s">
        <v>79</v>
      </c>
      <c r="Q284" s="9" t="s">
        <v>1968</v>
      </c>
      <c r="R284" s="9" t="s">
        <v>2122</v>
      </c>
      <c r="S284" s="9" t="s">
        <v>2123</v>
      </c>
      <c r="T284" s="9" t="s">
        <v>62</v>
      </c>
      <c r="U284" s="9" t="s">
        <v>62</v>
      </c>
      <c r="V284" s="9" t="s">
        <v>62</v>
      </c>
      <c r="W284" s="9" t="s">
        <v>62</v>
      </c>
      <c r="X284" s="9" t="s">
        <v>62</v>
      </c>
      <c r="Y284" s="9" t="s">
        <v>62</v>
      </c>
      <c r="Z284" s="9" t="s">
        <v>62</v>
      </c>
      <c r="AA284" s="9" t="s">
        <v>62</v>
      </c>
      <c r="AB284" s="9" t="s">
        <v>140</v>
      </c>
      <c r="AC284" s="9" t="s">
        <v>145</v>
      </c>
    </row>
    <row r="285" spans="1:29" ht="13.9">
      <c r="A285" s="9" t="s">
        <v>52</v>
      </c>
      <c r="B285" s="9" t="s">
        <v>71</v>
      </c>
      <c r="C285" s="9" t="s">
        <v>74</v>
      </c>
      <c r="D285" s="9" t="s">
        <v>75</v>
      </c>
      <c r="E285" s="9" t="s">
        <v>1938</v>
      </c>
      <c r="F285" s="9" t="s">
        <v>113</v>
      </c>
      <c r="G285" s="9" t="s">
        <v>1939</v>
      </c>
      <c r="H285" s="9" t="s">
        <v>133</v>
      </c>
      <c r="I285" s="9" t="s">
        <v>218</v>
      </c>
      <c r="J285" s="9">
        <v>198.441</v>
      </c>
      <c r="K285" s="9">
        <v>55</v>
      </c>
      <c r="L285" s="9" t="s">
        <v>79</v>
      </c>
      <c r="M285" s="9" t="s">
        <v>79</v>
      </c>
      <c r="N285" s="9" t="s">
        <v>97</v>
      </c>
      <c r="O285" s="9" t="s">
        <v>98</v>
      </c>
      <c r="P285" s="9" t="s">
        <v>79</v>
      </c>
      <c r="Q285" s="9" t="s">
        <v>946</v>
      </c>
      <c r="R285" s="9" t="s">
        <v>1940</v>
      </c>
      <c r="S285" s="9" t="s">
        <v>1941</v>
      </c>
      <c r="T285" s="9" t="s">
        <v>62</v>
      </c>
      <c r="U285" s="9" t="s">
        <v>62</v>
      </c>
      <c r="V285" s="9" t="s">
        <v>62</v>
      </c>
      <c r="W285" s="9" t="s">
        <v>62</v>
      </c>
      <c r="X285" s="9" t="s">
        <v>62</v>
      </c>
      <c r="Y285" s="9" t="s">
        <v>62</v>
      </c>
      <c r="Z285" s="9" t="s">
        <v>62</v>
      </c>
      <c r="AA285" s="9" t="s">
        <v>62</v>
      </c>
      <c r="AB285" s="9" t="s">
        <v>140</v>
      </c>
      <c r="AC285" s="9" t="s">
        <v>145</v>
      </c>
    </row>
    <row r="286" spans="1:29" ht="13.9">
      <c r="A286" s="9" t="s">
        <v>52</v>
      </c>
      <c r="B286" s="9" t="s">
        <v>71</v>
      </c>
      <c r="C286" s="9" t="s">
        <v>74</v>
      </c>
      <c r="D286" s="9" t="s">
        <v>164</v>
      </c>
      <c r="E286" s="9" t="s">
        <v>1938</v>
      </c>
      <c r="F286" s="9" t="s">
        <v>165</v>
      </c>
      <c r="G286" s="9" t="s">
        <v>1939</v>
      </c>
      <c r="H286" s="9" t="s">
        <v>133</v>
      </c>
      <c r="I286" s="9" t="s">
        <v>218</v>
      </c>
      <c r="J286" s="9">
        <v>198.441</v>
      </c>
      <c r="K286" s="9">
        <v>43</v>
      </c>
      <c r="L286" s="9" t="s">
        <v>79</v>
      </c>
      <c r="M286" s="9" t="s">
        <v>79</v>
      </c>
      <c r="N286" s="9" t="s">
        <v>97</v>
      </c>
      <c r="O286" s="9" t="s">
        <v>98</v>
      </c>
      <c r="P286" s="9" t="s">
        <v>79</v>
      </c>
      <c r="Q286" s="9" t="s">
        <v>1085</v>
      </c>
      <c r="R286" s="9" t="s">
        <v>2124</v>
      </c>
      <c r="S286" s="9" t="s">
        <v>2125</v>
      </c>
      <c r="T286" s="9" t="s">
        <v>62</v>
      </c>
      <c r="U286" s="9" t="s">
        <v>62</v>
      </c>
      <c r="V286" s="9" t="s">
        <v>62</v>
      </c>
      <c r="W286" s="9" t="s">
        <v>62</v>
      </c>
      <c r="X286" s="9" t="s">
        <v>62</v>
      </c>
      <c r="Y286" s="9" t="s">
        <v>62</v>
      </c>
      <c r="Z286" s="9" t="s">
        <v>62</v>
      </c>
      <c r="AA286" s="9" t="s">
        <v>62</v>
      </c>
      <c r="AB286" s="9" t="s">
        <v>140</v>
      </c>
      <c r="AC286" s="9" t="s">
        <v>145</v>
      </c>
    </row>
    <row r="287" spans="1:29" ht="13.9">
      <c r="A287" s="9" t="s">
        <v>52</v>
      </c>
      <c r="B287" s="9" t="s">
        <v>71</v>
      </c>
      <c r="C287" s="9" t="s">
        <v>74</v>
      </c>
      <c r="D287" s="9" t="s">
        <v>246</v>
      </c>
      <c r="E287" s="9" t="s">
        <v>324</v>
      </c>
      <c r="F287" s="9" t="s">
        <v>248</v>
      </c>
      <c r="G287" s="9" t="s">
        <v>325</v>
      </c>
      <c r="H287" s="9" t="s">
        <v>133</v>
      </c>
      <c r="I287" s="9" t="s">
        <v>218</v>
      </c>
      <c r="J287" s="65">
        <v>195544</v>
      </c>
      <c r="K287" s="9">
        <v>17</v>
      </c>
      <c r="L287" s="9" t="s">
        <v>79</v>
      </c>
      <c r="M287" s="9" t="s">
        <v>79</v>
      </c>
      <c r="N287" s="9" t="s">
        <v>97</v>
      </c>
      <c r="O287" s="9" t="s">
        <v>98</v>
      </c>
      <c r="P287" s="9" t="s">
        <v>79</v>
      </c>
      <c r="Q287" s="9">
        <v>1.28</v>
      </c>
      <c r="R287" s="9" t="s">
        <v>2126</v>
      </c>
      <c r="S287" s="9">
        <v>0.94</v>
      </c>
      <c r="T287" s="9" t="s">
        <v>62</v>
      </c>
      <c r="U287" s="9" t="s">
        <v>62</v>
      </c>
      <c r="V287" s="9" t="s">
        <v>62</v>
      </c>
      <c r="W287" s="9" t="s">
        <v>62</v>
      </c>
      <c r="X287" s="9" t="s">
        <v>62</v>
      </c>
      <c r="Y287" s="9" t="s">
        <v>62</v>
      </c>
      <c r="Z287" s="9" t="s">
        <v>62</v>
      </c>
      <c r="AA287" s="9" t="s">
        <v>62</v>
      </c>
      <c r="AB287" s="9" t="s">
        <v>109</v>
      </c>
      <c r="AC287" s="9" t="s">
        <v>145</v>
      </c>
    </row>
    <row r="288" spans="1:29" ht="13.9">
      <c r="A288" s="9" t="s">
        <v>52</v>
      </c>
      <c r="B288" s="9" t="s">
        <v>71</v>
      </c>
      <c r="C288" s="9" t="s">
        <v>74</v>
      </c>
      <c r="D288" s="9" t="s">
        <v>622</v>
      </c>
      <c r="E288" s="9" t="s">
        <v>324</v>
      </c>
      <c r="F288" s="9" t="s">
        <v>215</v>
      </c>
      <c r="G288" s="9" t="s">
        <v>325</v>
      </c>
      <c r="H288" s="9" t="s">
        <v>133</v>
      </c>
      <c r="I288" s="9" t="s">
        <v>218</v>
      </c>
      <c r="J288" s="65">
        <v>195544</v>
      </c>
      <c r="K288" s="9">
        <v>22</v>
      </c>
      <c r="L288" s="9" t="s">
        <v>79</v>
      </c>
      <c r="M288" s="9" t="s">
        <v>79</v>
      </c>
      <c r="N288" s="9" t="s">
        <v>97</v>
      </c>
      <c r="O288" s="9" t="s">
        <v>98</v>
      </c>
      <c r="P288" s="9" t="s">
        <v>79</v>
      </c>
      <c r="Q288" s="9">
        <v>0.32</v>
      </c>
      <c r="R288" s="9" t="s">
        <v>2127</v>
      </c>
      <c r="S288" s="9">
        <v>0.78</v>
      </c>
      <c r="T288" s="9" t="s">
        <v>62</v>
      </c>
      <c r="U288" s="9" t="s">
        <v>62</v>
      </c>
      <c r="V288" s="9" t="s">
        <v>62</v>
      </c>
      <c r="W288" s="9" t="s">
        <v>62</v>
      </c>
      <c r="X288" s="9" t="s">
        <v>62</v>
      </c>
      <c r="Y288" s="9" t="s">
        <v>62</v>
      </c>
      <c r="Z288" s="9" t="s">
        <v>62</v>
      </c>
      <c r="AA288" s="9" t="s">
        <v>62</v>
      </c>
      <c r="AB288" s="9" t="s">
        <v>109</v>
      </c>
      <c r="AC288" s="9" t="s">
        <v>145</v>
      </c>
    </row>
    <row r="289" spans="1:29" ht="13.9">
      <c r="A289" s="9" t="s">
        <v>52</v>
      </c>
      <c r="B289" s="9" t="s">
        <v>71</v>
      </c>
      <c r="C289" s="9" t="s">
        <v>74</v>
      </c>
      <c r="D289" s="9" t="s">
        <v>75</v>
      </c>
      <c r="E289" s="9" t="s">
        <v>324</v>
      </c>
      <c r="F289" s="9" t="s">
        <v>113</v>
      </c>
      <c r="G289" s="9" t="s">
        <v>325</v>
      </c>
      <c r="H289" s="9" t="s">
        <v>133</v>
      </c>
      <c r="I289" s="9" t="s">
        <v>218</v>
      </c>
      <c r="J289" s="65">
        <v>195544</v>
      </c>
      <c r="K289" s="9">
        <v>55</v>
      </c>
      <c r="L289" s="9" t="s">
        <v>79</v>
      </c>
      <c r="M289" s="9" t="s">
        <v>79</v>
      </c>
      <c r="N289" s="9" t="s">
        <v>97</v>
      </c>
      <c r="O289" s="9" t="s">
        <v>98</v>
      </c>
      <c r="P289" s="9" t="s">
        <v>79</v>
      </c>
      <c r="Q289" s="9">
        <v>0.53</v>
      </c>
      <c r="R289" s="9" t="s">
        <v>326</v>
      </c>
      <c r="S289" s="9">
        <v>0.75</v>
      </c>
      <c r="T289" s="9" t="s">
        <v>62</v>
      </c>
      <c r="U289" s="9" t="s">
        <v>62</v>
      </c>
      <c r="V289" s="9" t="s">
        <v>62</v>
      </c>
      <c r="W289" s="9" t="s">
        <v>62</v>
      </c>
      <c r="X289" s="9" t="s">
        <v>62</v>
      </c>
      <c r="Y289" s="9" t="s">
        <v>62</v>
      </c>
      <c r="Z289" s="9" t="s">
        <v>62</v>
      </c>
      <c r="AA289" s="9" t="s">
        <v>62</v>
      </c>
      <c r="AB289" s="9" t="s">
        <v>109</v>
      </c>
      <c r="AC289" s="9" t="s">
        <v>145</v>
      </c>
    </row>
    <row r="290" spans="1:29" ht="13.9">
      <c r="A290" s="9" t="s">
        <v>52</v>
      </c>
      <c r="B290" s="9" t="s">
        <v>71</v>
      </c>
      <c r="C290" s="9" t="s">
        <v>74</v>
      </c>
      <c r="D290" s="9" t="s">
        <v>164</v>
      </c>
      <c r="E290" s="9" t="s">
        <v>324</v>
      </c>
      <c r="F290" s="9" t="s">
        <v>165</v>
      </c>
      <c r="G290" s="9" t="s">
        <v>325</v>
      </c>
      <c r="H290" s="9" t="s">
        <v>133</v>
      </c>
      <c r="I290" s="9" t="s">
        <v>218</v>
      </c>
      <c r="J290" s="65">
        <v>195544</v>
      </c>
      <c r="K290" s="9">
        <v>43</v>
      </c>
      <c r="L290" s="9" t="s">
        <v>79</v>
      </c>
      <c r="M290" s="9" t="s">
        <v>79</v>
      </c>
      <c r="N290" s="9" t="s">
        <v>97</v>
      </c>
      <c r="O290" s="9" t="s">
        <v>98</v>
      </c>
      <c r="P290" s="9" t="s">
        <v>79</v>
      </c>
      <c r="Q290" s="9">
        <v>0.02</v>
      </c>
      <c r="R290" s="9" t="s">
        <v>2128</v>
      </c>
      <c r="S290" s="9">
        <v>0.01</v>
      </c>
      <c r="T290" s="9" t="s">
        <v>62</v>
      </c>
      <c r="U290" s="9" t="s">
        <v>62</v>
      </c>
      <c r="V290" s="9" t="s">
        <v>62</v>
      </c>
      <c r="W290" s="9" t="s">
        <v>62</v>
      </c>
      <c r="X290" s="9" t="s">
        <v>62</v>
      </c>
      <c r="Y290" s="9" t="s">
        <v>62</v>
      </c>
      <c r="Z290" s="9" t="s">
        <v>62</v>
      </c>
      <c r="AA290" s="9" t="s">
        <v>62</v>
      </c>
      <c r="AB290" s="9" t="s">
        <v>109</v>
      </c>
      <c r="AC290" s="9" t="s">
        <v>145</v>
      </c>
    </row>
    <row r="291" spans="1:29" ht="13.9">
      <c r="A291" s="9" t="s">
        <v>52</v>
      </c>
      <c r="B291" s="9" t="s">
        <v>71</v>
      </c>
      <c r="C291" s="9" t="s">
        <v>74</v>
      </c>
      <c r="D291" s="9" t="s">
        <v>246</v>
      </c>
      <c r="E291" s="9" t="s">
        <v>1794</v>
      </c>
      <c r="F291" s="9" t="s">
        <v>248</v>
      </c>
      <c r="G291" s="9" t="s">
        <v>1795</v>
      </c>
      <c r="H291" s="9" t="s">
        <v>133</v>
      </c>
      <c r="I291" s="9" t="s">
        <v>218</v>
      </c>
      <c r="J291" s="65">
        <v>196245</v>
      </c>
      <c r="K291" s="9">
        <v>17</v>
      </c>
      <c r="L291" s="9" t="s">
        <v>79</v>
      </c>
      <c r="M291" s="9" t="s">
        <v>79</v>
      </c>
      <c r="N291" s="9" t="s">
        <v>97</v>
      </c>
      <c r="O291" s="9" t="s">
        <v>98</v>
      </c>
      <c r="P291" s="9" t="s">
        <v>79</v>
      </c>
      <c r="Q291" s="9">
        <v>0.48</v>
      </c>
      <c r="R291" s="9" t="s">
        <v>2129</v>
      </c>
      <c r="S291" s="9">
        <v>0.56000000000000005</v>
      </c>
      <c r="T291" s="9" t="s">
        <v>62</v>
      </c>
      <c r="U291" s="9" t="s">
        <v>62</v>
      </c>
      <c r="V291" s="9" t="s">
        <v>62</v>
      </c>
      <c r="W291" s="9" t="s">
        <v>62</v>
      </c>
      <c r="X291" s="9" t="s">
        <v>62</v>
      </c>
      <c r="Y291" s="9" t="s">
        <v>62</v>
      </c>
      <c r="Z291" s="9" t="s">
        <v>62</v>
      </c>
      <c r="AA291" s="9" t="s">
        <v>62</v>
      </c>
      <c r="AB291" s="9" t="s">
        <v>140</v>
      </c>
      <c r="AC291" s="9" t="s">
        <v>145</v>
      </c>
    </row>
    <row r="292" spans="1:29" ht="13.9">
      <c r="A292" s="9" t="s">
        <v>52</v>
      </c>
      <c r="B292" s="9" t="s">
        <v>71</v>
      </c>
      <c r="C292" s="9" t="s">
        <v>74</v>
      </c>
      <c r="D292" s="9" t="s">
        <v>622</v>
      </c>
      <c r="E292" s="9" t="s">
        <v>1794</v>
      </c>
      <c r="F292" s="9" t="s">
        <v>215</v>
      </c>
      <c r="G292" s="9" t="s">
        <v>1795</v>
      </c>
      <c r="H292" s="9" t="s">
        <v>133</v>
      </c>
      <c r="I292" s="9" t="s">
        <v>218</v>
      </c>
      <c r="J292" s="65">
        <v>196245</v>
      </c>
      <c r="K292" s="9">
        <v>22</v>
      </c>
      <c r="L292" s="9" t="s">
        <v>79</v>
      </c>
      <c r="M292" s="9" t="s">
        <v>79</v>
      </c>
      <c r="N292" s="9" t="s">
        <v>97</v>
      </c>
      <c r="O292" s="9" t="s">
        <v>98</v>
      </c>
      <c r="P292" s="9" t="s">
        <v>79</v>
      </c>
      <c r="Q292" s="9">
        <v>1.6</v>
      </c>
      <c r="R292" s="9" t="s">
        <v>2132</v>
      </c>
      <c r="S292" s="9">
        <v>0.74</v>
      </c>
      <c r="T292" s="9" t="s">
        <v>62</v>
      </c>
      <c r="U292" s="9" t="s">
        <v>62</v>
      </c>
      <c r="V292" s="9" t="s">
        <v>62</v>
      </c>
      <c r="W292" s="9" t="s">
        <v>62</v>
      </c>
      <c r="X292" s="9" t="s">
        <v>62</v>
      </c>
      <c r="Y292" s="9" t="s">
        <v>62</v>
      </c>
      <c r="Z292" s="9" t="s">
        <v>62</v>
      </c>
      <c r="AA292" s="9" t="s">
        <v>62</v>
      </c>
      <c r="AB292" s="9" t="s">
        <v>140</v>
      </c>
      <c r="AC292" s="9" t="s">
        <v>145</v>
      </c>
    </row>
    <row r="293" spans="1:29" ht="13.9">
      <c r="A293" s="9" t="s">
        <v>52</v>
      </c>
      <c r="B293" s="9" t="s">
        <v>71</v>
      </c>
      <c r="C293" s="9" t="s">
        <v>74</v>
      </c>
      <c r="D293" s="9" t="s">
        <v>75</v>
      </c>
      <c r="E293" s="9" t="s">
        <v>1794</v>
      </c>
      <c r="F293" s="9" t="s">
        <v>113</v>
      </c>
      <c r="G293" s="9" t="s">
        <v>1795</v>
      </c>
      <c r="H293" s="9" t="s">
        <v>133</v>
      </c>
      <c r="I293" s="9" t="s">
        <v>218</v>
      </c>
      <c r="J293" s="65">
        <v>196245</v>
      </c>
      <c r="K293" s="9">
        <v>55</v>
      </c>
      <c r="L293" s="9" t="s">
        <v>79</v>
      </c>
      <c r="M293" s="9" t="s">
        <v>79</v>
      </c>
      <c r="N293" s="9" t="s">
        <v>97</v>
      </c>
      <c r="O293" s="9" t="s">
        <v>98</v>
      </c>
      <c r="P293" s="9" t="s">
        <v>79</v>
      </c>
      <c r="Q293" s="9">
        <v>0.18</v>
      </c>
      <c r="R293" s="9" t="s">
        <v>1797</v>
      </c>
      <c r="S293" s="9">
        <v>0.04</v>
      </c>
      <c r="T293" s="9" t="s">
        <v>62</v>
      </c>
      <c r="U293" s="9" t="s">
        <v>62</v>
      </c>
      <c r="V293" s="9" t="s">
        <v>62</v>
      </c>
      <c r="W293" s="9" t="s">
        <v>62</v>
      </c>
      <c r="X293" s="9" t="s">
        <v>62</v>
      </c>
      <c r="Y293" s="9" t="s">
        <v>62</v>
      </c>
      <c r="Z293" s="9" t="s">
        <v>62</v>
      </c>
      <c r="AA293" s="9" t="s">
        <v>62</v>
      </c>
      <c r="AB293" s="9" t="s">
        <v>140</v>
      </c>
      <c r="AC293" s="9" t="s">
        <v>145</v>
      </c>
    </row>
    <row r="294" spans="1:29" ht="13.9">
      <c r="A294" s="9" t="s">
        <v>52</v>
      </c>
      <c r="B294" s="9" t="s">
        <v>71</v>
      </c>
      <c r="C294" s="9" t="s">
        <v>74</v>
      </c>
      <c r="D294" s="9" t="s">
        <v>164</v>
      </c>
      <c r="E294" s="9" t="s">
        <v>1794</v>
      </c>
      <c r="F294" s="9" t="s">
        <v>165</v>
      </c>
      <c r="G294" s="9" t="s">
        <v>1795</v>
      </c>
      <c r="H294" s="9" t="s">
        <v>133</v>
      </c>
      <c r="I294" s="9" t="s">
        <v>218</v>
      </c>
      <c r="J294" s="65">
        <v>196245</v>
      </c>
      <c r="K294" s="9">
        <v>43</v>
      </c>
      <c r="L294" s="9" t="s">
        <v>79</v>
      </c>
      <c r="M294" s="9" t="s">
        <v>79</v>
      </c>
      <c r="N294" s="9" t="s">
        <v>97</v>
      </c>
      <c r="O294" s="9" t="s">
        <v>98</v>
      </c>
      <c r="P294" s="9" t="s">
        <v>79</v>
      </c>
      <c r="Q294" s="9">
        <v>0.73</v>
      </c>
      <c r="R294" s="9" t="s">
        <v>2137</v>
      </c>
      <c r="S294" s="9">
        <v>0.66</v>
      </c>
      <c r="T294" s="9" t="s">
        <v>62</v>
      </c>
      <c r="U294" s="9" t="s">
        <v>62</v>
      </c>
      <c r="V294" s="9" t="s">
        <v>62</v>
      </c>
      <c r="W294" s="9" t="s">
        <v>62</v>
      </c>
      <c r="X294" s="9" t="s">
        <v>62</v>
      </c>
      <c r="Y294" s="9" t="s">
        <v>62</v>
      </c>
      <c r="Z294" s="9" t="s">
        <v>62</v>
      </c>
      <c r="AA294" s="9" t="s">
        <v>62</v>
      </c>
      <c r="AB294" s="9" t="s">
        <v>140</v>
      </c>
      <c r="AC294" s="9" t="s">
        <v>145</v>
      </c>
    </row>
    <row r="295" spans="1:29" ht="13.9">
      <c r="A295" s="9" t="s">
        <v>52</v>
      </c>
      <c r="B295" s="9" t="s">
        <v>64</v>
      </c>
      <c r="C295" s="9" t="s">
        <v>74</v>
      </c>
      <c r="D295" s="9" t="s">
        <v>164</v>
      </c>
      <c r="E295" s="9" t="s">
        <v>2138</v>
      </c>
      <c r="F295" s="9" t="s">
        <v>79</v>
      </c>
      <c r="G295" s="9" t="s">
        <v>2139</v>
      </c>
      <c r="H295" s="9" t="s">
        <v>133</v>
      </c>
      <c r="I295" s="9" t="s">
        <v>2140</v>
      </c>
      <c r="J295" s="9" t="s">
        <v>79</v>
      </c>
      <c r="K295" s="9">
        <v>41</v>
      </c>
      <c r="L295" s="9" t="s">
        <v>79</v>
      </c>
      <c r="M295" s="9" t="s">
        <v>79</v>
      </c>
      <c r="N295" s="9" t="s">
        <v>79</v>
      </c>
      <c r="O295" s="9" t="s">
        <v>98</v>
      </c>
      <c r="P295" s="9" t="s">
        <v>79</v>
      </c>
      <c r="Q295" s="94" t="s">
        <v>2141</v>
      </c>
      <c r="R295" s="94" t="s">
        <v>2142</v>
      </c>
      <c r="S295" s="94" t="s">
        <v>2143</v>
      </c>
      <c r="T295" s="94" t="s">
        <v>62</v>
      </c>
      <c r="U295" s="94" t="s">
        <v>2144</v>
      </c>
      <c r="V295" s="94" t="s">
        <v>2145</v>
      </c>
      <c r="W295" s="94" t="s">
        <v>2146</v>
      </c>
      <c r="X295" s="94" t="s">
        <v>2147</v>
      </c>
      <c r="Y295" s="94" t="s">
        <v>2148</v>
      </c>
      <c r="Z295" s="94" t="s">
        <v>2149</v>
      </c>
      <c r="AA295" s="94" t="s">
        <v>2150</v>
      </c>
      <c r="AB295" s="9" t="s">
        <v>140</v>
      </c>
      <c r="AC295" s="9" t="s">
        <v>145</v>
      </c>
    </row>
    <row r="296" spans="1:29" ht="13.9">
      <c r="A296" s="9" t="s">
        <v>52</v>
      </c>
      <c r="B296" s="9" t="s">
        <v>64</v>
      </c>
      <c r="C296" s="9" t="s">
        <v>74</v>
      </c>
      <c r="D296" s="9" t="s">
        <v>75</v>
      </c>
      <c r="E296" s="9" t="s">
        <v>2138</v>
      </c>
      <c r="F296" s="9" t="s">
        <v>79</v>
      </c>
      <c r="G296" s="9" t="s">
        <v>2139</v>
      </c>
      <c r="H296" s="9" t="s">
        <v>133</v>
      </c>
      <c r="I296" s="9" t="s">
        <v>2140</v>
      </c>
      <c r="J296" s="9" t="s">
        <v>79</v>
      </c>
      <c r="K296" s="9">
        <v>52</v>
      </c>
      <c r="L296" s="9" t="s">
        <v>79</v>
      </c>
      <c r="M296" s="9" t="s">
        <v>79</v>
      </c>
      <c r="N296" s="9" t="s">
        <v>79</v>
      </c>
      <c r="O296" s="9" t="s">
        <v>98</v>
      </c>
      <c r="P296" s="9" t="s">
        <v>79</v>
      </c>
      <c r="Q296" s="94" t="s">
        <v>2151</v>
      </c>
      <c r="R296" s="94" t="s">
        <v>2152</v>
      </c>
      <c r="S296" s="94" t="s">
        <v>2153</v>
      </c>
      <c r="T296" s="94" t="s">
        <v>62</v>
      </c>
      <c r="U296" s="94" t="s">
        <v>2154</v>
      </c>
      <c r="V296" s="94" t="s">
        <v>2155</v>
      </c>
      <c r="W296" s="94" t="s">
        <v>2156</v>
      </c>
      <c r="X296" s="94" t="s">
        <v>2157</v>
      </c>
      <c r="Y296" s="94" t="s">
        <v>2158</v>
      </c>
      <c r="Z296" s="94" t="s">
        <v>2159</v>
      </c>
      <c r="AA296" s="94" t="s">
        <v>2160</v>
      </c>
      <c r="AB296" s="9" t="s">
        <v>140</v>
      </c>
      <c r="AC296" s="9" t="s">
        <v>145</v>
      </c>
    </row>
    <row r="297" spans="1:29" ht="13.9">
      <c r="A297" s="17" t="s">
        <v>52</v>
      </c>
      <c r="B297" s="17" t="s">
        <v>66</v>
      </c>
      <c r="C297" s="17" t="s">
        <v>74</v>
      </c>
      <c r="D297" s="17" t="s">
        <v>246</v>
      </c>
      <c r="E297" s="17" t="s">
        <v>128</v>
      </c>
      <c r="F297" s="17" t="s">
        <v>248</v>
      </c>
      <c r="G297" s="17" t="s">
        <v>1945</v>
      </c>
      <c r="H297" s="17" t="s">
        <v>133</v>
      </c>
      <c r="I297" s="17" t="s">
        <v>256</v>
      </c>
      <c r="J297" s="90">
        <v>26554</v>
      </c>
      <c r="K297" s="17">
        <v>17</v>
      </c>
      <c r="L297" s="90">
        <v>11895</v>
      </c>
      <c r="M297" s="90">
        <v>14659</v>
      </c>
      <c r="N297" s="17" t="s">
        <v>97</v>
      </c>
      <c r="O297" s="17" t="s">
        <v>98</v>
      </c>
      <c r="P297" s="17">
        <v>37.584000000000003</v>
      </c>
      <c r="Q297" s="17">
        <v>0.67200000000000004</v>
      </c>
      <c r="R297" s="17" t="s">
        <v>2161</v>
      </c>
      <c r="S297" s="17">
        <v>0.39100000000000001</v>
      </c>
      <c r="T297" s="17">
        <v>14.275</v>
      </c>
      <c r="U297" s="17">
        <v>0.57799999999999996</v>
      </c>
      <c r="V297" s="17">
        <v>0.77800000000000002</v>
      </c>
      <c r="W297" s="17" t="s">
        <v>2162</v>
      </c>
      <c r="X297" s="17">
        <v>0.7</v>
      </c>
      <c r="Y297" s="17">
        <v>7.9000000000000001E-2</v>
      </c>
      <c r="Z297" s="17" t="s">
        <v>2163</v>
      </c>
      <c r="AA297" s="17">
        <v>0.624</v>
      </c>
      <c r="AB297" s="17" t="s">
        <v>140</v>
      </c>
      <c r="AC297" s="17" t="s">
        <v>204</v>
      </c>
    </row>
    <row r="298" spans="1:29" ht="13.9">
      <c r="A298" s="17" t="s">
        <v>52</v>
      </c>
      <c r="B298" s="17" t="s">
        <v>66</v>
      </c>
      <c r="C298" s="17" t="s">
        <v>74</v>
      </c>
      <c r="D298" s="17" t="s">
        <v>75</v>
      </c>
      <c r="E298" s="17" t="s">
        <v>128</v>
      </c>
      <c r="F298" s="17" t="s">
        <v>113</v>
      </c>
      <c r="G298" s="17" t="s">
        <v>1945</v>
      </c>
      <c r="H298" s="17" t="s">
        <v>133</v>
      </c>
      <c r="I298" s="17" t="s">
        <v>256</v>
      </c>
      <c r="J298" s="90">
        <v>26554</v>
      </c>
      <c r="K298" s="17">
        <v>51</v>
      </c>
      <c r="L298" s="90">
        <v>11895</v>
      </c>
      <c r="M298" s="90">
        <v>14659</v>
      </c>
      <c r="N298" s="17" t="s">
        <v>97</v>
      </c>
      <c r="O298" s="17" t="s">
        <v>98</v>
      </c>
      <c r="P298" s="17">
        <v>46.191000000000003</v>
      </c>
      <c r="Q298" s="17">
        <v>0.51300000000000001</v>
      </c>
      <c r="R298" s="17" t="s">
        <v>1946</v>
      </c>
      <c r="S298" s="17">
        <v>3.7999999999999999E-2</v>
      </c>
      <c r="T298" s="17">
        <v>54.003</v>
      </c>
      <c r="U298" s="17">
        <v>0.32400000000000001</v>
      </c>
      <c r="V298" s="17">
        <v>0.47399999999999998</v>
      </c>
      <c r="W298" s="17" t="s">
        <v>1947</v>
      </c>
      <c r="X298" s="17">
        <v>0.127</v>
      </c>
      <c r="Y298" s="17">
        <v>0.53900000000000003</v>
      </c>
      <c r="Z298" s="17" t="s">
        <v>1949</v>
      </c>
      <c r="AA298" s="17">
        <v>0.60199999999999998</v>
      </c>
      <c r="AB298" s="17" t="s">
        <v>140</v>
      </c>
      <c r="AC298" s="17" t="s">
        <v>204</v>
      </c>
    </row>
    <row r="299" spans="1:29" ht="13.9">
      <c r="A299" s="17" t="s">
        <v>52</v>
      </c>
      <c r="B299" s="17" t="s">
        <v>66</v>
      </c>
      <c r="C299" s="17" t="s">
        <v>74</v>
      </c>
      <c r="D299" s="17" t="s">
        <v>212</v>
      </c>
      <c r="E299" s="17" t="s">
        <v>128</v>
      </c>
      <c r="F299" s="17" t="s">
        <v>215</v>
      </c>
      <c r="G299" s="17" t="s">
        <v>1945</v>
      </c>
      <c r="H299" s="17" t="s">
        <v>133</v>
      </c>
      <c r="I299" s="17" t="s">
        <v>256</v>
      </c>
      <c r="J299" s="90">
        <v>26554</v>
      </c>
      <c r="K299" s="17">
        <v>18</v>
      </c>
      <c r="L299" s="90">
        <v>11895</v>
      </c>
      <c r="M299" s="90">
        <v>14659</v>
      </c>
      <c r="N299" s="17" t="s">
        <v>97</v>
      </c>
      <c r="O299" s="17" t="s">
        <v>98</v>
      </c>
      <c r="P299" s="17">
        <v>39.229999999999997</v>
      </c>
      <c r="Q299" s="17">
        <v>0.39500000000000002</v>
      </c>
      <c r="R299" s="17" t="s">
        <v>2164</v>
      </c>
      <c r="S299" s="17">
        <v>0.108</v>
      </c>
      <c r="T299" s="17">
        <v>23.824999999999999</v>
      </c>
      <c r="U299" s="17">
        <v>0.124</v>
      </c>
      <c r="V299" s="17">
        <v>0.67700000000000005</v>
      </c>
      <c r="W299" s="17" t="s">
        <v>2165</v>
      </c>
      <c r="X299" s="17">
        <v>0.58299999999999996</v>
      </c>
      <c r="Y299" s="17">
        <v>4.1790000000000003</v>
      </c>
      <c r="Z299" s="17" t="s">
        <v>2166</v>
      </c>
      <c r="AA299" s="17">
        <v>0.63600000000000001</v>
      </c>
      <c r="AB299" s="17" t="s">
        <v>140</v>
      </c>
      <c r="AC299" s="17" t="s">
        <v>204</v>
      </c>
    </row>
    <row r="300" spans="1:29" ht="13.9">
      <c r="A300" s="17" t="s">
        <v>52</v>
      </c>
      <c r="B300" s="17" t="s">
        <v>66</v>
      </c>
      <c r="C300" s="17" t="s">
        <v>74</v>
      </c>
      <c r="D300" s="17" t="s">
        <v>164</v>
      </c>
      <c r="E300" s="17" t="s">
        <v>128</v>
      </c>
      <c r="F300" s="17" t="s">
        <v>165</v>
      </c>
      <c r="G300" s="17" t="s">
        <v>1945</v>
      </c>
      <c r="H300" s="17" t="s">
        <v>133</v>
      </c>
      <c r="I300" s="17" t="s">
        <v>256</v>
      </c>
      <c r="J300" s="90">
        <v>26554</v>
      </c>
      <c r="K300" s="17">
        <v>41</v>
      </c>
      <c r="L300" s="90">
        <v>11895</v>
      </c>
      <c r="M300" s="90">
        <v>14659</v>
      </c>
      <c r="N300" s="17" t="s">
        <v>97</v>
      </c>
      <c r="O300" s="17" t="s">
        <v>98</v>
      </c>
      <c r="P300" s="17">
        <v>42.2</v>
      </c>
      <c r="Q300" s="17">
        <v>0.52200000000000002</v>
      </c>
      <c r="R300" s="17" t="s">
        <v>2167</v>
      </c>
      <c r="S300" s="17">
        <v>1.4E-2</v>
      </c>
      <c r="T300" s="17">
        <v>36.933</v>
      </c>
      <c r="U300" s="17">
        <v>0.60899999999999999</v>
      </c>
      <c r="V300" s="17">
        <v>0.54</v>
      </c>
      <c r="W300" s="17" t="s">
        <v>2168</v>
      </c>
      <c r="X300" s="17">
        <v>9.5000000000000001E-2</v>
      </c>
      <c r="Y300" s="17">
        <v>0.93899999999999995</v>
      </c>
      <c r="Z300" s="17" t="s">
        <v>2169</v>
      </c>
      <c r="AA300" s="17">
        <v>0.95899999999999996</v>
      </c>
      <c r="AB300" s="17" t="s">
        <v>140</v>
      </c>
      <c r="AC300" s="17" t="s">
        <v>204</v>
      </c>
    </row>
    <row r="301" spans="1:29" ht="13.9">
      <c r="A301" s="17" t="s">
        <v>52</v>
      </c>
      <c r="B301" s="17" t="s">
        <v>73</v>
      </c>
      <c r="C301" s="17" t="s">
        <v>74</v>
      </c>
      <c r="D301" s="17" t="s">
        <v>246</v>
      </c>
      <c r="E301" s="17" t="s">
        <v>2170</v>
      </c>
      <c r="F301" s="17" t="s">
        <v>248</v>
      </c>
      <c r="G301" s="17" t="s">
        <v>2171</v>
      </c>
      <c r="H301" s="17" t="s">
        <v>133</v>
      </c>
      <c r="I301" s="17" t="s">
        <v>218</v>
      </c>
      <c r="J301" s="90">
        <v>73479</v>
      </c>
      <c r="K301" s="90">
        <v>17</v>
      </c>
      <c r="L301" s="90">
        <v>680</v>
      </c>
      <c r="M301" s="90">
        <v>72799</v>
      </c>
      <c r="N301" s="17" t="s">
        <v>97</v>
      </c>
      <c r="O301" s="17" t="s">
        <v>98</v>
      </c>
      <c r="P301" s="17">
        <v>22.7</v>
      </c>
      <c r="Q301" s="17">
        <v>54.786499999999997</v>
      </c>
      <c r="R301" s="17" t="s">
        <v>2172</v>
      </c>
      <c r="S301" s="18" t="s">
        <v>2173</v>
      </c>
      <c r="T301" s="17">
        <v>29.843900000000001</v>
      </c>
      <c r="U301" s="17">
        <v>0.79200000000000004</v>
      </c>
      <c r="V301" s="123">
        <v>19.655000000000001</v>
      </c>
      <c r="W301" s="17" t="s">
        <v>2174</v>
      </c>
      <c r="X301" s="17">
        <v>0.12590000000000001</v>
      </c>
      <c r="Y301" s="123">
        <v>3.6837E-5</v>
      </c>
      <c r="Z301" s="17" t="s">
        <v>2175</v>
      </c>
      <c r="AA301" s="17">
        <v>0.54710000000000003</v>
      </c>
      <c r="AB301" s="17" t="s">
        <v>109</v>
      </c>
      <c r="AC301" s="17" t="s">
        <v>145</v>
      </c>
    </row>
    <row r="302" spans="1:29" ht="13.9">
      <c r="A302" s="17" t="s">
        <v>52</v>
      </c>
      <c r="B302" s="17" t="s">
        <v>73</v>
      </c>
      <c r="C302" s="17" t="s">
        <v>74</v>
      </c>
      <c r="D302" s="17" t="s">
        <v>164</v>
      </c>
      <c r="E302" s="17" t="s">
        <v>2170</v>
      </c>
      <c r="F302" s="17" t="s">
        <v>165</v>
      </c>
      <c r="G302" s="17" t="s">
        <v>2171</v>
      </c>
      <c r="H302" s="17" t="s">
        <v>133</v>
      </c>
      <c r="I302" s="17" t="s">
        <v>218</v>
      </c>
      <c r="J302" s="90">
        <v>73479</v>
      </c>
      <c r="K302" s="90">
        <v>43</v>
      </c>
      <c r="L302" s="90">
        <v>680</v>
      </c>
      <c r="M302" s="90">
        <v>72799</v>
      </c>
      <c r="N302" s="17" t="s">
        <v>97</v>
      </c>
      <c r="O302" s="17" t="s">
        <v>98</v>
      </c>
      <c r="P302" s="17">
        <v>31.9</v>
      </c>
      <c r="Q302" s="17">
        <v>0.33029999999999998</v>
      </c>
      <c r="R302" s="17" t="s">
        <v>2176</v>
      </c>
      <c r="S302" s="18" t="s">
        <v>2177</v>
      </c>
      <c r="T302" s="17">
        <v>18.017800000000001</v>
      </c>
      <c r="U302" s="17">
        <v>0.32279999999999998</v>
      </c>
      <c r="V302" s="17">
        <v>0.20399999999999999</v>
      </c>
      <c r="W302" s="17" t="s">
        <v>2178</v>
      </c>
      <c r="X302" s="123">
        <v>0.15429999999999999</v>
      </c>
      <c r="Y302" s="17">
        <v>0.25369999999999998</v>
      </c>
      <c r="Z302" s="17" t="s">
        <v>2179</v>
      </c>
      <c r="AA302" s="17">
        <v>0.69769999999999999</v>
      </c>
      <c r="AB302" s="17" t="s">
        <v>109</v>
      </c>
      <c r="AC302" s="17" t="s">
        <v>145</v>
      </c>
    </row>
    <row r="303" spans="1:29" ht="13.9">
      <c r="A303" s="17" t="s">
        <v>52</v>
      </c>
      <c r="B303" s="17" t="s">
        <v>73</v>
      </c>
      <c r="C303" s="17" t="s">
        <v>74</v>
      </c>
      <c r="D303" s="17" t="s">
        <v>75</v>
      </c>
      <c r="E303" s="17" t="s">
        <v>2170</v>
      </c>
      <c r="F303" s="17" t="s">
        <v>113</v>
      </c>
      <c r="G303" s="17" t="s">
        <v>2171</v>
      </c>
      <c r="H303" s="17" t="s">
        <v>133</v>
      </c>
      <c r="I303" s="17" t="s">
        <v>218</v>
      </c>
      <c r="J303" s="90">
        <v>73479</v>
      </c>
      <c r="K303" s="90">
        <v>55</v>
      </c>
      <c r="L303" s="90">
        <v>680</v>
      </c>
      <c r="M303" s="90">
        <v>72799</v>
      </c>
      <c r="N303" s="17" t="s">
        <v>97</v>
      </c>
      <c r="O303" s="17" t="s">
        <v>98</v>
      </c>
      <c r="P303" s="17">
        <v>33.4</v>
      </c>
      <c r="Q303" s="17">
        <v>1.7850999999999999</v>
      </c>
      <c r="R303" s="17" t="s">
        <v>2180</v>
      </c>
      <c r="S303" s="18" t="s">
        <v>2181</v>
      </c>
      <c r="T303" s="17">
        <v>33.470700000000001</v>
      </c>
      <c r="U303" s="17">
        <v>0.75749999999999995</v>
      </c>
      <c r="V303" s="17">
        <v>2.1353</v>
      </c>
      <c r="W303" s="17" t="s">
        <v>2182</v>
      </c>
      <c r="X303" s="17">
        <v>0.58320000000000005</v>
      </c>
      <c r="Y303" s="17">
        <v>1.7623</v>
      </c>
      <c r="Z303" s="17" t="s">
        <v>2183</v>
      </c>
      <c r="AA303" s="17">
        <v>0.86229999999999996</v>
      </c>
      <c r="AB303" s="17" t="s">
        <v>109</v>
      </c>
      <c r="AC303" s="17" t="s">
        <v>145</v>
      </c>
    </row>
    <row r="304" spans="1:29" ht="13.9">
      <c r="A304" s="17" t="s">
        <v>52</v>
      </c>
      <c r="B304" s="17" t="s">
        <v>73</v>
      </c>
      <c r="C304" s="17" t="s">
        <v>74</v>
      </c>
      <c r="D304" s="17" t="s">
        <v>622</v>
      </c>
      <c r="E304" s="17" t="s">
        <v>2170</v>
      </c>
      <c r="F304" s="17" t="s">
        <v>215</v>
      </c>
      <c r="G304" s="17" t="s">
        <v>2171</v>
      </c>
      <c r="H304" s="17" t="s">
        <v>133</v>
      </c>
      <c r="I304" s="17" t="s">
        <v>218</v>
      </c>
      <c r="J304" s="90">
        <v>73479</v>
      </c>
      <c r="K304" s="90">
        <v>24</v>
      </c>
      <c r="L304" s="90">
        <v>680</v>
      </c>
      <c r="M304" s="90">
        <v>72799</v>
      </c>
      <c r="N304" s="17" t="s">
        <v>97</v>
      </c>
      <c r="O304" s="17" t="s">
        <v>98</v>
      </c>
      <c r="P304" s="17">
        <v>29.6</v>
      </c>
      <c r="Q304" s="17">
        <v>0.43490000000000001</v>
      </c>
      <c r="R304" s="17" t="s">
        <v>2184</v>
      </c>
      <c r="S304" s="18" t="s">
        <v>2185</v>
      </c>
      <c r="T304" s="17">
        <v>22.6175</v>
      </c>
      <c r="U304" s="17">
        <v>0.42349999999999999</v>
      </c>
      <c r="V304" s="17">
        <v>0.31769999999999998</v>
      </c>
      <c r="W304" s="17" t="s">
        <v>2186</v>
      </c>
      <c r="X304" s="17">
        <v>0.60360000000000003</v>
      </c>
      <c r="Y304" s="17">
        <v>2.5999999999999999E-3</v>
      </c>
      <c r="Z304" s="17" t="s">
        <v>2187</v>
      </c>
      <c r="AA304" s="17">
        <v>0.43419999999999997</v>
      </c>
      <c r="AB304" s="17" t="s">
        <v>109</v>
      </c>
      <c r="AC304" s="17" t="s">
        <v>145</v>
      </c>
    </row>
    <row r="305" spans="1:29" ht="13.9">
      <c r="A305" s="17" t="s">
        <v>52</v>
      </c>
      <c r="B305" s="17" t="s">
        <v>73</v>
      </c>
      <c r="C305" s="17" t="s">
        <v>74</v>
      </c>
      <c r="D305" s="17" t="s">
        <v>246</v>
      </c>
      <c r="E305" s="17" t="s">
        <v>2130</v>
      </c>
      <c r="F305" s="17" t="s">
        <v>248</v>
      </c>
      <c r="G305" s="17" t="s">
        <v>2131</v>
      </c>
      <c r="H305" s="17" t="s">
        <v>133</v>
      </c>
      <c r="I305" s="17" t="s">
        <v>218</v>
      </c>
      <c r="J305" s="90">
        <v>75450</v>
      </c>
      <c r="K305" s="90">
        <v>17</v>
      </c>
      <c r="L305" s="90">
        <v>6481</v>
      </c>
      <c r="M305" s="90">
        <v>68969</v>
      </c>
      <c r="N305" s="17" t="s">
        <v>97</v>
      </c>
      <c r="O305" s="17" t="s">
        <v>98</v>
      </c>
      <c r="P305" s="17">
        <v>22.7</v>
      </c>
      <c r="Q305" s="17">
        <v>0.95379999999999998</v>
      </c>
      <c r="R305" s="17" t="s">
        <v>2188</v>
      </c>
      <c r="S305" s="18" t="s">
        <v>2189</v>
      </c>
      <c r="T305" s="17">
        <v>56.7164</v>
      </c>
      <c r="U305" s="17">
        <v>0.02</v>
      </c>
      <c r="V305" s="17">
        <v>0.58020000000000005</v>
      </c>
      <c r="W305" s="17" t="s">
        <v>2190</v>
      </c>
      <c r="X305" s="17">
        <v>0.41620000000000001</v>
      </c>
      <c r="Y305" s="17">
        <v>2.0999999999999999E-3</v>
      </c>
      <c r="Z305" s="17" t="s">
        <v>2191</v>
      </c>
      <c r="AA305" s="17">
        <v>0.26469999999999999</v>
      </c>
      <c r="AB305" s="17" t="s">
        <v>109</v>
      </c>
      <c r="AC305" s="17" t="s">
        <v>145</v>
      </c>
    </row>
    <row r="306" spans="1:29" ht="13.9">
      <c r="A306" s="17" t="s">
        <v>52</v>
      </c>
      <c r="B306" s="17" t="s">
        <v>73</v>
      </c>
      <c r="C306" s="17" t="s">
        <v>74</v>
      </c>
      <c r="D306" s="17" t="s">
        <v>164</v>
      </c>
      <c r="E306" s="17" t="s">
        <v>2130</v>
      </c>
      <c r="F306" s="17" t="s">
        <v>165</v>
      </c>
      <c r="G306" s="17" t="s">
        <v>2131</v>
      </c>
      <c r="H306" s="17" t="s">
        <v>133</v>
      </c>
      <c r="I306" s="17" t="s">
        <v>218</v>
      </c>
      <c r="J306" s="90">
        <v>75450</v>
      </c>
      <c r="K306" s="90">
        <v>43</v>
      </c>
      <c r="L306" s="90">
        <v>6481</v>
      </c>
      <c r="M306" s="90">
        <v>68969</v>
      </c>
      <c r="N306" s="17" t="s">
        <v>97</v>
      </c>
      <c r="O306" s="17" t="s">
        <v>98</v>
      </c>
      <c r="P306" s="17">
        <v>31.9</v>
      </c>
      <c r="Q306" s="17">
        <v>0.6996</v>
      </c>
      <c r="R306" s="17" t="s">
        <v>2192</v>
      </c>
      <c r="S306" s="18" t="s">
        <v>2193</v>
      </c>
      <c r="T306" s="17">
        <v>11.3803</v>
      </c>
      <c r="U306" s="17">
        <v>0.78539999999999999</v>
      </c>
      <c r="V306" s="17">
        <v>0.84050000000000002</v>
      </c>
      <c r="W306" s="17" t="s">
        <v>2194</v>
      </c>
      <c r="X306" s="17">
        <v>0.65759999999999996</v>
      </c>
      <c r="Y306" s="17">
        <v>3.3136999999999999</v>
      </c>
      <c r="Z306" s="17" t="s">
        <v>2195</v>
      </c>
      <c r="AA306" s="17">
        <v>0.37090000000000001</v>
      </c>
      <c r="AB306" s="17" t="s">
        <v>109</v>
      </c>
      <c r="AC306" s="17" t="s">
        <v>145</v>
      </c>
    </row>
    <row r="307" spans="1:29" ht="13.9">
      <c r="A307" s="17" t="s">
        <v>52</v>
      </c>
      <c r="B307" s="17" t="s">
        <v>73</v>
      </c>
      <c r="C307" s="17" t="s">
        <v>74</v>
      </c>
      <c r="D307" s="17" t="s">
        <v>75</v>
      </c>
      <c r="E307" s="17" t="s">
        <v>2130</v>
      </c>
      <c r="F307" s="17" t="s">
        <v>113</v>
      </c>
      <c r="G307" s="17" t="s">
        <v>2131</v>
      </c>
      <c r="H307" s="17" t="s">
        <v>133</v>
      </c>
      <c r="I307" s="17" t="s">
        <v>218</v>
      </c>
      <c r="J307" s="90">
        <v>75450</v>
      </c>
      <c r="K307" s="90">
        <v>55</v>
      </c>
      <c r="L307" s="90">
        <v>6481</v>
      </c>
      <c r="M307" s="90">
        <v>68969</v>
      </c>
      <c r="N307" s="17" t="s">
        <v>97</v>
      </c>
      <c r="O307" s="17" t="s">
        <v>98</v>
      </c>
      <c r="P307" s="17">
        <v>33.4</v>
      </c>
      <c r="Q307" s="17">
        <v>0.95269999999999999</v>
      </c>
      <c r="R307" s="17" t="s">
        <v>2133</v>
      </c>
      <c r="S307" s="18" t="s">
        <v>2134</v>
      </c>
      <c r="T307" s="17">
        <v>49.460799999999999</v>
      </c>
      <c r="U307" s="17">
        <v>0.14510000000000001</v>
      </c>
      <c r="V307" s="17">
        <v>0.72789999999999999</v>
      </c>
      <c r="W307" s="17" t="s">
        <v>2135</v>
      </c>
      <c r="X307" s="17">
        <v>0.50339999999999996</v>
      </c>
      <c r="Y307" s="17">
        <v>0.64549999999999996</v>
      </c>
      <c r="Z307" s="17" t="s">
        <v>2136</v>
      </c>
      <c r="AA307" s="17">
        <v>0.71460000000000001</v>
      </c>
      <c r="AB307" s="17" t="s">
        <v>109</v>
      </c>
      <c r="AC307" s="17" t="s">
        <v>145</v>
      </c>
    </row>
    <row r="308" spans="1:29" ht="13.9">
      <c r="A308" s="17" t="s">
        <v>52</v>
      </c>
      <c r="B308" s="17" t="s">
        <v>73</v>
      </c>
      <c r="C308" s="17" t="s">
        <v>74</v>
      </c>
      <c r="D308" s="17" t="s">
        <v>622</v>
      </c>
      <c r="E308" s="17" t="s">
        <v>2130</v>
      </c>
      <c r="F308" s="17" t="s">
        <v>215</v>
      </c>
      <c r="G308" s="17" t="s">
        <v>2131</v>
      </c>
      <c r="H308" s="17" t="s">
        <v>133</v>
      </c>
      <c r="I308" s="17" t="s">
        <v>218</v>
      </c>
      <c r="J308" s="90">
        <v>75450</v>
      </c>
      <c r="K308" s="90">
        <v>24</v>
      </c>
      <c r="L308" s="90">
        <v>6481</v>
      </c>
      <c r="M308" s="90">
        <v>68969</v>
      </c>
      <c r="N308" s="17" t="s">
        <v>97</v>
      </c>
      <c r="O308" s="17" t="s">
        <v>98</v>
      </c>
      <c r="P308" s="17">
        <v>29.6</v>
      </c>
      <c r="Q308" s="17">
        <v>0.94440000000000002</v>
      </c>
      <c r="R308" s="17" t="s">
        <v>2201</v>
      </c>
      <c r="S308" s="18" t="s">
        <v>2202</v>
      </c>
      <c r="T308" s="17">
        <v>24.4377</v>
      </c>
      <c r="U308" s="17">
        <v>0.32469999999999999</v>
      </c>
      <c r="V308" s="17">
        <v>1.482</v>
      </c>
      <c r="W308" s="17" t="s">
        <v>2203</v>
      </c>
      <c r="X308" s="17">
        <v>0.58350000000000002</v>
      </c>
      <c r="Y308" s="17">
        <v>1.4185000000000001</v>
      </c>
      <c r="Z308" s="17" t="s">
        <v>2204</v>
      </c>
      <c r="AA308" s="17">
        <v>0.89170000000000005</v>
      </c>
      <c r="AB308" s="17" t="s">
        <v>109</v>
      </c>
      <c r="AC308" s="17" t="s">
        <v>145</v>
      </c>
    </row>
    <row r="309" spans="1:29" ht="13.9">
      <c r="A309" s="17" t="s">
        <v>70</v>
      </c>
      <c r="B309" s="17" t="s">
        <v>203</v>
      </c>
      <c r="C309" s="17" t="s">
        <v>74</v>
      </c>
      <c r="D309" s="17" t="s">
        <v>778</v>
      </c>
      <c r="E309" s="17" t="s">
        <v>2545</v>
      </c>
      <c r="F309" s="17" t="s">
        <v>165</v>
      </c>
      <c r="G309" s="17" t="s">
        <v>2206</v>
      </c>
      <c r="H309" s="17" t="s">
        <v>133</v>
      </c>
      <c r="I309" s="17" t="s">
        <v>256</v>
      </c>
      <c r="J309" s="90">
        <f t="shared" ref="J309:J313" si="10">L309+M309</f>
        <v>655666</v>
      </c>
      <c r="K309" s="17">
        <v>36</v>
      </c>
      <c r="L309" s="90">
        <v>61714</v>
      </c>
      <c r="M309" s="90">
        <v>593952</v>
      </c>
      <c r="N309" s="17" t="s">
        <v>79</v>
      </c>
      <c r="O309" s="17" t="s">
        <v>98</v>
      </c>
      <c r="P309" s="17">
        <v>15.39</v>
      </c>
      <c r="Q309" s="17">
        <v>0.39200000000000002</v>
      </c>
      <c r="R309" s="17" t="s">
        <v>2208</v>
      </c>
      <c r="S309" s="17">
        <v>1E-4</v>
      </c>
      <c r="T309" s="17">
        <v>147.91</v>
      </c>
      <c r="U309" s="17" t="s">
        <v>2209</v>
      </c>
      <c r="V309" s="17">
        <v>0.46800000000000003</v>
      </c>
      <c r="W309" s="17" t="s">
        <v>2210</v>
      </c>
      <c r="X309" s="17">
        <v>2.9999999999999997E-4</v>
      </c>
      <c r="Y309" s="17" t="s">
        <v>2211</v>
      </c>
      <c r="Z309" s="17" t="s">
        <v>2212</v>
      </c>
      <c r="AA309" s="17">
        <v>0.53800000000000003</v>
      </c>
      <c r="AB309" s="17" t="s">
        <v>109</v>
      </c>
      <c r="AC309" s="17" t="s">
        <v>2087</v>
      </c>
    </row>
    <row r="310" spans="1:29" ht="13.9">
      <c r="A310" s="9" t="s">
        <v>70</v>
      </c>
      <c r="B310" s="9" t="s">
        <v>207</v>
      </c>
      <c r="C310" s="9" t="s">
        <v>74</v>
      </c>
      <c r="D310" s="9" t="s">
        <v>459</v>
      </c>
      <c r="E310" s="9" t="s">
        <v>949</v>
      </c>
      <c r="F310" s="9" t="s">
        <v>215</v>
      </c>
      <c r="G310" s="9" t="s">
        <v>950</v>
      </c>
      <c r="H310" s="9" t="s">
        <v>133</v>
      </c>
      <c r="I310" s="9" t="s">
        <v>951</v>
      </c>
      <c r="J310" s="65">
        <f t="shared" si="10"/>
        <v>138086</v>
      </c>
      <c r="K310" s="9">
        <v>20</v>
      </c>
      <c r="L310" s="9">
        <v>27205</v>
      </c>
      <c r="M310" s="9">
        <v>110881</v>
      </c>
      <c r="N310" s="9" t="s">
        <v>79</v>
      </c>
      <c r="O310" s="9" t="s">
        <v>98</v>
      </c>
      <c r="P310" s="9"/>
      <c r="Q310" s="9">
        <v>1.4715</v>
      </c>
      <c r="R310" s="9" t="s">
        <v>2214</v>
      </c>
      <c r="S310" s="9">
        <v>0.20610000000000001</v>
      </c>
      <c r="T310" s="9">
        <v>14.488</v>
      </c>
      <c r="U310" s="9">
        <v>0.56240000000000001</v>
      </c>
      <c r="V310" s="9">
        <v>1.2398</v>
      </c>
      <c r="W310" s="9" t="s">
        <v>2215</v>
      </c>
      <c r="X310" s="9">
        <v>0.61260000000000003</v>
      </c>
      <c r="Y310" s="9">
        <v>0.45989999999999998</v>
      </c>
      <c r="Z310" s="9" t="s">
        <v>2216</v>
      </c>
      <c r="AA310" s="9">
        <v>0.62470000000000003</v>
      </c>
      <c r="AB310" s="9" t="s">
        <v>109</v>
      </c>
      <c r="AC310" s="9" t="s">
        <v>155</v>
      </c>
    </row>
    <row r="311" spans="1:29" ht="13.9">
      <c r="A311" s="9" t="s">
        <v>70</v>
      </c>
      <c r="B311" s="9" t="s">
        <v>207</v>
      </c>
      <c r="C311" s="9" t="s">
        <v>74</v>
      </c>
      <c r="D311" s="9" t="s">
        <v>246</v>
      </c>
      <c r="E311" s="9" t="s">
        <v>949</v>
      </c>
      <c r="F311" s="9" t="s">
        <v>248</v>
      </c>
      <c r="G311" s="9" t="s">
        <v>950</v>
      </c>
      <c r="H311" s="9" t="s">
        <v>133</v>
      </c>
      <c r="I311" s="9" t="s">
        <v>951</v>
      </c>
      <c r="J311" s="65">
        <f t="shared" si="10"/>
        <v>138086</v>
      </c>
      <c r="K311" s="9">
        <v>10</v>
      </c>
      <c r="L311" s="9">
        <v>27205</v>
      </c>
      <c r="M311" s="9">
        <v>110881</v>
      </c>
      <c r="N311" s="9" t="s">
        <v>79</v>
      </c>
      <c r="O311" s="9" t="s">
        <v>98</v>
      </c>
      <c r="P311" s="9"/>
      <c r="Q311" s="9">
        <v>0.96130000000000004</v>
      </c>
      <c r="R311" s="9" t="s">
        <v>2217</v>
      </c>
      <c r="S311" s="9">
        <v>0.93330000000000002</v>
      </c>
      <c r="T311" s="9">
        <v>39.689300000000003</v>
      </c>
      <c r="U311" s="9">
        <v>5.0000000000000001E-4</v>
      </c>
      <c r="V311" s="9">
        <v>0.59989999999999999</v>
      </c>
      <c r="W311" s="9" t="s">
        <v>2218</v>
      </c>
      <c r="X311" s="9">
        <v>0.28179999999999999</v>
      </c>
      <c r="Y311" s="9">
        <v>7.5039999999999996</v>
      </c>
      <c r="Z311" s="9" t="s">
        <v>2219</v>
      </c>
      <c r="AA311" s="9">
        <v>0.70689999999999997</v>
      </c>
      <c r="AB311" s="9" t="s">
        <v>109</v>
      </c>
      <c r="AC311" s="9" t="s">
        <v>155</v>
      </c>
    </row>
    <row r="312" spans="1:29" ht="13.9">
      <c r="A312" s="9" t="s">
        <v>70</v>
      </c>
      <c r="B312" s="9" t="s">
        <v>207</v>
      </c>
      <c r="C312" s="9" t="s">
        <v>74</v>
      </c>
      <c r="D312" s="9" t="s">
        <v>164</v>
      </c>
      <c r="E312" s="9" t="s">
        <v>949</v>
      </c>
      <c r="F312" s="9" t="s">
        <v>165</v>
      </c>
      <c r="G312" s="9" t="s">
        <v>950</v>
      </c>
      <c r="H312" s="9" t="s">
        <v>133</v>
      </c>
      <c r="I312" s="9" t="s">
        <v>951</v>
      </c>
      <c r="J312" s="65">
        <f t="shared" si="10"/>
        <v>138086</v>
      </c>
      <c r="K312" s="9">
        <v>37</v>
      </c>
      <c r="L312" s="9">
        <v>27205</v>
      </c>
      <c r="M312" s="9">
        <v>110881</v>
      </c>
      <c r="N312" s="9" t="s">
        <v>79</v>
      </c>
      <c r="O312" s="9" t="s">
        <v>98</v>
      </c>
      <c r="P312" s="9"/>
      <c r="Q312" s="9">
        <v>0.93840000000000001</v>
      </c>
      <c r="R312" s="9" t="s">
        <v>2220</v>
      </c>
      <c r="S312" s="9">
        <v>0.7762</v>
      </c>
      <c r="T312" s="9">
        <v>75.414400000000001</v>
      </c>
      <c r="U312" s="9">
        <v>5.9999999999999995E-4</v>
      </c>
      <c r="V312" s="9">
        <v>1.2927999999999999</v>
      </c>
      <c r="W312" s="9" t="s">
        <v>2221</v>
      </c>
      <c r="X312" s="9">
        <v>0.33169999999999999</v>
      </c>
      <c r="Y312" s="9">
        <v>3.7795999999999998</v>
      </c>
      <c r="Z312" s="9" t="s">
        <v>2222</v>
      </c>
      <c r="AA312" s="9">
        <v>0.20030000000000001</v>
      </c>
      <c r="AB312" s="9" t="s">
        <v>109</v>
      </c>
      <c r="AC312" s="9" t="s">
        <v>155</v>
      </c>
    </row>
    <row r="313" spans="1:29" ht="13.9">
      <c r="A313" s="9" t="s">
        <v>70</v>
      </c>
      <c r="B313" s="9" t="s">
        <v>207</v>
      </c>
      <c r="C313" s="9" t="s">
        <v>74</v>
      </c>
      <c r="D313" s="9" t="s">
        <v>75</v>
      </c>
      <c r="E313" s="9" t="s">
        <v>949</v>
      </c>
      <c r="F313" s="9" t="s">
        <v>113</v>
      </c>
      <c r="G313" s="9" t="s">
        <v>950</v>
      </c>
      <c r="H313" s="9" t="s">
        <v>133</v>
      </c>
      <c r="I313" s="9" t="s">
        <v>951</v>
      </c>
      <c r="J313" s="65">
        <f t="shared" si="10"/>
        <v>138086</v>
      </c>
      <c r="K313" s="9">
        <v>50</v>
      </c>
      <c r="L313" s="9">
        <v>27205</v>
      </c>
      <c r="M313" s="9">
        <v>110881</v>
      </c>
      <c r="N313" s="9" t="s">
        <v>79</v>
      </c>
      <c r="O313" s="9" t="s">
        <v>98</v>
      </c>
      <c r="P313" s="9"/>
      <c r="Q313" s="9">
        <v>0.59470000000000001</v>
      </c>
      <c r="R313" s="9" t="s">
        <v>966</v>
      </c>
      <c r="S313" s="9">
        <v>2.87E-2</v>
      </c>
      <c r="T313" s="9">
        <v>80.4041</v>
      </c>
      <c r="U313" s="9">
        <v>5.4000000000000003E-3</v>
      </c>
      <c r="V313" s="9">
        <v>0.90590000000000004</v>
      </c>
      <c r="W313" s="9" t="s">
        <v>969</v>
      </c>
      <c r="X313" s="9">
        <v>0.73570000000000002</v>
      </c>
      <c r="Y313" s="9">
        <v>0.37369999999999998</v>
      </c>
      <c r="Z313" s="9" t="s">
        <v>972</v>
      </c>
      <c r="AA313" s="9">
        <v>0.26840000000000003</v>
      </c>
      <c r="AB313" s="9" t="s">
        <v>109</v>
      </c>
      <c r="AC313" s="9" t="s">
        <v>155</v>
      </c>
    </row>
    <row r="314" spans="1:29" ht="13.9">
      <c r="A314" s="17" t="s">
        <v>52</v>
      </c>
      <c r="B314" s="17" t="s">
        <v>77</v>
      </c>
      <c r="C314" s="17" t="s">
        <v>2196</v>
      </c>
      <c r="D314" s="17" t="s">
        <v>2223</v>
      </c>
      <c r="E314" s="17" t="s">
        <v>2224</v>
      </c>
      <c r="F314" s="17" t="s">
        <v>79</v>
      </c>
      <c r="G314" s="17" t="s">
        <v>79</v>
      </c>
      <c r="H314" s="17" t="s">
        <v>79</v>
      </c>
      <c r="I314" s="17" t="s">
        <v>79</v>
      </c>
      <c r="J314" s="17" t="s">
        <v>79</v>
      </c>
      <c r="K314" s="17" t="s">
        <v>79</v>
      </c>
      <c r="L314" s="17" t="s">
        <v>79</v>
      </c>
      <c r="M314" s="17" t="s">
        <v>79</v>
      </c>
      <c r="N314" s="17" t="s">
        <v>2199</v>
      </c>
      <c r="O314" s="17" t="s">
        <v>98</v>
      </c>
      <c r="P314" s="17" t="s">
        <v>62</v>
      </c>
      <c r="Q314" s="17">
        <v>1.03</v>
      </c>
      <c r="R314" s="17" t="s">
        <v>2225</v>
      </c>
      <c r="S314" s="17" t="s">
        <v>2226</v>
      </c>
      <c r="T314" s="17" t="s">
        <v>62</v>
      </c>
      <c r="U314" s="17" t="s">
        <v>62</v>
      </c>
      <c r="V314" s="17" t="s">
        <v>62</v>
      </c>
      <c r="W314" s="17" t="s">
        <v>62</v>
      </c>
      <c r="X314" s="17" t="s">
        <v>62</v>
      </c>
      <c r="Y314" s="17" t="s">
        <v>62</v>
      </c>
      <c r="Z314" s="17" t="s">
        <v>62</v>
      </c>
      <c r="AA314" s="17" t="s">
        <v>62</v>
      </c>
      <c r="AB314" s="17" t="s">
        <v>140</v>
      </c>
      <c r="AC314" s="17" t="s">
        <v>145</v>
      </c>
    </row>
    <row r="315" spans="1:29" ht="13.9">
      <c r="A315" s="17" t="s">
        <v>52</v>
      </c>
      <c r="B315" s="17" t="s">
        <v>77</v>
      </c>
      <c r="C315" s="17" t="s">
        <v>2196</v>
      </c>
      <c r="D315" s="17" t="s">
        <v>2223</v>
      </c>
      <c r="E315" s="17" t="s">
        <v>2227</v>
      </c>
      <c r="F315" s="17" t="s">
        <v>79</v>
      </c>
      <c r="G315" s="17" t="s">
        <v>79</v>
      </c>
      <c r="H315" s="17" t="s">
        <v>79</v>
      </c>
      <c r="I315" s="17" t="s">
        <v>79</v>
      </c>
      <c r="J315" s="17" t="s">
        <v>79</v>
      </c>
      <c r="K315" s="17" t="s">
        <v>79</v>
      </c>
      <c r="L315" s="17" t="s">
        <v>79</v>
      </c>
      <c r="M315" s="17" t="s">
        <v>79</v>
      </c>
      <c r="N315" s="17" t="s">
        <v>2199</v>
      </c>
      <c r="O315" s="17" t="s">
        <v>98</v>
      </c>
      <c r="P315" s="17" t="s">
        <v>62</v>
      </c>
      <c r="Q315" s="17">
        <v>0.93</v>
      </c>
      <c r="R315" s="17" t="s">
        <v>2228</v>
      </c>
      <c r="S315" s="17" t="s">
        <v>2226</v>
      </c>
      <c r="T315" s="17" t="s">
        <v>62</v>
      </c>
      <c r="U315" s="17" t="s">
        <v>62</v>
      </c>
      <c r="V315" s="17" t="s">
        <v>62</v>
      </c>
      <c r="W315" s="17" t="s">
        <v>62</v>
      </c>
      <c r="X315" s="17" t="s">
        <v>62</v>
      </c>
      <c r="Y315" s="17" t="s">
        <v>62</v>
      </c>
      <c r="Z315" s="17" t="s">
        <v>62</v>
      </c>
      <c r="AA315" s="17" t="s">
        <v>62</v>
      </c>
      <c r="AB315" s="17" t="s">
        <v>140</v>
      </c>
      <c r="AC315" s="17" t="s">
        <v>145</v>
      </c>
    </row>
    <row r="316" spans="1:29" ht="13.9">
      <c r="A316" s="17" t="s">
        <v>52</v>
      </c>
      <c r="B316" s="17" t="s">
        <v>77</v>
      </c>
      <c r="C316" s="17" t="s">
        <v>2196</v>
      </c>
      <c r="D316" s="17" t="s">
        <v>2223</v>
      </c>
      <c r="E316" s="17" t="s">
        <v>2229</v>
      </c>
      <c r="F316" s="17" t="s">
        <v>79</v>
      </c>
      <c r="G316" s="17" t="s">
        <v>79</v>
      </c>
      <c r="H316" s="17" t="s">
        <v>79</v>
      </c>
      <c r="I316" s="17" t="s">
        <v>79</v>
      </c>
      <c r="J316" s="17" t="s">
        <v>79</v>
      </c>
      <c r="K316" s="17" t="s">
        <v>79</v>
      </c>
      <c r="L316" s="17" t="s">
        <v>79</v>
      </c>
      <c r="M316" s="17" t="s">
        <v>79</v>
      </c>
      <c r="N316" s="17" t="s">
        <v>2199</v>
      </c>
      <c r="O316" s="17" t="s">
        <v>98</v>
      </c>
      <c r="P316" s="17" t="s">
        <v>62</v>
      </c>
      <c r="Q316" s="17">
        <v>0.93</v>
      </c>
      <c r="R316" s="17" t="s">
        <v>2230</v>
      </c>
      <c r="S316" s="17" t="s">
        <v>2226</v>
      </c>
      <c r="T316" s="17" t="s">
        <v>62</v>
      </c>
      <c r="U316" s="17" t="s">
        <v>62</v>
      </c>
      <c r="V316" s="17" t="s">
        <v>62</v>
      </c>
      <c r="W316" s="17" t="s">
        <v>62</v>
      </c>
      <c r="X316" s="17" t="s">
        <v>62</v>
      </c>
      <c r="Y316" s="17" t="s">
        <v>62</v>
      </c>
      <c r="Z316" s="17" t="s">
        <v>62</v>
      </c>
      <c r="AA316" s="17" t="s">
        <v>62</v>
      </c>
      <c r="AB316" s="17" t="s">
        <v>140</v>
      </c>
      <c r="AC316" s="17" t="s">
        <v>145</v>
      </c>
    </row>
    <row r="317" spans="1:29" ht="13.9">
      <c r="A317" s="17" t="s">
        <v>52</v>
      </c>
      <c r="B317" s="17" t="s">
        <v>77</v>
      </c>
      <c r="C317" s="17" t="s">
        <v>2196</v>
      </c>
      <c r="D317" s="17" t="s">
        <v>2223</v>
      </c>
      <c r="E317" s="17" t="s">
        <v>2231</v>
      </c>
      <c r="F317" s="17" t="s">
        <v>79</v>
      </c>
      <c r="G317" s="17" t="s">
        <v>79</v>
      </c>
      <c r="H317" s="17" t="s">
        <v>79</v>
      </c>
      <c r="I317" s="17" t="s">
        <v>79</v>
      </c>
      <c r="J317" s="17" t="s">
        <v>79</v>
      </c>
      <c r="K317" s="17" t="s">
        <v>79</v>
      </c>
      <c r="L317" s="17" t="s">
        <v>79</v>
      </c>
      <c r="M317" s="17" t="s">
        <v>79</v>
      </c>
      <c r="N317" s="17" t="s">
        <v>2199</v>
      </c>
      <c r="O317" s="17" t="s">
        <v>98</v>
      </c>
      <c r="P317" s="17" t="s">
        <v>62</v>
      </c>
      <c r="Q317" s="17">
        <v>1.01</v>
      </c>
      <c r="R317" s="17" t="s">
        <v>2232</v>
      </c>
      <c r="S317" s="17" t="s">
        <v>2226</v>
      </c>
      <c r="T317" s="17" t="s">
        <v>62</v>
      </c>
      <c r="U317" s="17" t="s">
        <v>62</v>
      </c>
      <c r="V317" s="17" t="s">
        <v>62</v>
      </c>
      <c r="W317" s="17" t="s">
        <v>62</v>
      </c>
      <c r="X317" s="17" t="s">
        <v>62</v>
      </c>
      <c r="Y317" s="17" t="s">
        <v>62</v>
      </c>
      <c r="Z317" s="17" t="s">
        <v>62</v>
      </c>
      <c r="AA317" s="17" t="s">
        <v>62</v>
      </c>
      <c r="AB317" s="17" t="s">
        <v>140</v>
      </c>
      <c r="AC317" s="17" t="s">
        <v>145</v>
      </c>
    </row>
    <row r="318" spans="1:29" ht="13.9">
      <c r="A318" s="17" t="s">
        <v>52</v>
      </c>
      <c r="B318" s="17" t="s">
        <v>77</v>
      </c>
      <c r="C318" s="17" t="s">
        <v>2196</v>
      </c>
      <c r="D318" s="17" t="s">
        <v>2223</v>
      </c>
      <c r="E318" s="17" t="s">
        <v>2198</v>
      </c>
      <c r="F318" s="17" t="s">
        <v>79</v>
      </c>
      <c r="G318" s="17" t="s">
        <v>79</v>
      </c>
      <c r="H318" s="17" t="s">
        <v>79</v>
      </c>
      <c r="I318" s="17" t="s">
        <v>79</v>
      </c>
      <c r="J318" s="17" t="s">
        <v>79</v>
      </c>
      <c r="K318" s="17" t="s">
        <v>79</v>
      </c>
      <c r="L318" s="17" t="s">
        <v>79</v>
      </c>
      <c r="M318" s="17" t="s">
        <v>79</v>
      </c>
      <c r="N318" s="17" t="s">
        <v>2199</v>
      </c>
      <c r="O318" s="17" t="s">
        <v>98</v>
      </c>
      <c r="P318" s="17" t="s">
        <v>62</v>
      </c>
      <c r="Q318" s="17">
        <v>0.73</v>
      </c>
      <c r="R318" s="17" t="s">
        <v>2233</v>
      </c>
      <c r="S318" s="17" t="s">
        <v>2234</v>
      </c>
      <c r="T318" s="17" t="s">
        <v>62</v>
      </c>
      <c r="U318" s="17" t="s">
        <v>62</v>
      </c>
      <c r="V318" s="17" t="s">
        <v>62</v>
      </c>
      <c r="W318" s="17" t="s">
        <v>62</v>
      </c>
      <c r="X318" s="17" t="s">
        <v>62</v>
      </c>
      <c r="Y318" s="17" t="s">
        <v>62</v>
      </c>
      <c r="Z318" s="17" t="s">
        <v>62</v>
      </c>
      <c r="AA318" s="17" t="s">
        <v>62</v>
      </c>
      <c r="AB318" s="17" t="s">
        <v>140</v>
      </c>
      <c r="AC318" s="17" t="s">
        <v>145</v>
      </c>
    </row>
    <row r="319" spans="1:29" ht="13.9">
      <c r="A319" s="17" t="s">
        <v>52</v>
      </c>
      <c r="B319" s="17" t="s">
        <v>77</v>
      </c>
      <c r="C319" s="17" t="s">
        <v>2196</v>
      </c>
      <c r="D319" s="17" t="s">
        <v>2223</v>
      </c>
      <c r="E319" s="17" t="s">
        <v>2235</v>
      </c>
      <c r="F319" s="17" t="s">
        <v>79</v>
      </c>
      <c r="G319" s="17" t="s">
        <v>79</v>
      </c>
      <c r="H319" s="17" t="s">
        <v>79</v>
      </c>
      <c r="I319" s="17" t="s">
        <v>79</v>
      </c>
      <c r="J319" s="17" t="s">
        <v>79</v>
      </c>
      <c r="K319" s="17" t="s">
        <v>79</v>
      </c>
      <c r="L319" s="17" t="s">
        <v>79</v>
      </c>
      <c r="M319" s="17" t="s">
        <v>79</v>
      </c>
      <c r="N319" s="17" t="s">
        <v>2199</v>
      </c>
      <c r="O319" s="17" t="s">
        <v>98</v>
      </c>
      <c r="P319" s="17" t="s">
        <v>62</v>
      </c>
      <c r="Q319" s="17">
        <v>0.98</v>
      </c>
      <c r="R319" s="17" t="s">
        <v>2236</v>
      </c>
      <c r="S319" s="17" t="s">
        <v>2226</v>
      </c>
      <c r="T319" s="17" t="s">
        <v>62</v>
      </c>
      <c r="U319" s="17" t="s">
        <v>62</v>
      </c>
      <c r="V319" s="17" t="s">
        <v>62</v>
      </c>
      <c r="W319" s="17" t="s">
        <v>62</v>
      </c>
      <c r="X319" s="17" t="s">
        <v>62</v>
      </c>
      <c r="Y319" s="17" t="s">
        <v>62</v>
      </c>
      <c r="Z319" s="17" t="s">
        <v>62</v>
      </c>
      <c r="AA319" s="17" t="s">
        <v>62</v>
      </c>
      <c r="AB319" s="17" t="s">
        <v>140</v>
      </c>
      <c r="AC319" s="17" t="s">
        <v>145</v>
      </c>
    </row>
    <row r="320" spans="1:29" ht="13.9">
      <c r="A320" s="17" t="s">
        <v>52</v>
      </c>
      <c r="B320" s="17" t="s">
        <v>77</v>
      </c>
      <c r="C320" s="17" t="s">
        <v>2196</v>
      </c>
      <c r="D320" s="17" t="s">
        <v>2197</v>
      </c>
      <c r="E320" s="17" t="s">
        <v>2224</v>
      </c>
      <c r="F320" s="17" t="s">
        <v>79</v>
      </c>
      <c r="G320" s="17" t="s">
        <v>79</v>
      </c>
      <c r="H320" s="17" t="s">
        <v>79</v>
      </c>
      <c r="I320" s="17" t="s">
        <v>79</v>
      </c>
      <c r="J320" s="17" t="s">
        <v>79</v>
      </c>
      <c r="K320" s="17" t="s">
        <v>79</v>
      </c>
      <c r="L320" s="17" t="s">
        <v>79</v>
      </c>
      <c r="M320" s="17" t="s">
        <v>79</v>
      </c>
      <c r="N320" s="17" t="s">
        <v>2199</v>
      </c>
      <c r="O320" s="17" t="s">
        <v>98</v>
      </c>
      <c r="P320" s="17" t="s">
        <v>62</v>
      </c>
      <c r="Q320" s="17">
        <v>1.07</v>
      </c>
      <c r="R320" s="17" t="s">
        <v>2237</v>
      </c>
      <c r="S320" s="17" t="s">
        <v>2226</v>
      </c>
      <c r="T320" s="17" t="s">
        <v>62</v>
      </c>
      <c r="U320" s="17" t="s">
        <v>62</v>
      </c>
      <c r="V320" s="17" t="s">
        <v>62</v>
      </c>
      <c r="W320" s="17" t="s">
        <v>62</v>
      </c>
      <c r="X320" s="17" t="s">
        <v>62</v>
      </c>
      <c r="Y320" s="17" t="s">
        <v>62</v>
      </c>
      <c r="Z320" s="17" t="s">
        <v>62</v>
      </c>
      <c r="AA320" s="17" t="s">
        <v>62</v>
      </c>
      <c r="AB320" s="17" t="s">
        <v>140</v>
      </c>
      <c r="AC320" s="17" t="s">
        <v>145</v>
      </c>
    </row>
    <row r="321" spans="1:29" ht="13.9">
      <c r="A321" s="17" t="s">
        <v>52</v>
      </c>
      <c r="B321" s="17" t="s">
        <v>77</v>
      </c>
      <c r="C321" s="17" t="s">
        <v>2196</v>
      </c>
      <c r="D321" s="17" t="s">
        <v>2197</v>
      </c>
      <c r="E321" s="17" t="s">
        <v>2227</v>
      </c>
      <c r="F321" s="17" t="s">
        <v>79</v>
      </c>
      <c r="G321" s="17" t="s">
        <v>79</v>
      </c>
      <c r="H321" s="17" t="s">
        <v>79</v>
      </c>
      <c r="I321" s="17" t="s">
        <v>79</v>
      </c>
      <c r="J321" s="17" t="s">
        <v>79</v>
      </c>
      <c r="K321" s="17" t="s">
        <v>79</v>
      </c>
      <c r="L321" s="17" t="s">
        <v>79</v>
      </c>
      <c r="M321" s="17" t="s">
        <v>79</v>
      </c>
      <c r="N321" s="17" t="s">
        <v>2199</v>
      </c>
      <c r="O321" s="17" t="s">
        <v>98</v>
      </c>
      <c r="P321" s="17" t="s">
        <v>62</v>
      </c>
      <c r="Q321" s="17">
        <v>0.98</v>
      </c>
      <c r="R321" s="17" t="s">
        <v>2238</v>
      </c>
      <c r="S321" s="17" t="s">
        <v>2226</v>
      </c>
      <c r="T321" s="17" t="s">
        <v>62</v>
      </c>
      <c r="U321" s="17" t="s">
        <v>62</v>
      </c>
      <c r="V321" s="17" t="s">
        <v>62</v>
      </c>
      <c r="W321" s="17" t="s">
        <v>62</v>
      </c>
      <c r="X321" s="17" t="s">
        <v>62</v>
      </c>
      <c r="Y321" s="17" t="s">
        <v>62</v>
      </c>
      <c r="Z321" s="17" t="s">
        <v>62</v>
      </c>
      <c r="AA321" s="17" t="s">
        <v>62</v>
      </c>
      <c r="AB321" s="17" t="s">
        <v>140</v>
      </c>
      <c r="AC321" s="17" t="s">
        <v>145</v>
      </c>
    </row>
    <row r="322" spans="1:29" ht="13.9">
      <c r="A322" s="17" t="s">
        <v>52</v>
      </c>
      <c r="B322" s="17" t="s">
        <v>77</v>
      </c>
      <c r="C322" s="17" t="s">
        <v>2196</v>
      </c>
      <c r="D322" s="17" t="s">
        <v>2197</v>
      </c>
      <c r="E322" s="17" t="s">
        <v>2229</v>
      </c>
      <c r="F322" s="17" t="s">
        <v>79</v>
      </c>
      <c r="G322" s="17" t="s">
        <v>79</v>
      </c>
      <c r="H322" s="17" t="s">
        <v>79</v>
      </c>
      <c r="I322" s="17" t="s">
        <v>79</v>
      </c>
      <c r="J322" s="17" t="s">
        <v>79</v>
      </c>
      <c r="K322" s="17" t="s">
        <v>79</v>
      </c>
      <c r="L322" s="17" t="s">
        <v>79</v>
      </c>
      <c r="M322" s="17" t="s">
        <v>79</v>
      </c>
      <c r="N322" s="17" t="s">
        <v>2199</v>
      </c>
      <c r="O322" s="17" t="s">
        <v>98</v>
      </c>
      <c r="P322" s="17" t="s">
        <v>62</v>
      </c>
      <c r="Q322" s="17">
        <v>0.89</v>
      </c>
      <c r="R322" s="17" t="s">
        <v>2239</v>
      </c>
      <c r="S322" s="17" t="s">
        <v>2240</v>
      </c>
      <c r="T322" s="17" t="s">
        <v>62</v>
      </c>
      <c r="U322" s="17" t="s">
        <v>62</v>
      </c>
      <c r="V322" s="17" t="s">
        <v>62</v>
      </c>
      <c r="W322" s="17" t="s">
        <v>62</v>
      </c>
      <c r="X322" s="17" t="s">
        <v>62</v>
      </c>
      <c r="Y322" s="17" t="s">
        <v>62</v>
      </c>
      <c r="Z322" s="17" t="s">
        <v>62</v>
      </c>
      <c r="AA322" s="17" t="s">
        <v>62</v>
      </c>
      <c r="AB322" s="17" t="s">
        <v>140</v>
      </c>
      <c r="AC322" s="17" t="s">
        <v>145</v>
      </c>
    </row>
    <row r="323" spans="1:29" ht="13.9">
      <c r="A323" s="17" t="s">
        <v>52</v>
      </c>
      <c r="B323" s="17" t="s">
        <v>77</v>
      </c>
      <c r="C323" s="17" t="s">
        <v>2196</v>
      </c>
      <c r="D323" s="17" t="s">
        <v>2197</v>
      </c>
      <c r="E323" s="17" t="s">
        <v>2231</v>
      </c>
      <c r="F323" s="17" t="s">
        <v>79</v>
      </c>
      <c r="G323" s="17" t="s">
        <v>79</v>
      </c>
      <c r="H323" s="17" t="s">
        <v>79</v>
      </c>
      <c r="I323" s="17" t="s">
        <v>79</v>
      </c>
      <c r="J323" s="17" t="s">
        <v>79</v>
      </c>
      <c r="K323" s="17" t="s">
        <v>79</v>
      </c>
      <c r="L323" s="17" t="s">
        <v>79</v>
      </c>
      <c r="M323" s="17" t="s">
        <v>79</v>
      </c>
      <c r="N323" s="17" t="s">
        <v>2199</v>
      </c>
      <c r="O323" s="17" t="s">
        <v>98</v>
      </c>
      <c r="P323" s="17" t="s">
        <v>62</v>
      </c>
      <c r="Q323" s="17">
        <v>1.03</v>
      </c>
      <c r="R323" s="17" t="s">
        <v>2241</v>
      </c>
      <c r="S323" s="17" t="s">
        <v>2226</v>
      </c>
      <c r="T323" s="17" t="s">
        <v>62</v>
      </c>
      <c r="U323" s="17" t="s">
        <v>62</v>
      </c>
      <c r="V323" s="17" t="s">
        <v>62</v>
      </c>
      <c r="W323" s="17" t="s">
        <v>62</v>
      </c>
      <c r="X323" s="17" t="s">
        <v>62</v>
      </c>
      <c r="Y323" s="17" t="s">
        <v>62</v>
      </c>
      <c r="Z323" s="17" t="s">
        <v>62</v>
      </c>
      <c r="AA323" s="17" t="s">
        <v>62</v>
      </c>
      <c r="AB323" s="17" t="s">
        <v>140</v>
      </c>
      <c r="AC323" s="17" t="s">
        <v>145</v>
      </c>
    </row>
    <row r="324" spans="1:29" ht="13.9">
      <c r="A324" s="17" t="s">
        <v>52</v>
      </c>
      <c r="B324" s="17" t="s">
        <v>77</v>
      </c>
      <c r="C324" s="17" t="s">
        <v>2196</v>
      </c>
      <c r="D324" s="17" t="s">
        <v>2197</v>
      </c>
      <c r="E324" s="17" t="s">
        <v>2198</v>
      </c>
      <c r="F324" s="17" t="s">
        <v>79</v>
      </c>
      <c r="G324" s="17" t="s">
        <v>79</v>
      </c>
      <c r="H324" s="17" t="s">
        <v>79</v>
      </c>
      <c r="I324" s="17" t="s">
        <v>79</v>
      </c>
      <c r="J324" s="17" t="s">
        <v>79</v>
      </c>
      <c r="K324" s="17" t="s">
        <v>79</v>
      </c>
      <c r="L324" s="17" t="s">
        <v>79</v>
      </c>
      <c r="M324" s="17" t="s">
        <v>79</v>
      </c>
      <c r="N324" s="17" t="s">
        <v>2199</v>
      </c>
      <c r="O324" s="17" t="s">
        <v>98</v>
      </c>
      <c r="P324" s="17" t="s">
        <v>62</v>
      </c>
      <c r="Q324" s="17">
        <v>0.83</v>
      </c>
      <c r="R324" s="17" t="s">
        <v>2200</v>
      </c>
      <c r="S324" s="17" t="s">
        <v>1165</v>
      </c>
      <c r="T324" s="17" t="s">
        <v>62</v>
      </c>
      <c r="U324" s="17" t="s">
        <v>62</v>
      </c>
      <c r="V324" s="17" t="s">
        <v>62</v>
      </c>
      <c r="W324" s="17" t="s">
        <v>62</v>
      </c>
      <c r="X324" s="17" t="s">
        <v>62</v>
      </c>
      <c r="Y324" s="17" t="s">
        <v>62</v>
      </c>
      <c r="Z324" s="17" t="s">
        <v>62</v>
      </c>
      <c r="AA324" s="17" t="s">
        <v>62</v>
      </c>
      <c r="AB324" s="17" t="s">
        <v>140</v>
      </c>
      <c r="AC324" s="17" t="s">
        <v>145</v>
      </c>
    </row>
    <row r="325" spans="1:29" ht="13.9">
      <c r="A325" s="17" t="s">
        <v>52</v>
      </c>
      <c r="B325" s="17" t="s">
        <v>77</v>
      </c>
      <c r="C325" s="17" t="s">
        <v>2196</v>
      </c>
      <c r="D325" s="17" t="s">
        <v>2197</v>
      </c>
      <c r="E325" s="17" t="s">
        <v>2235</v>
      </c>
      <c r="F325" s="17" t="s">
        <v>79</v>
      </c>
      <c r="G325" s="17" t="s">
        <v>79</v>
      </c>
      <c r="H325" s="17" t="s">
        <v>79</v>
      </c>
      <c r="I325" s="17" t="s">
        <v>79</v>
      </c>
      <c r="J325" s="17" t="s">
        <v>79</v>
      </c>
      <c r="K325" s="17" t="s">
        <v>79</v>
      </c>
      <c r="L325" s="17" t="s">
        <v>79</v>
      </c>
      <c r="M325" s="17" t="s">
        <v>79</v>
      </c>
      <c r="N325" s="17" t="s">
        <v>2199</v>
      </c>
      <c r="O325" s="17" t="s">
        <v>98</v>
      </c>
      <c r="P325" s="17" t="s">
        <v>62</v>
      </c>
      <c r="Q325" s="17">
        <v>1.1000000000000001</v>
      </c>
      <c r="R325" s="17" t="s">
        <v>2242</v>
      </c>
      <c r="S325" s="17" t="s">
        <v>2226</v>
      </c>
      <c r="T325" s="17" t="s">
        <v>62</v>
      </c>
      <c r="U325" s="17" t="s">
        <v>62</v>
      </c>
      <c r="V325" s="17" t="s">
        <v>62</v>
      </c>
      <c r="W325" s="17" t="s">
        <v>62</v>
      </c>
      <c r="X325" s="17" t="s">
        <v>62</v>
      </c>
      <c r="Y325" s="17" t="s">
        <v>62</v>
      </c>
      <c r="Z325" s="17" t="s">
        <v>62</v>
      </c>
      <c r="AA325" s="17" t="s">
        <v>62</v>
      </c>
      <c r="AB325" s="17" t="s">
        <v>140</v>
      </c>
      <c r="AC325" s="17" t="s">
        <v>145</v>
      </c>
    </row>
    <row r="326" spans="1:29" ht="13.9">
      <c r="A326" s="9" t="s">
        <v>52</v>
      </c>
      <c r="B326" s="9" t="s">
        <v>84</v>
      </c>
      <c r="C326" s="9" t="s">
        <v>74</v>
      </c>
      <c r="D326" s="9" t="s">
        <v>164</v>
      </c>
      <c r="E326" s="9" t="s">
        <v>2243</v>
      </c>
      <c r="F326" s="9" t="s">
        <v>165</v>
      </c>
      <c r="G326" s="9" t="s">
        <v>2244</v>
      </c>
      <c r="H326" s="9" t="s">
        <v>133</v>
      </c>
      <c r="I326" s="9" t="s">
        <v>1321</v>
      </c>
      <c r="J326" s="9">
        <f t="shared" ref="J326:J338" si="11">SUM(L326:M326)</f>
        <v>4671</v>
      </c>
      <c r="K326" s="9">
        <v>34</v>
      </c>
      <c r="L326" s="9">
        <v>2342</v>
      </c>
      <c r="M326" s="9">
        <v>2329</v>
      </c>
      <c r="N326" s="9" t="s">
        <v>97</v>
      </c>
      <c r="O326" s="9" t="s">
        <v>98</v>
      </c>
      <c r="P326" s="9" t="s">
        <v>79</v>
      </c>
      <c r="Q326" s="9">
        <v>0.17319999999999999</v>
      </c>
      <c r="R326" s="9" t="s">
        <v>2245</v>
      </c>
      <c r="S326" s="9">
        <v>1.3100000000000001E-2</v>
      </c>
      <c r="T326" s="9">
        <v>29.133299999999998</v>
      </c>
      <c r="U326" s="9">
        <v>0.66020000000000001</v>
      </c>
      <c r="V326" s="9">
        <v>0.2656</v>
      </c>
      <c r="W326" s="9" t="s">
        <v>2246</v>
      </c>
      <c r="X326" s="9">
        <v>0.18210000000000001</v>
      </c>
      <c r="Y326" s="9" t="s">
        <v>62</v>
      </c>
      <c r="Z326" s="9" t="s">
        <v>62</v>
      </c>
      <c r="AA326" s="9" t="s">
        <v>62</v>
      </c>
      <c r="AB326" s="9" t="s">
        <v>140</v>
      </c>
      <c r="AC326" s="9" t="s">
        <v>204</v>
      </c>
    </row>
    <row r="327" spans="1:29" ht="13.9">
      <c r="A327" s="66" t="s">
        <v>52</v>
      </c>
      <c r="B327" s="66" t="s">
        <v>84</v>
      </c>
      <c r="C327" s="66" t="s">
        <v>74</v>
      </c>
      <c r="D327" s="66" t="s">
        <v>164</v>
      </c>
      <c r="E327" s="66" t="s">
        <v>820</v>
      </c>
      <c r="F327" s="66" t="s">
        <v>165</v>
      </c>
      <c r="G327" s="66" t="s">
        <v>2247</v>
      </c>
      <c r="H327" s="66" t="s">
        <v>133</v>
      </c>
      <c r="I327" s="66" t="s">
        <v>1321</v>
      </c>
      <c r="J327" s="66">
        <f t="shared" si="11"/>
        <v>27209</v>
      </c>
      <c r="K327" s="66">
        <v>39</v>
      </c>
      <c r="L327" s="66">
        <v>11348</v>
      </c>
      <c r="M327" s="66">
        <v>15861</v>
      </c>
      <c r="N327" s="66" t="s">
        <v>97</v>
      </c>
      <c r="O327" s="66" t="s">
        <v>98</v>
      </c>
      <c r="P327" s="66" t="s">
        <v>79</v>
      </c>
      <c r="Q327" s="66">
        <v>0.32990000000000003</v>
      </c>
      <c r="R327" s="66" t="s">
        <v>2248</v>
      </c>
      <c r="S327" s="66">
        <v>1.1000000000000001E-3</v>
      </c>
      <c r="T327" s="66">
        <v>63.370800000000003</v>
      </c>
      <c r="U327" s="66">
        <v>6.0000000000000001E-3</v>
      </c>
      <c r="V327" s="66">
        <v>0.35970000000000002</v>
      </c>
      <c r="W327" s="66" t="s">
        <v>2249</v>
      </c>
      <c r="X327" s="66">
        <v>1.44E-2</v>
      </c>
      <c r="Y327" s="66" t="s">
        <v>62</v>
      </c>
      <c r="Z327" s="66" t="s">
        <v>62</v>
      </c>
      <c r="AA327" s="66" t="s">
        <v>62</v>
      </c>
      <c r="AB327" s="66" t="s">
        <v>140</v>
      </c>
      <c r="AC327" s="66" t="s">
        <v>204</v>
      </c>
    </row>
    <row r="328" spans="1:29" ht="13.9">
      <c r="A328" s="9" t="s">
        <v>52</v>
      </c>
      <c r="B328" s="9" t="s">
        <v>84</v>
      </c>
      <c r="C328" s="9" t="s">
        <v>74</v>
      </c>
      <c r="D328" s="9" t="s">
        <v>164</v>
      </c>
      <c r="E328" s="9" t="s">
        <v>2250</v>
      </c>
      <c r="F328" s="9" t="s">
        <v>165</v>
      </c>
      <c r="G328" s="9" t="s">
        <v>2251</v>
      </c>
      <c r="H328" s="9" t="s">
        <v>133</v>
      </c>
      <c r="I328" s="9" t="s">
        <v>1321</v>
      </c>
      <c r="J328" s="9">
        <f t="shared" si="11"/>
        <v>18313</v>
      </c>
      <c r="K328" s="9">
        <v>39</v>
      </c>
      <c r="L328" s="9">
        <v>3275</v>
      </c>
      <c r="M328" s="9">
        <v>15038</v>
      </c>
      <c r="N328" s="9" t="s">
        <v>97</v>
      </c>
      <c r="O328" s="9" t="s">
        <v>98</v>
      </c>
      <c r="P328" s="9" t="s">
        <v>79</v>
      </c>
      <c r="Q328" s="9">
        <v>0.23</v>
      </c>
      <c r="R328" s="9" t="s">
        <v>2252</v>
      </c>
      <c r="S328" s="9">
        <v>2.5999999999999999E-3</v>
      </c>
      <c r="T328" s="9">
        <v>55.795099999999998</v>
      </c>
      <c r="U328" s="9">
        <v>3.1300000000000001E-2</v>
      </c>
      <c r="V328" s="9">
        <v>0.1794</v>
      </c>
      <c r="W328" s="9" t="s">
        <v>2253</v>
      </c>
      <c r="X328" s="9">
        <v>4.4000000000000003E-3</v>
      </c>
      <c r="Y328" s="9" t="s">
        <v>62</v>
      </c>
      <c r="Z328" s="9" t="s">
        <v>62</v>
      </c>
      <c r="AA328" s="9" t="s">
        <v>62</v>
      </c>
      <c r="AB328" s="9" t="s">
        <v>140</v>
      </c>
      <c r="AC328" s="9" t="s">
        <v>204</v>
      </c>
    </row>
    <row r="329" spans="1:29" ht="13.9">
      <c r="A329" s="66" t="s">
        <v>52</v>
      </c>
      <c r="B329" s="66" t="s">
        <v>84</v>
      </c>
      <c r="C329" s="66" t="s">
        <v>74</v>
      </c>
      <c r="D329" s="66" t="s">
        <v>164</v>
      </c>
      <c r="E329" s="66" t="s">
        <v>423</v>
      </c>
      <c r="F329" s="66" t="s">
        <v>165</v>
      </c>
      <c r="G329" s="66" t="s">
        <v>1536</v>
      </c>
      <c r="H329" s="66" t="s">
        <v>133</v>
      </c>
      <c r="I329" s="66" t="s">
        <v>1321</v>
      </c>
      <c r="J329" s="66">
        <f t="shared" si="11"/>
        <v>33832</v>
      </c>
      <c r="K329" s="66">
        <v>41</v>
      </c>
      <c r="L329" s="66">
        <v>15748</v>
      </c>
      <c r="M329" s="66">
        <v>18084</v>
      </c>
      <c r="N329" s="66" t="s">
        <v>97</v>
      </c>
      <c r="O329" s="66" t="s">
        <v>98</v>
      </c>
      <c r="P329" s="66" t="s">
        <v>79</v>
      </c>
      <c r="Q329" s="66">
        <v>0.46929999999999999</v>
      </c>
      <c r="R329" s="66" t="s">
        <v>2260</v>
      </c>
      <c r="S329" s="66" t="s">
        <v>2261</v>
      </c>
      <c r="T329" s="66">
        <v>63.079300000000003</v>
      </c>
      <c r="U329" s="66">
        <v>1.14E-2</v>
      </c>
      <c r="V329" s="66">
        <v>0.35199999999999998</v>
      </c>
      <c r="W329" s="66" t="s">
        <v>2262</v>
      </c>
      <c r="X329" s="66" t="s">
        <v>2263</v>
      </c>
      <c r="Y329" s="66" t="s">
        <v>62</v>
      </c>
      <c r="Z329" s="66" t="s">
        <v>62</v>
      </c>
      <c r="AA329" s="66" t="s">
        <v>62</v>
      </c>
      <c r="AB329" s="66" t="s">
        <v>140</v>
      </c>
      <c r="AC329" s="66" t="s">
        <v>204</v>
      </c>
    </row>
    <row r="330" spans="1:29" ht="13.9">
      <c r="A330" s="9" t="s">
        <v>52</v>
      </c>
      <c r="B330" s="9" t="s">
        <v>84</v>
      </c>
      <c r="C330" s="9" t="s">
        <v>74</v>
      </c>
      <c r="D330" s="9" t="s">
        <v>164</v>
      </c>
      <c r="E330" s="9" t="s">
        <v>2264</v>
      </c>
      <c r="F330" s="9" t="s">
        <v>165</v>
      </c>
      <c r="G330" s="9" t="s">
        <v>2265</v>
      </c>
      <c r="H330" s="9" t="s">
        <v>133</v>
      </c>
      <c r="I330" s="9" t="s">
        <v>1321</v>
      </c>
      <c r="J330" s="9">
        <f t="shared" si="11"/>
        <v>66450</v>
      </c>
      <c r="K330" s="9">
        <v>40</v>
      </c>
      <c r="L330" s="9">
        <v>25509</v>
      </c>
      <c r="M330" s="9">
        <v>40941</v>
      </c>
      <c r="N330" s="9" t="s">
        <v>97</v>
      </c>
      <c r="O330" s="9" t="s">
        <v>98</v>
      </c>
      <c r="P330" s="9" t="s">
        <v>79</v>
      </c>
      <c r="Q330" s="9">
        <v>0.6028</v>
      </c>
      <c r="R330" s="9" t="s">
        <v>2266</v>
      </c>
      <c r="S330" s="9">
        <v>1.83E-2</v>
      </c>
      <c r="T330" s="9">
        <v>47.188600000000001</v>
      </c>
      <c r="U330" s="9">
        <v>0.17269999999999999</v>
      </c>
      <c r="V330" s="9">
        <v>0.75749999999999995</v>
      </c>
      <c r="W330" s="9" t="s">
        <v>2267</v>
      </c>
      <c r="X330" s="9">
        <v>0.32390000000000002</v>
      </c>
      <c r="Y330" s="9" t="s">
        <v>62</v>
      </c>
      <c r="Z330" s="9" t="s">
        <v>62</v>
      </c>
      <c r="AA330" s="9" t="s">
        <v>62</v>
      </c>
      <c r="AB330" s="9" t="s">
        <v>140</v>
      </c>
      <c r="AC330" s="9" t="s">
        <v>204</v>
      </c>
    </row>
    <row r="331" spans="1:29" ht="13.9">
      <c r="A331" s="9" t="s">
        <v>52</v>
      </c>
      <c r="B331" s="9" t="s">
        <v>84</v>
      </c>
      <c r="C331" s="9" t="s">
        <v>74</v>
      </c>
      <c r="D331" s="9" t="s">
        <v>164</v>
      </c>
      <c r="E331" s="9" t="s">
        <v>2268</v>
      </c>
      <c r="F331" s="9" t="s">
        <v>165</v>
      </c>
      <c r="G331" s="9" t="s">
        <v>2269</v>
      </c>
      <c r="H331" s="9" t="s">
        <v>133</v>
      </c>
      <c r="I331" s="9" t="s">
        <v>1321</v>
      </c>
      <c r="J331" s="9">
        <f t="shared" si="11"/>
        <v>3835</v>
      </c>
      <c r="K331" s="9">
        <v>8</v>
      </c>
      <c r="L331" s="9">
        <v>1896</v>
      </c>
      <c r="M331" s="9">
        <v>1939</v>
      </c>
      <c r="N331" s="9" t="s">
        <v>97</v>
      </c>
      <c r="O331" s="9" t="s">
        <v>98</v>
      </c>
      <c r="P331" s="9" t="s">
        <v>79</v>
      </c>
      <c r="Q331" s="9">
        <v>2.7400000000000001E-2</v>
      </c>
      <c r="R331" s="9" t="s">
        <v>2270</v>
      </c>
      <c r="S331" s="9">
        <v>2.8000000000000001E-2</v>
      </c>
      <c r="T331" s="9">
        <v>6.2934000000000001</v>
      </c>
      <c r="U331" s="9">
        <v>0.50590000000000002</v>
      </c>
      <c r="V331" s="9">
        <v>1.2800000000000001E-2</v>
      </c>
      <c r="W331" s="9" t="s">
        <v>2271</v>
      </c>
      <c r="X331" s="9">
        <v>4.9799999999999997E-2</v>
      </c>
      <c r="Y331" s="9" t="s">
        <v>62</v>
      </c>
      <c r="Z331" s="9" t="s">
        <v>62</v>
      </c>
      <c r="AA331" s="9" t="s">
        <v>62</v>
      </c>
      <c r="AB331" s="9" t="s">
        <v>140</v>
      </c>
      <c r="AC331" s="9" t="s">
        <v>204</v>
      </c>
    </row>
    <row r="332" spans="1:29" ht="13.9">
      <c r="A332" s="9" t="s">
        <v>52</v>
      </c>
      <c r="B332" s="9" t="s">
        <v>84</v>
      </c>
      <c r="C332" s="9" t="s">
        <v>74</v>
      </c>
      <c r="D332" s="9" t="s">
        <v>164</v>
      </c>
      <c r="E332" s="9" t="s">
        <v>1718</v>
      </c>
      <c r="F332" s="9" t="s">
        <v>165</v>
      </c>
      <c r="G332" s="9" t="s">
        <v>2645</v>
      </c>
      <c r="H332" s="9" t="s">
        <v>133</v>
      </c>
      <c r="I332" s="9" t="s">
        <v>1321</v>
      </c>
      <c r="J332" s="9">
        <f t="shared" si="11"/>
        <v>199086</v>
      </c>
      <c r="K332" s="9">
        <v>37</v>
      </c>
      <c r="L332" s="9">
        <v>563</v>
      </c>
      <c r="M332" s="9">
        <v>198523</v>
      </c>
      <c r="N332" s="9" t="s">
        <v>97</v>
      </c>
      <c r="O332" s="9" t="s">
        <v>98</v>
      </c>
      <c r="P332" s="9" t="s">
        <v>79</v>
      </c>
      <c r="Q332" s="9">
        <v>0.99470000000000003</v>
      </c>
      <c r="R332" s="9" t="s">
        <v>2273</v>
      </c>
      <c r="S332" s="9">
        <v>4.82E-2</v>
      </c>
      <c r="T332" s="9">
        <v>36.910600000000002</v>
      </c>
      <c r="U332" s="9">
        <v>0.42659999999999998</v>
      </c>
      <c r="V332" s="9">
        <v>0.30449999999999999</v>
      </c>
      <c r="W332" s="9" t="s">
        <v>2274</v>
      </c>
      <c r="X332" s="9">
        <v>0.30449999999999999</v>
      </c>
      <c r="Y332" s="9" t="s">
        <v>62</v>
      </c>
      <c r="Z332" s="9" t="s">
        <v>62</v>
      </c>
      <c r="AA332" s="9" t="s">
        <v>62</v>
      </c>
      <c r="AB332" s="9" t="s">
        <v>140</v>
      </c>
      <c r="AC332" s="9" t="s">
        <v>204</v>
      </c>
    </row>
    <row r="333" spans="1:29" ht="13.9">
      <c r="A333" s="66" t="s">
        <v>52</v>
      </c>
      <c r="B333" s="66" t="s">
        <v>84</v>
      </c>
      <c r="C333" s="66" t="s">
        <v>74</v>
      </c>
      <c r="D333" s="66" t="s">
        <v>164</v>
      </c>
      <c r="E333" s="66" t="s">
        <v>900</v>
      </c>
      <c r="F333" s="66" t="s">
        <v>165</v>
      </c>
      <c r="G333" s="66" t="s">
        <v>2275</v>
      </c>
      <c r="H333" s="66" t="s">
        <v>133</v>
      </c>
      <c r="I333" s="66" t="s">
        <v>1321</v>
      </c>
      <c r="J333" s="66">
        <f t="shared" si="11"/>
        <v>18336</v>
      </c>
      <c r="K333" s="66">
        <v>39</v>
      </c>
      <c r="L333" s="66">
        <v>3442</v>
      </c>
      <c r="M333" s="66">
        <v>14894</v>
      </c>
      <c r="N333" s="66" t="s">
        <v>97</v>
      </c>
      <c r="O333" s="66" t="s">
        <v>98</v>
      </c>
      <c r="P333" s="66" t="s">
        <v>79</v>
      </c>
      <c r="Q333" s="66">
        <v>0.70789999999999997</v>
      </c>
      <c r="R333" s="66" t="s">
        <v>2276</v>
      </c>
      <c r="S333" s="66">
        <v>0.43419999999999997</v>
      </c>
      <c r="T333" s="66">
        <v>45.780799999999999</v>
      </c>
      <c r="U333" s="66">
        <v>0.18049999999999999</v>
      </c>
      <c r="V333" s="66">
        <v>1.2855000000000001</v>
      </c>
      <c r="W333" s="66" t="s">
        <v>2277</v>
      </c>
      <c r="X333" s="66">
        <v>0.46939999999999998</v>
      </c>
      <c r="Y333" s="66" t="s">
        <v>62</v>
      </c>
      <c r="Z333" s="66" t="s">
        <v>62</v>
      </c>
      <c r="AA333" s="66" t="s">
        <v>62</v>
      </c>
      <c r="AB333" s="66" t="s">
        <v>140</v>
      </c>
      <c r="AC333" s="66" t="s">
        <v>204</v>
      </c>
    </row>
    <row r="334" spans="1:29" ht="13.9">
      <c r="A334" s="9" t="s">
        <v>52</v>
      </c>
      <c r="B334" s="9" t="s">
        <v>84</v>
      </c>
      <c r="C334" s="9" t="s">
        <v>74</v>
      </c>
      <c r="D334" s="9" t="s">
        <v>164</v>
      </c>
      <c r="E334" s="9" t="s">
        <v>2113</v>
      </c>
      <c r="F334" s="9" t="s">
        <v>165</v>
      </c>
      <c r="G334" s="9" t="s">
        <v>2114</v>
      </c>
      <c r="H334" s="9" t="s">
        <v>133</v>
      </c>
      <c r="I334" s="9" t="s">
        <v>1321</v>
      </c>
      <c r="J334" s="9">
        <f t="shared" si="11"/>
        <v>121885</v>
      </c>
      <c r="K334" s="9">
        <v>41</v>
      </c>
      <c r="L334" s="9">
        <v>12906</v>
      </c>
      <c r="M334" s="9">
        <v>108979</v>
      </c>
      <c r="N334" s="9" t="s">
        <v>97</v>
      </c>
      <c r="O334" s="9" t="s">
        <v>98</v>
      </c>
      <c r="P334" s="9" t="s">
        <v>79</v>
      </c>
      <c r="Q334" s="9">
        <v>0.95860000000000001</v>
      </c>
      <c r="R334" s="9" t="s">
        <v>2278</v>
      </c>
      <c r="S334" s="9">
        <v>0.87419999999999998</v>
      </c>
      <c r="T334" s="9">
        <v>58.096200000000003</v>
      </c>
      <c r="U334" s="9">
        <v>3.2000000000000001E-2</v>
      </c>
      <c r="V334" s="9">
        <v>0.1525</v>
      </c>
      <c r="W334" s="9" t="s">
        <v>2279</v>
      </c>
      <c r="X334" s="9">
        <v>0.66200000000000003</v>
      </c>
      <c r="Y334" s="9" t="s">
        <v>62</v>
      </c>
      <c r="Z334" s="9" t="s">
        <v>62</v>
      </c>
      <c r="AA334" s="9" t="s">
        <v>62</v>
      </c>
      <c r="AB334" s="9" t="s">
        <v>140</v>
      </c>
      <c r="AC334" s="9" t="s">
        <v>204</v>
      </c>
    </row>
    <row r="335" spans="1:29" ht="13.9">
      <c r="A335" s="9" t="s">
        <v>52</v>
      </c>
      <c r="B335" s="9" t="s">
        <v>84</v>
      </c>
      <c r="C335" s="9" t="s">
        <v>74</v>
      </c>
      <c r="D335" s="9" t="s">
        <v>164</v>
      </c>
      <c r="E335" s="9" t="s">
        <v>2280</v>
      </c>
      <c r="F335" s="9" t="s">
        <v>165</v>
      </c>
      <c r="G335" s="9" t="s">
        <v>2281</v>
      </c>
      <c r="H335" s="9" t="s">
        <v>133</v>
      </c>
      <c r="I335" s="9" t="s">
        <v>1321</v>
      </c>
      <c r="J335" s="9">
        <f t="shared" si="11"/>
        <v>1080</v>
      </c>
      <c r="K335" s="9">
        <v>7</v>
      </c>
      <c r="L335" s="9">
        <v>649</v>
      </c>
      <c r="M335" s="9">
        <v>431</v>
      </c>
      <c r="N335" s="9" t="s">
        <v>97</v>
      </c>
      <c r="O335" s="9" t="s">
        <v>98</v>
      </c>
      <c r="P335" s="9" t="s">
        <v>79</v>
      </c>
      <c r="Q335" s="9">
        <v>0.18540000000000001</v>
      </c>
      <c r="R335" s="9" t="s">
        <v>2282</v>
      </c>
      <c r="S335" s="9">
        <v>0.63519999999999999</v>
      </c>
      <c r="T335" s="9">
        <v>7.5067000000000004</v>
      </c>
      <c r="U335" s="9">
        <v>0.27650000000000002</v>
      </c>
      <c r="V335" s="9">
        <v>1.337</v>
      </c>
      <c r="W335" s="9" t="s">
        <v>2283</v>
      </c>
      <c r="X335" s="9">
        <v>0.108</v>
      </c>
      <c r="Y335" s="9" t="s">
        <v>62</v>
      </c>
      <c r="Z335" s="9" t="s">
        <v>62</v>
      </c>
      <c r="AA335" s="9" t="s">
        <v>62</v>
      </c>
      <c r="AB335" s="9" t="s">
        <v>140</v>
      </c>
      <c r="AC335" s="9" t="s">
        <v>204</v>
      </c>
    </row>
    <row r="336" spans="1:29" ht="13.9">
      <c r="A336" s="9" t="s">
        <v>52</v>
      </c>
      <c r="B336" s="9" t="s">
        <v>84</v>
      </c>
      <c r="C336" s="9" t="s">
        <v>74</v>
      </c>
      <c r="D336" s="9" t="s">
        <v>164</v>
      </c>
      <c r="E336" s="9" t="s">
        <v>2284</v>
      </c>
      <c r="F336" s="9" t="s">
        <v>165</v>
      </c>
      <c r="G336" s="9" t="s">
        <v>2285</v>
      </c>
      <c r="H336" s="9" t="s">
        <v>133</v>
      </c>
      <c r="I336" s="9" t="s">
        <v>1321</v>
      </c>
      <c r="J336" s="9">
        <f t="shared" si="11"/>
        <v>140254</v>
      </c>
      <c r="K336" s="9">
        <v>41</v>
      </c>
      <c r="L336" s="9">
        <v>79148</v>
      </c>
      <c r="M336" s="9">
        <v>61106</v>
      </c>
      <c r="N336" s="9" t="s">
        <v>97</v>
      </c>
      <c r="O336" s="9" t="s">
        <v>98</v>
      </c>
      <c r="P336" s="9" t="s">
        <v>79</v>
      </c>
      <c r="Q336" s="9">
        <v>1.1424000000000001</v>
      </c>
      <c r="R336" s="9" t="s">
        <v>2286</v>
      </c>
      <c r="S336" s="9">
        <v>0.53539999999999999</v>
      </c>
      <c r="T336" s="9">
        <v>133.41290000000001</v>
      </c>
      <c r="U336" s="9" t="s">
        <v>2287</v>
      </c>
      <c r="V336" s="9">
        <v>1.337</v>
      </c>
      <c r="W336" s="9" t="s">
        <v>2283</v>
      </c>
      <c r="X336" s="9">
        <v>0.108</v>
      </c>
      <c r="Y336" s="9" t="s">
        <v>62</v>
      </c>
      <c r="Z336" s="9" t="s">
        <v>62</v>
      </c>
      <c r="AA336" s="9" t="s">
        <v>62</v>
      </c>
      <c r="AB336" s="9" t="s">
        <v>140</v>
      </c>
      <c r="AC336" s="9" t="s">
        <v>204</v>
      </c>
    </row>
    <row r="337" spans="1:29" ht="13.9">
      <c r="A337" s="9" t="s">
        <v>52</v>
      </c>
      <c r="B337" s="9" t="s">
        <v>84</v>
      </c>
      <c r="C337" s="9" t="s">
        <v>74</v>
      </c>
      <c r="D337" s="9" t="s">
        <v>164</v>
      </c>
      <c r="E337" s="9" t="s">
        <v>1468</v>
      </c>
      <c r="F337" s="9" t="s">
        <v>165</v>
      </c>
      <c r="G337" s="9" t="s">
        <v>1471</v>
      </c>
      <c r="H337" s="9" t="s">
        <v>133</v>
      </c>
      <c r="I337" s="9" t="s">
        <v>1321</v>
      </c>
      <c r="J337" s="9">
        <f t="shared" si="11"/>
        <v>373295</v>
      </c>
      <c r="K337" s="9">
        <v>37</v>
      </c>
      <c r="L337" s="9">
        <v>1279</v>
      </c>
      <c r="M337" s="9">
        <v>372016</v>
      </c>
      <c r="N337" s="9" t="s">
        <v>97</v>
      </c>
      <c r="O337" s="9" t="s">
        <v>98</v>
      </c>
      <c r="P337" s="9" t="s">
        <v>79</v>
      </c>
      <c r="Q337" s="9">
        <v>1.0003</v>
      </c>
      <c r="R337" s="9" t="s">
        <v>2288</v>
      </c>
      <c r="S337" s="9">
        <v>0.89959999999999996</v>
      </c>
      <c r="T337" s="9">
        <v>48.632199999999997</v>
      </c>
      <c r="U337" s="9">
        <v>7.7799999999999994E-2</v>
      </c>
      <c r="V337" s="9">
        <v>1.0013000000000001</v>
      </c>
      <c r="W337" s="9" t="s">
        <v>2289</v>
      </c>
      <c r="X337" s="9">
        <v>0.67559999999999998</v>
      </c>
      <c r="Y337" s="9" t="s">
        <v>62</v>
      </c>
      <c r="Z337" s="9" t="s">
        <v>62</v>
      </c>
      <c r="AA337" s="9" t="s">
        <v>62</v>
      </c>
      <c r="AB337" s="9" t="s">
        <v>140</v>
      </c>
      <c r="AC337" s="9" t="s">
        <v>204</v>
      </c>
    </row>
    <row r="338" spans="1:29" ht="13.9">
      <c r="A338" s="9" t="s">
        <v>52</v>
      </c>
      <c r="B338" s="9" t="s">
        <v>84</v>
      </c>
      <c r="C338" s="9" t="s">
        <v>74</v>
      </c>
      <c r="D338" s="9" t="s">
        <v>164</v>
      </c>
      <c r="E338" s="9" t="s">
        <v>1495</v>
      </c>
      <c r="F338" s="9" t="s">
        <v>165</v>
      </c>
      <c r="G338" s="9" t="s">
        <v>1496</v>
      </c>
      <c r="H338" s="9" t="s">
        <v>133</v>
      </c>
      <c r="I338" s="9" t="s">
        <v>1321</v>
      </c>
      <c r="J338" s="9">
        <f t="shared" si="11"/>
        <v>372622</v>
      </c>
      <c r="K338" s="9">
        <v>37</v>
      </c>
      <c r="L338" s="9">
        <v>606</v>
      </c>
      <c r="M338" s="9">
        <v>372016</v>
      </c>
      <c r="N338" s="9" t="s">
        <v>97</v>
      </c>
      <c r="O338" s="9" t="s">
        <v>98</v>
      </c>
      <c r="P338" s="9" t="s">
        <v>79</v>
      </c>
      <c r="Q338" s="9">
        <v>1.0003</v>
      </c>
      <c r="R338" s="9" t="s">
        <v>2290</v>
      </c>
      <c r="S338" s="9">
        <v>0.81640000000000001</v>
      </c>
      <c r="T338" s="9">
        <v>45.578299999999999</v>
      </c>
      <c r="U338" s="9">
        <v>0.13159999999999999</v>
      </c>
      <c r="V338" s="9">
        <v>1.0003</v>
      </c>
      <c r="W338" s="9" t="s">
        <v>2291</v>
      </c>
      <c r="X338" s="9">
        <v>0.87860000000000005</v>
      </c>
      <c r="Y338" s="9" t="s">
        <v>62</v>
      </c>
      <c r="Z338" s="9" t="s">
        <v>62</v>
      </c>
      <c r="AA338" s="9" t="s">
        <v>62</v>
      </c>
      <c r="AB338" s="9" t="s">
        <v>140</v>
      </c>
      <c r="AC338" s="9" t="s">
        <v>204</v>
      </c>
    </row>
    <row r="339" spans="1:29" ht="13.9">
      <c r="A339" s="9" t="s">
        <v>52</v>
      </c>
      <c r="B339" s="9" t="s">
        <v>84</v>
      </c>
      <c r="C339" s="9" t="s">
        <v>74</v>
      </c>
      <c r="D339" s="9" t="s">
        <v>164</v>
      </c>
      <c r="E339" s="9" t="s">
        <v>2243</v>
      </c>
      <c r="F339" s="9" t="s">
        <v>165</v>
      </c>
      <c r="G339" s="9" t="s">
        <v>2292</v>
      </c>
      <c r="H339" s="9" t="s">
        <v>133</v>
      </c>
      <c r="I339" s="9" t="s">
        <v>2293</v>
      </c>
      <c r="J339" s="9" t="s">
        <v>79</v>
      </c>
      <c r="K339" s="9">
        <v>37</v>
      </c>
      <c r="L339" s="9" t="s">
        <v>79</v>
      </c>
      <c r="M339" s="9" t="s">
        <v>79</v>
      </c>
      <c r="N339" s="9" t="s">
        <v>97</v>
      </c>
      <c r="O339" s="9" t="s">
        <v>98</v>
      </c>
      <c r="P339" s="9" t="s">
        <v>79</v>
      </c>
      <c r="Q339" s="9">
        <v>0.99839999999999995</v>
      </c>
      <c r="R339" s="9" t="s">
        <v>2294</v>
      </c>
      <c r="S339" s="9">
        <v>0.32600000000000001</v>
      </c>
      <c r="T339" s="9">
        <v>35.373600000000003</v>
      </c>
      <c r="U339" s="9">
        <v>0.49819999999999998</v>
      </c>
      <c r="V339" s="9">
        <v>0.99950000000000006</v>
      </c>
      <c r="W339" s="9" t="s">
        <v>2295</v>
      </c>
      <c r="X339" s="9">
        <v>0.85089999999999999</v>
      </c>
      <c r="Y339" s="9" t="s">
        <v>62</v>
      </c>
      <c r="Z339" s="9" t="s">
        <v>62</v>
      </c>
      <c r="AA339" s="9" t="s">
        <v>62</v>
      </c>
      <c r="AB339" s="9" t="s">
        <v>140</v>
      </c>
      <c r="AC339" s="9" t="s">
        <v>204</v>
      </c>
    </row>
    <row r="340" spans="1:29" ht="13.9">
      <c r="A340" s="66" t="s">
        <v>52</v>
      </c>
      <c r="B340" s="66" t="s">
        <v>84</v>
      </c>
      <c r="C340" s="66" t="s">
        <v>74</v>
      </c>
      <c r="D340" s="66" t="s">
        <v>164</v>
      </c>
      <c r="E340" s="66" t="s">
        <v>820</v>
      </c>
      <c r="F340" s="66" t="s">
        <v>165</v>
      </c>
      <c r="G340" s="66" t="s">
        <v>79</v>
      </c>
      <c r="H340" s="66" t="s">
        <v>133</v>
      </c>
      <c r="I340" s="66" t="s">
        <v>2293</v>
      </c>
      <c r="J340" s="66" t="s">
        <v>79</v>
      </c>
      <c r="K340" s="66">
        <v>39</v>
      </c>
      <c r="L340" s="66" t="s">
        <v>79</v>
      </c>
      <c r="M340" s="66" t="s">
        <v>79</v>
      </c>
      <c r="N340" s="66" t="s">
        <v>97</v>
      </c>
      <c r="O340" s="66" t="s">
        <v>98</v>
      </c>
      <c r="P340" s="66" t="s">
        <v>79</v>
      </c>
      <c r="Q340" s="66">
        <v>0.23139999999999999</v>
      </c>
      <c r="R340" s="66" t="s">
        <v>2299</v>
      </c>
      <c r="S340" s="66">
        <v>4.3E-3</v>
      </c>
      <c r="T340" s="66">
        <v>36.069899999999997</v>
      </c>
      <c r="U340" s="66">
        <v>0.55900000000000005</v>
      </c>
      <c r="V340" s="66">
        <v>0.31950000000000001</v>
      </c>
      <c r="W340" s="66" t="s">
        <v>2300</v>
      </c>
      <c r="X340" s="66">
        <v>0.1237</v>
      </c>
      <c r="Y340" s="66" t="s">
        <v>62</v>
      </c>
      <c r="Z340" s="66" t="s">
        <v>62</v>
      </c>
      <c r="AA340" s="66" t="s">
        <v>62</v>
      </c>
      <c r="AB340" s="66" t="s">
        <v>140</v>
      </c>
      <c r="AC340" s="66" t="s">
        <v>204</v>
      </c>
    </row>
    <row r="341" spans="1:29" ht="13.9">
      <c r="A341" s="66" t="s">
        <v>52</v>
      </c>
      <c r="B341" s="66" t="s">
        <v>84</v>
      </c>
      <c r="C341" s="66" t="s">
        <v>74</v>
      </c>
      <c r="D341" s="66" t="s">
        <v>164</v>
      </c>
      <c r="E341" s="66" t="s">
        <v>2250</v>
      </c>
      <c r="F341" s="66" t="s">
        <v>165</v>
      </c>
      <c r="G341" s="66" t="s">
        <v>79</v>
      </c>
      <c r="H341" s="66" t="s">
        <v>133</v>
      </c>
      <c r="I341" s="66" t="s">
        <v>2293</v>
      </c>
      <c r="J341" s="66" t="s">
        <v>79</v>
      </c>
      <c r="K341" s="66">
        <v>39</v>
      </c>
      <c r="L341" s="66" t="s">
        <v>79</v>
      </c>
      <c r="M341" s="66" t="s">
        <v>79</v>
      </c>
      <c r="N341" s="66" t="s">
        <v>97</v>
      </c>
      <c r="O341" s="66" t="s">
        <v>98</v>
      </c>
      <c r="P341" s="66" t="s">
        <v>79</v>
      </c>
      <c r="Q341" s="66">
        <v>6.8900000000000003E-2</v>
      </c>
      <c r="R341" s="66" t="s">
        <v>2301</v>
      </c>
      <c r="S341" s="66">
        <v>1.3599999999999999E-2</v>
      </c>
      <c r="T341" s="66">
        <v>34.194800000000001</v>
      </c>
      <c r="U341" s="66">
        <v>0.64610000000000001</v>
      </c>
      <c r="V341" s="66">
        <v>5.74E-2</v>
      </c>
      <c r="W341" s="66" t="s">
        <v>2302</v>
      </c>
      <c r="X341" s="66">
        <v>6.1800000000000001E-2</v>
      </c>
      <c r="Y341" s="66" t="s">
        <v>62</v>
      </c>
      <c r="Z341" s="66" t="s">
        <v>62</v>
      </c>
      <c r="AA341" s="66" t="s">
        <v>62</v>
      </c>
      <c r="AB341" s="66" t="s">
        <v>140</v>
      </c>
      <c r="AC341" s="66" t="s">
        <v>204</v>
      </c>
    </row>
    <row r="342" spans="1:29" ht="13.9">
      <c r="A342" s="66" t="s">
        <v>52</v>
      </c>
      <c r="B342" s="66" t="s">
        <v>84</v>
      </c>
      <c r="C342" s="66" t="s">
        <v>74</v>
      </c>
      <c r="D342" s="66" t="s">
        <v>164</v>
      </c>
      <c r="E342" s="66" t="s">
        <v>423</v>
      </c>
      <c r="F342" s="66" t="s">
        <v>165</v>
      </c>
      <c r="G342" s="66" t="s">
        <v>79</v>
      </c>
      <c r="H342" s="66" t="s">
        <v>133</v>
      </c>
      <c r="I342" s="66" t="s">
        <v>2293</v>
      </c>
      <c r="J342" s="66" t="s">
        <v>79</v>
      </c>
      <c r="K342" s="66">
        <v>41</v>
      </c>
      <c r="L342" s="66" t="s">
        <v>79</v>
      </c>
      <c r="M342" s="66" t="s">
        <v>79</v>
      </c>
      <c r="N342" s="66" t="s">
        <v>97</v>
      </c>
      <c r="O342" s="66" t="s">
        <v>98</v>
      </c>
      <c r="P342" s="66" t="s">
        <v>79</v>
      </c>
      <c r="Q342" s="66">
        <v>0.54759999999999998</v>
      </c>
      <c r="R342" s="66" t="s">
        <v>2303</v>
      </c>
      <c r="S342" s="66">
        <v>1.9199999999999998E-2</v>
      </c>
      <c r="T342" s="66">
        <v>43.874600000000001</v>
      </c>
      <c r="U342" s="66">
        <v>0.31069999999999998</v>
      </c>
      <c r="V342" s="66">
        <v>0.64739999999999998</v>
      </c>
      <c r="W342" s="66" t="s">
        <v>2304</v>
      </c>
      <c r="X342" s="66">
        <v>0.22220000000000001</v>
      </c>
      <c r="Y342" s="66" t="s">
        <v>62</v>
      </c>
      <c r="Z342" s="66" t="s">
        <v>62</v>
      </c>
      <c r="AA342" s="66" t="s">
        <v>62</v>
      </c>
      <c r="AB342" s="66" t="s">
        <v>140</v>
      </c>
      <c r="AC342" s="66" t="s">
        <v>204</v>
      </c>
    </row>
    <row r="343" spans="1:29" ht="13.9">
      <c r="A343" s="66" t="s">
        <v>52</v>
      </c>
      <c r="B343" s="66" t="s">
        <v>84</v>
      </c>
      <c r="C343" s="66" t="s">
        <v>74</v>
      </c>
      <c r="D343" s="66" t="s">
        <v>164</v>
      </c>
      <c r="E343" s="66" t="s">
        <v>2264</v>
      </c>
      <c r="F343" s="66" t="s">
        <v>165</v>
      </c>
      <c r="G343" s="66" t="s">
        <v>79</v>
      </c>
      <c r="H343" s="66" t="s">
        <v>133</v>
      </c>
      <c r="I343" s="66" t="s">
        <v>2293</v>
      </c>
      <c r="J343" s="66" t="s">
        <v>79</v>
      </c>
      <c r="K343" s="66">
        <v>39</v>
      </c>
      <c r="L343" s="66" t="s">
        <v>79</v>
      </c>
      <c r="M343" s="66" t="s">
        <v>79</v>
      </c>
      <c r="N343" s="66" t="s">
        <v>97</v>
      </c>
      <c r="O343" s="66" t="s">
        <v>98</v>
      </c>
      <c r="P343" s="66" t="s">
        <v>79</v>
      </c>
      <c r="Q343" s="66">
        <v>0.81289999999999996</v>
      </c>
      <c r="R343" s="66" t="s">
        <v>2305</v>
      </c>
      <c r="S343" s="66">
        <v>0.78439999999999999</v>
      </c>
      <c r="T343" s="66">
        <v>38.351999999999997</v>
      </c>
      <c r="U343" s="66">
        <v>0.45350000000000001</v>
      </c>
      <c r="V343" s="66">
        <v>0.83779999999999999</v>
      </c>
      <c r="W343" s="66" t="s">
        <v>2306</v>
      </c>
      <c r="X343" s="66">
        <v>0.82269999999999999</v>
      </c>
      <c r="Y343" s="66" t="s">
        <v>62</v>
      </c>
      <c r="Z343" s="66" t="s">
        <v>62</v>
      </c>
      <c r="AA343" s="66" t="s">
        <v>62</v>
      </c>
      <c r="AB343" s="66" t="s">
        <v>140</v>
      </c>
      <c r="AC343" s="66" t="s">
        <v>204</v>
      </c>
    </row>
    <row r="344" spans="1:29" ht="13.9">
      <c r="A344" s="66" t="s">
        <v>52</v>
      </c>
      <c r="B344" s="66" t="s">
        <v>84</v>
      </c>
      <c r="C344" s="66" t="s">
        <v>74</v>
      </c>
      <c r="D344" s="66" t="s">
        <v>164</v>
      </c>
      <c r="E344" s="66" t="s">
        <v>2268</v>
      </c>
      <c r="F344" s="66" t="s">
        <v>165</v>
      </c>
      <c r="G344" s="66" t="s">
        <v>79</v>
      </c>
      <c r="H344" s="66" t="s">
        <v>133</v>
      </c>
      <c r="I344" s="66" t="s">
        <v>2293</v>
      </c>
      <c r="J344" s="66" t="s">
        <v>79</v>
      </c>
      <c r="K344" s="66">
        <v>39</v>
      </c>
      <c r="L344" s="66" t="s">
        <v>79</v>
      </c>
      <c r="M344" s="66" t="s">
        <v>79</v>
      </c>
      <c r="N344" s="66" t="s">
        <v>97</v>
      </c>
      <c r="O344" s="66" t="s">
        <v>98</v>
      </c>
      <c r="P344" s="66" t="s">
        <v>79</v>
      </c>
      <c r="Q344" s="66">
        <v>1.9157999999999999</v>
      </c>
      <c r="R344" s="66" t="s">
        <v>2307</v>
      </c>
      <c r="S344" s="66">
        <v>0.35349999999999998</v>
      </c>
      <c r="T344" s="66">
        <v>36.057200000000002</v>
      </c>
      <c r="U344" s="66">
        <v>0.55959999999999999</v>
      </c>
      <c r="V344" s="66">
        <v>1.6961999999999999</v>
      </c>
      <c r="W344" s="66" t="s">
        <v>2308</v>
      </c>
      <c r="X344" s="66">
        <v>0.60140000000000005</v>
      </c>
      <c r="Y344" s="66" t="s">
        <v>62</v>
      </c>
      <c r="Z344" s="66" t="s">
        <v>62</v>
      </c>
      <c r="AA344" s="66" t="s">
        <v>62</v>
      </c>
      <c r="AB344" s="66" t="s">
        <v>140</v>
      </c>
      <c r="AC344" s="66" t="s">
        <v>204</v>
      </c>
    </row>
    <row r="345" spans="1:29" ht="13.9">
      <c r="A345" s="66" t="s">
        <v>52</v>
      </c>
      <c r="B345" s="66" t="s">
        <v>84</v>
      </c>
      <c r="C345" s="66" t="s">
        <v>74</v>
      </c>
      <c r="D345" s="66" t="s">
        <v>164</v>
      </c>
      <c r="E345" s="66" t="s">
        <v>1718</v>
      </c>
      <c r="F345" s="66" t="s">
        <v>165</v>
      </c>
      <c r="G345" s="66" t="s">
        <v>79</v>
      </c>
      <c r="H345" s="66" t="s">
        <v>133</v>
      </c>
      <c r="I345" s="66" t="s">
        <v>2293</v>
      </c>
      <c r="J345" s="66" t="s">
        <v>79</v>
      </c>
      <c r="K345" s="66">
        <v>39</v>
      </c>
      <c r="L345" s="66" t="s">
        <v>79</v>
      </c>
      <c r="M345" s="66" t="s">
        <v>79</v>
      </c>
      <c r="N345" s="66" t="s">
        <v>97</v>
      </c>
      <c r="O345" s="66" t="s">
        <v>98</v>
      </c>
      <c r="P345" s="66" t="s">
        <v>79</v>
      </c>
      <c r="Q345" s="66">
        <v>0.6502</v>
      </c>
      <c r="R345" s="66" t="s">
        <v>2309</v>
      </c>
      <c r="S345" s="66">
        <v>0.79330000000000001</v>
      </c>
      <c r="T345" s="66">
        <v>38.973300000000002</v>
      </c>
      <c r="U345" s="66">
        <v>0.42580000000000001</v>
      </c>
      <c r="V345" s="66">
        <v>0.60389999999999999</v>
      </c>
      <c r="W345" s="66" t="s">
        <v>2310</v>
      </c>
      <c r="X345" s="66">
        <v>0.83069999999999999</v>
      </c>
      <c r="Y345" s="66" t="s">
        <v>62</v>
      </c>
      <c r="Z345" s="66" t="s">
        <v>62</v>
      </c>
      <c r="AA345" s="66" t="s">
        <v>62</v>
      </c>
      <c r="AB345" s="66" t="s">
        <v>140</v>
      </c>
      <c r="AC345" s="66" t="s">
        <v>204</v>
      </c>
    </row>
    <row r="346" spans="1:29" ht="13.9">
      <c r="A346" s="66" t="s">
        <v>52</v>
      </c>
      <c r="B346" s="66" t="s">
        <v>84</v>
      </c>
      <c r="C346" s="66" t="s">
        <v>74</v>
      </c>
      <c r="D346" s="66" t="s">
        <v>164</v>
      </c>
      <c r="E346" s="66" t="s">
        <v>900</v>
      </c>
      <c r="F346" s="66" t="s">
        <v>165</v>
      </c>
      <c r="G346" s="66" t="s">
        <v>79</v>
      </c>
      <c r="H346" s="66" t="s">
        <v>133</v>
      </c>
      <c r="I346" s="66" t="s">
        <v>2293</v>
      </c>
      <c r="J346" s="66" t="s">
        <v>79</v>
      </c>
      <c r="K346" s="66">
        <v>39</v>
      </c>
      <c r="L346" s="66" t="s">
        <v>79</v>
      </c>
      <c r="M346" s="66" t="s">
        <v>79</v>
      </c>
      <c r="N346" s="66" t="s">
        <v>97</v>
      </c>
      <c r="O346" s="66" t="s">
        <v>98</v>
      </c>
      <c r="P346" s="66" t="s">
        <v>79</v>
      </c>
      <c r="Q346" s="66">
        <v>0.55310000000000004</v>
      </c>
      <c r="R346" s="66" t="s">
        <v>2311</v>
      </c>
      <c r="S346" s="66">
        <v>0.49740000000000001</v>
      </c>
      <c r="T346" s="66">
        <v>19.299299999999999</v>
      </c>
      <c r="U346" s="66">
        <v>0.995</v>
      </c>
      <c r="V346" s="66">
        <v>0.81269999999999998</v>
      </c>
      <c r="W346" s="66" t="s">
        <v>2312</v>
      </c>
      <c r="X346" s="66">
        <v>0.85599999999999998</v>
      </c>
      <c r="Y346" s="66" t="s">
        <v>62</v>
      </c>
      <c r="Z346" s="66" t="s">
        <v>62</v>
      </c>
      <c r="AA346" s="66" t="s">
        <v>62</v>
      </c>
      <c r="AB346" s="66" t="s">
        <v>140</v>
      </c>
      <c r="AC346" s="66" t="s">
        <v>204</v>
      </c>
    </row>
    <row r="347" spans="1:29" ht="13.9">
      <c r="A347" s="66" t="s">
        <v>52</v>
      </c>
      <c r="B347" s="66" t="s">
        <v>84</v>
      </c>
      <c r="C347" s="66" t="s">
        <v>74</v>
      </c>
      <c r="D347" s="66" t="s">
        <v>164</v>
      </c>
      <c r="E347" s="66" t="s">
        <v>2113</v>
      </c>
      <c r="F347" s="66" t="s">
        <v>165</v>
      </c>
      <c r="G347" s="66" t="s">
        <v>2313</v>
      </c>
      <c r="H347" s="66" t="s">
        <v>133</v>
      </c>
      <c r="I347" s="66" t="s">
        <v>2293</v>
      </c>
      <c r="J347" s="66" t="s">
        <v>79</v>
      </c>
      <c r="K347" s="66">
        <v>20</v>
      </c>
      <c r="L347" s="66" t="s">
        <v>79</v>
      </c>
      <c r="M347" s="66" t="s">
        <v>79</v>
      </c>
      <c r="N347" s="66" t="s">
        <v>97</v>
      </c>
      <c r="O347" s="66" t="s">
        <v>98</v>
      </c>
      <c r="P347" s="66" t="s">
        <v>79</v>
      </c>
      <c r="Q347" s="66">
        <v>0.99939999999999996</v>
      </c>
      <c r="R347" s="66" t="s">
        <v>2314</v>
      </c>
      <c r="S347" s="66">
        <v>0.78249999999999997</v>
      </c>
      <c r="T347" s="66">
        <v>18.723800000000001</v>
      </c>
      <c r="U347" s="66">
        <v>0.47470000000000001</v>
      </c>
      <c r="V347" s="66">
        <v>0.99919999999999998</v>
      </c>
      <c r="W347" s="66" t="s">
        <v>2315</v>
      </c>
      <c r="X347" s="66">
        <v>0.81179999999999997</v>
      </c>
      <c r="Y347" s="66" t="s">
        <v>62</v>
      </c>
      <c r="Z347" s="66" t="s">
        <v>62</v>
      </c>
      <c r="AA347" s="66" t="s">
        <v>62</v>
      </c>
      <c r="AB347" s="66" t="s">
        <v>140</v>
      </c>
      <c r="AC347" s="66" t="s">
        <v>204</v>
      </c>
    </row>
    <row r="348" spans="1:29" ht="13.9">
      <c r="A348" s="66" t="s">
        <v>52</v>
      </c>
      <c r="B348" s="66" t="s">
        <v>84</v>
      </c>
      <c r="C348" s="66" t="s">
        <v>74</v>
      </c>
      <c r="D348" s="66" t="s">
        <v>164</v>
      </c>
      <c r="E348" s="66" t="s">
        <v>2280</v>
      </c>
      <c r="F348" s="66" t="s">
        <v>165</v>
      </c>
      <c r="G348" s="66" t="s">
        <v>79</v>
      </c>
      <c r="H348" s="66" t="s">
        <v>133</v>
      </c>
      <c r="I348" s="66" t="s">
        <v>2293</v>
      </c>
      <c r="J348" s="66" t="s">
        <v>79</v>
      </c>
      <c r="K348" s="66">
        <v>39</v>
      </c>
      <c r="L348" s="66" t="s">
        <v>79</v>
      </c>
      <c r="M348" s="66" t="s">
        <v>79</v>
      </c>
      <c r="N348" s="66" t="s">
        <v>97</v>
      </c>
      <c r="O348" s="66" t="s">
        <v>98</v>
      </c>
      <c r="P348" s="66" t="s">
        <v>79</v>
      </c>
      <c r="Q348" s="66">
        <v>0.48349999999999999</v>
      </c>
      <c r="R348" s="66" t="s">
        <v>2316</v>
      </c>
      <c r="S348" s="66">
        <v>0.28549999999999998</v>
      </c>
      <c r="T348" s="66">
        <v>39.256799999999998</v>
      </c>
      <c r="U348" s="66">
        <v>0.4133</v>
      </c>
      <c r="V348" s="66">
        <v>0.47620000000000001</v>
      </c>
      <c r="W348" s="66" t="s">
        <v>2317</v>
      </c>
      <c r="X348" s="66">
        <v>0.43730000000000002</v>
      </c>
      <c r="Y348" s="66" t="s">
        <v>62</v>
      </c>
      <c r="Z348" s="66" t="s">
        <v>62</v>
      </c>
      <c r="AA348" s="66" t="s">
        <v>62</v>
      </c>
      <c r="AB348" s="66" t="s">
        <v>140</v>
      </c>
      <c r="AC348" s="66" t="s">
        <v>204</v>
      </c>
    </row>
    <row r="349" spans="1:29" ht="13.9">
      <c r="A349" s="66" t="s">
        <v>52</v>
      </c>
      <c r="B349" s="66" t="s">
        <v>84</v>
      </c>
      <c r="C349" s="66" t="s">
        <v>74</v>
      </c>
      <c r="D349" s="66" t="s">
        <v>164</v>
      </c>
      <c r="E349" s="66" t="s">
        <v>2284</v>
      </c>
      <c r="F349" s="66" t="s">
        <v>165</v>
      </c>
      <c r="G349" s="66" t="s">
        <v>79</v>
      </c>
      <c r="H349" s="66" t="s">
        <v>133</v>
      </c>
      <c r="I349" s="66" t="s">
        <v>2293</v>
      </c>
      <c r="J349" s="66" t="s">
        <v>79</v>
      </c>
      <c r="K349" s="66">
        <v>39</v>
      </c>
      <c r="L349" s="66" t="s">
        <v>79</v>
      </c>
      <c r="M349" s="66" t="s">
        <v>79</v>
      </c>
      <c r="N349" s="66" t="s">
        <v>97</v>
      </c>
      <c r="O349" s="66" t="s">
        <v>98</v>
      </c>
      <c r="P349" s="66" t="s">
        <v>79</v>
      </c>
      <c r="Q349" s="66">
        <v>1.1536999999999999</v>
      </c>
      <c r="R349" s="66" t="s">
        <v>2318</v>
      </c>
      <c r="S349" s="66">
        <v>0.63049999999999995</v>
      </c>
      <c r="T349" s="66">
        <v>50.193300000000001</v>
      </c>
      <c r="U349" s="66">
        <v>8.8999999999999996E-2</v>
      </c>
      <c r="V349" s="66">
        <v>1.0307999999999999</v>
      </c>
      <c r="W349" s="66" t="s">
        <v>2319</v>
      </c>
      <c r="X349" s="66">
        <v>0.93910000000000005</v>
      </c>
      <c r="Y349" s="66" t="s">
        <v>62</v>
      </c>
      <c r="Z349" s="66" t="s">
        <v>62</v>
      </c>
      <c r="AA349" s="66" t="s">
        <v>62</v>
      </c>
      <c r="AB349" s="66" t="s">
        <v>140</v>
      </c>
      <c r="AC349" s="66" t="s">
        <v>204</v>
      </c>
    </row>
    <row r="350" spans="1:29" ht="13.9">
      <c r="A350" s="66" t="s">
        <v>52</v>
      </c>
      <c r="B350" s="66" t="s">
        <v>84</v>
      </c>
      <c r="C350" s="66" t="s">
        <v>74</v>
      </c>
      <c r="D350" s="66" t="s">
        <v>164</v>
      </c>
      <c r="E350" s="66" t="s">
        <v>1468</v>
      </c>
      <c r="F350" s="66" t="s">
        <v>165</v>
      </c>
      <c r="G350" s="66" t="s">
        <v>79</v>
      </c>
      <c r="H350" s="66" t="s">
        <v>133</v>
      </c>
      <c r="I350" s="66" t="s">
        <v>2293</v>
      </c>
      <c r="J350" s="66" t="s">
        <v>79</v>
      </c>
      <c r="K350" s="66">
        <v>39</v>
      </c>
      <c r="L350" s="66" t="s">
        <v>79</v>
      </c>
      <c r="M350" s="66" t="s">
        <v>79</v>
      </c>
      <c r="N350" s="66" t="s">
        <v>97</v>
      </c>
      <c r="O350" s="66" t="s">
        <v>98</v>
      </c>
      <c r="P350" s="66" t="s">
        <v>79</v>
      </c>
      <c r="Q350" s="66">
        <v>0.54390000000000005</v>
      </c>
      <c r="R350" s="66" t="s">
        <v>2320</v>
      </c>
      <c r="S350" s="66">
        <v>0.29149999999999998</v>
      </c>
      <c r="T350" s="66">
        <v>18.335699999999999</v>
      </c>
      <c r="U350" s="66">
        <v>0.997</v>
      </c>
      <c r="V350" s="66">
        <v>0.58560000000000001</v>
      </c>
      <c r="W350" s="66" t="s">
        <v>2321</v>
      </c>
      <c r="X350" s="66">
        <v>0.3604</v>
      </c>
      <c r="Y350" s="66" t="s">
        <v>62</v>
      </c>
      <c r="Z350" s="66" t="s">
        <v>62</v>
      </c>
      <c r="AA350" s="66" t="s">
        <v>62</v>
      </c>
      <c r="AB350" s="66" t="s">
        <v>140</v>
      </c>
      <c r="AC350" s="66" t="s">
        <v>204</v>
      </c>
    </row>
    <row r="351" spans="1:29" ht="13.9">
      <c r="A351" s="66" t="s">
        <v>52</v>
      </c>
      <c r="B351" s="66" t="s">
        <v>84</v>
      </c>
      <c r="C351" s="66" t="s">
        <v>74</v>
      </c>
      <c r="D351" s="66" t="s">
        <v>164</v>
      </c>
      <c r="E351" s="66" t="s">
        <v>1495</v>
      </c>
      <c r="F351" s="66" t="s">
        <v>165</v>
      </c>
      <c r="G351" s="66" t="s">
        <v>79</v>
      </c>
      <c r="H351" s="66" t="s">
        <v>133</v>
      </c>
      <c r="I351" s="66" t="s">
        <v>2293</v>
      </c>
      <c r="J351" s="66" t="s">
        <v>79</v>
      </c>
      <c r="K351" s="66">
        <v>39</v>
      </c>
      <c r="L351" s="66" t="s">
        <v>79</v>
      </c>
      <c r="M351" s="66" t="s">
        <v>79</v>
      </c>
      <c r="N351" s="66" t="s">
        <v>97</v>
      </c>
      <c r="O351" s="66" t="s">
        <v>98</v>
      </c>
      <c r="P351" s="66" t="s">
        <v>79</v>
      </c>
      <c r="Q351" s="66">
        <v>1.08</v>
      </c>
      <c r="R351" s="66" t="s">
        <v>2322</v>
      </c>
      <c r="S351" s="66">
        <v>0.67</v>
      </c>
      <c r="T351" s="66">
        <v>34.326000000000001</v>
      </c>
      <c r="U351" s="66">
        <v>0.6401</v>
      </c>
      <c r="V351" s="66">
        <v>0.66310000000000002</v>
      </c>
      <c r="W351" s="66" t="s">
        <v>2323</v>
      </c>
      <c r="X351" s="66">
        <v>0.95669999999999999</v>
      </c>
      <c r="Y351" s="66" t="s">
        <v>62</v>
      </c>
      <c r="Z351" s="66" t="s">
        <v>62</v>
      </c>
      <c r="AA351" s="66" t="s">
        <v>62</v>
      </c>
      <c r="AB351" s="66" t="s">
        <v>140</v>
      </c>
      <c r="AC351" s="66" t="s">
        <v>204</v>
      </c>
    </row>
    <row r="352" spans="1:29" ht="13.9">
      <c r="A352" s="9" t="s">
        <v>52</v>
      </c>
      <c r="B352" s="9" t="s">
        <v>84</v>
      </c>
      <c r="C352" s="9" t="s">
        <v>74</v>
      </c>
      <c r="D352" s="9" t="s">
        <v>75</v>
      </c>
      <c r="E352" s="9" t="s">
        <v>2243</v>
      </c>
      <c r="F352" s="9" t="s">
        <v>113</v>
      </c>
      <c r="G352" s="9" t="s">
        <v>2244</v>
      </c>
      <c r="H352" s="9" t="s">
        <v>133</v>
      </c>
      <c r="I352" s="9" t="s">
        <v>1321</v>
      </c>
      <c r="J352" s="9">
        <f t="shared" ref="J352:J368" si="12">SUM(L352:M352)</f>
        <v>4671</v>
      </c>
      <c r="K352" s="9">
        <v>29</v>
      </c>
      <c r="L352" s="9">
        <v>2342</v>
      </c>
      <c r="M352" s="9">
        <v>2329</v>
      </c>
      <c r="N352" s="9" t="s">
        <v>97</v>
      </c>
      <c r="O352" s="9" t="s">
        <v>98</v>
      </c>
      <c r="P352" s="9" t="s">
        <v>79</v>
      </c>
      <c r="Q352" s="9">
        <v>3.4931999999999999</v>
      </c>
      <c r="R352" s="9" t="s">
        <v>2324</v>
      </c>
      <c r="S352" s="9">
        <v>5.33E-2</v>
      </c>
      <c r="T352" s="9">
        <v>162.52510000000001</v>
      </c>
      <c r="U352" s="9" t="s">
        <v>2325</v>
      </c>
      <c r="V352" s="9">
        <v>1.6392</v>
      </c>
      <c r="W352" s="9" t="s">
        <v>2326</v>
      </c>
      <c r="X352" s="9">
        <v>0.30020000000000002</v>
      </c>
      <c r="Y352" s="9" t="s">
        <v>62</v>
      </c>
      <c r="Z352" s="9" t="s">
        <v>62</v>
      </c>
      <c r="AA352" s="9" t="s">
        <v>62</v>
      </c>
      <c r="AB352" s="9" t="s">
        <v>140</v>
      </c>
      <c r="AC352" s="9" t="s">
        <v>204</v>
      </c>
    </row>
    <row r="353" spans="1:29" ht="13.9">
      <c r="A353" s="66" t="s">
        <v>52</v>
      </c>
      <c r="B353" s="66" t="s">
        <v>84</v>
      </c>
      <c r="C353" s="66" t="s">
        <v>74</v>
      </c>
      <c r="D353" s="66" t="s">
        <v>75</v>
      </c>
      <c r="E353" s="66" t="s">
        <v>820</v>
      </c>
      <c r="F353" s="66" t="s">
        <v>113</v>
      </c>
      <c r="G353" s="66" t="s">
        <v>2247</v>
      </c>
      <c r="H353" s="66" t="s">
        <v>133</v>
      </c>
      <c r="I353" s="66" t="s">
        <v>1321</v>
      </c>
      <c r="J353" s="66">
        <f t="shared" si="12"/>
        <v>27209</v>
      </c>
      <c r="K353" s="66">
        <v>50</v>
      </c>
      <c r="L353" s="66">
        <v>11348</v>
      </c>
      <c r="M353" s="66">
        <v>15861</v>
      </c>
      <c r="N353" s="66" t="s">
        <v>97</v>
      </c>
      <c r="O353" s="66" t="s">
        <v>98</v>
      </c>
      <c r="P353" s="66" t="s">
        <v>79</v>
      </c>
      <c r="Q353" s="66">
        <v>0.94669999999999999</v>
      </c>
      <c r="R353" s="66" t="s">
        <v>2327</v>
      </c>
      <c r="S353" s="66">
        <v>0.88090000000000002</v>
      </c>
      <c r="T353" s="66">
        <v>69.278800000000004</v>
      </c>
      <c r="U353" s="66">
        <v>2.3800000000000002E-2</v>
      </c>
      <c r="V353" s="66">
        <v>1.3090999999999999</v>
      </c>
      <c r="W353" s="66" t="s">
        <v>2328</v>
      </c>
      <c r="X353" s="66">
        <v>0.55740000000000001</v>
      </c>
      <c r="Y353" s="66" t="s">
        <v>62</v>
      </c>
      <c r="Z353" s="66" t="s">
        <v>62</v>
      </c>
      <c r="AA353" s="66" t="s">
        <v>62</v>
      </c>
      <c r="AB353" s="66" t="s">
        <v>140</v>
      </c>
      <c r="AC353" s="66" t="s">
        <v>204</v>
      </c>
    </row>
    <row r="354" spans="1:29" ht="13.9">
      <c r="A354" s="9" t="s">
        <v>52</v>
      </c>
      <c r="B354" s="9" t="s">
        <v>84</v>
      </c>
      <c r="C354" s="9" t="s">
        <v>74</v>
      </c>
      <c r="D354" s="9" t="s">
        <v>75</v>
      </c>
      <c r="E354" s="9" t="s">
        <v>2250</v>
      </c>
      <c r="F354" s="9" t="s">
        <v>113</v>
      </c>
      <c r="G354" s="9" t="s">
        <v>2251</v>
      </c>
      <c r="H354" s="9" t="s">
        <v>133</v>
      </c>
      <c r="I354" s="9" t="s">
        <v>1321</v>
      </c>
      <c r="J354" s="9">
        <f t="shared" si="12"/>
        <v>18313</v>
      </c>
      <c r="K354" s="9">
        <v>50</v>
      </c>
      <c r="L354" s="9">
        <v>3275</v>
      </c>
      <c r="M354" s="9">
        <v>15038</v>
      </c>
      <c r="N354" s="9" t="s">
        <v>97</v>
      </c>
      <c r="O354" s="9" t="s">
        <v>98</v>
      </c>
      <c r="P354" s="9" t="s">
        <v>79</v>
      </c>
      <c r="Q354" s="9">
        <v>0.48780000000000001</v>
      </c>
      <c r="R354" s="9" t="s">
        <v>2329</v>
      </c>
      <c r="S354" s="9">
        <v>0.21629999999999999</v>
      </c>
      <c r="T354" s="9">
        <v>76.017499999999998</v>
      </c>
      <c r="U354" s="9">
        <v>6.1000000000000004E-3</v>
      </c>
      <c r="V354" s="9">
        <v>0.96509999999999996</v>
      </c>
      <c r="W354" s="9" t="s">
        <v>2330</v>
      </c>
      <c r="X354" s="9">
        <v>0.96020000000000005</v>
      </c>
      <c r="Y354" s="9" t="s">
        <v>62</v>
      </c>
      <c r="Z354" s="9" t="s">
        <v>62</v>
      </c>
      <c r="AA354" s="9" t="s">
        <v>62</v>
      </c>
      <c r="AB354" s="9" t="s">
        <v>140</v>
      </c>
      <c r="AC354" s="9" t="s">
        <v>204</v>
      </c>
    </row>
    <row r="355" spans="1:29" ht="13.9">
      <c r="A355" s="66" t="s">
        <v>52</v>
      </c>
      <c r="B355" s="66" t="s">
        <v>84</v>
      </c>
      <c r="C355" s="66" t="s">
        <v>74</v>
      </c>
      <c r="D355" s="66" t="s">
        <v>75</v>
      </c>
      <c r="E355" s="66" t="s">
        <v>423</v>
      </c>
      <c r="F355" s="66" t="s">
        <v>113</v>
      </c>
      <c r="G355" s="66" t="s">
        <v>1536</v>
      </c>
      <c r="H355" s="66" t="s">
        <v>133</v>
      </c>
      <c r="I355" s="66" t="s">
        <v>1321</v>
      </c>
      <c r="J355" s="66">
        <f t="shared" si="12"/>
        <v>33832</v>
      </c>
      <c r="K355" s="66">
        <v>52</v>
      </c>
      <c r="L355" s="66">
        <v>15748</v>
      </c>
      <c r="M355" s="66">
        <v>18084</v>
      </c>
      <c r="N355" s="66" t="s">
        <v>97</v>
      </c>
      <c r="O355" s="66" t="s">
        <v>98</v>
      </c>
      <c r="P355" s="66" t="s">
        <v>79</v>
      </c>
      <c r="Q355" s="66">
        <v>0.64959999999999996</v>
      </c>
      <c r="R355" s="66" t="s">
        <v>1539</v>
      </c>
      <c r="S355" s="66">
        <v>3.6499999999999998E-2</v>
      </c>
      <c r="T355" s="66">
        <v>71.489900000000006</v>
      </c>
      <c r="U355" s="66">
        <v>2.4799999999999999E-2</v>
      </c>
      <c r="V355" s="66">
        <v>0.60670000000000002</v>
      </c>
      <c r="W355" s="66" t="s">
        <v>1540</v>
      </c>
      <c r="X355" s="66">
        <v>6.4100000000000004E-2</v>
      </c>
      <c r="Y355" s="66" t="s">
        <v>62</v>
      </c>
      <c r="Z355" s="66" t="s">
        <v>62</v>
      </c>
      <c r="AA355" s="66" t="s">
        <v>62</v>
      </c>
      <c r="AB355" s="66" t="s">
        <v>140</v>
      </c>
      <c r="AC355" s="66" t="s">
        <v>204</v>
      </c>
    </row>
    <row r="356" spans="1:29" ht="13.9">
      <c r="A356" s="9" t="s">
        <v>52</v>
      </c>
      <c r="B356" s="9" t="s">
        <v>84</v>
      </c>
      <c r="C356" s="9" t="s">
        <v>74</v>
      </c>
      <c r="D356" s="9" t="s">
        <v>75</v>
      </c>
      <c r="E356" s="9" t="s">
        <v>2264</v>
      </c>
      <c r="F356" s="9" t="s">
        <v>113</v>
      </c>
      <c r="G356" s="9" t="s">
        <v>2265</v>
      </c>
      <c r="H356" s="9" t="s">
        <v>133</v>
      </c>
      <c r="I356" s="9" t="s">
        <v>1321</v>
      </c>
      <c r="J356" s="9">
        <f t="shared" si="12"/>
        <v>66450</v>
      </c>
      <c r="K356" s="9">
        <v>53</v>
      </c>
      <c r="L356" s="9">
        <v>25509</v>
      </c>
      <c r="M356" s="9">
        <v>40941</v>
      </c>
      <c r="N356" s="9" t="s">
        <v>97</v>
      </c>
      <c r="O356" s="9" t="s">
        <v>98</v>
      </c>
      <c r="P356" s="9" t="s">
        <v>79</v>
      </c>
      <c r="Q356" s="9">
        <v>0.62060000000000004</v>
      </c>
      <c r="R356" s="9" t="s">
        <v>2331</v>
      </c>
      <c r="S356" s="9">
        <v>9.69E-2</v>
      </c>
      <c r="T356" s="9">
        <v>85.227199999999996</v>
      </c>
      <c r="U356" s="9">
        <v>1.9E-3</v>
      </c>
      <c r="V356" s="9">
        <v>0.64870000000000005</v>
      </c>
      <c r="W356" s="9" t="s">
        <v>2332</v>
      </c>
      <c r="X356" s="9">
        <v>0.22700000000000001</v>
      </c>
      <c r="Y356" s="9" t="s">
        <v>62</v>
      </c>
      <c r="Z356" s="9" t="s">
        <v>62</v>
      </c>
      <c r="AA356" s="9" t="s">
        <v>62</v>
      </c>
      <c r="AB356" s="9" t="s">
        <v>140</v>
      </c>
      <c r="AC356" s="9" t="s">
        <v>204</v>
      </c>
    </row>
    <row r="357" spans="1:29" ht="13.9">
      <c r="A357" s="9" t="s">
        <v>52</v>
      </c>
      <c r="B357" s="9" t="s">
        <v>84</v>
      </c>
      <c r="C357" s="9" t="s">
        <v>74</v>
      </c>
      <c r="D357" s="9" t="s">
        <v>75</v>
      </c>
      <c r="E357" s="9" t="s">
        <v>2268</v>
      </c>
      <c r="F357" s="9" t="s">
        <v>113</v>
      </c>
      <c r="G357" s="9" t="s">
        <v>2269</v>
      </c>
      <c r="H357" s="9" t="s">
        <v>133</v>
      </c>
      <c r="I357" s="9" t="s">
        <v>1321</v>
      </c>
      <c r="J357" s="9">
        <f t="shared" si="12"/>
        <v>3835</v>
      </c>
      <c r="K357" s="9">
        <v>6</v>
      </c>
      <c r="L357" s="9">
        <v>1896</v>
      </c>
      <c r="M357" s="9">
        <v>1939</v>
      </c>
      <c r="N357" s="9" t="s">
        <v>97</v>
      </c>
      <c r="O357" s="9" t="s">
        <v>98</v>
      </c>
      <c r="P357" s="9" t="s">
        <v>79</v>
      </c>
      <c r="Q357" s="9">
        <v>1.6E-2</v>
      </c>
      <c r="R357" s="9" t="s">
        <v>2333</v>
      </c>
      <c r="S357" s="9">
        <v>7.3400000000000007E-2</v>
      </c>
      <c r="T357" s="9">
        <v>1.9155</v>
      </c>
      <c r="U357" s="9">
        <v>0.75129999999999997</v>
      </c>
      <c r="V357" s="9">
        <v>3.85E-2</v>
      </c>
      <c r="W357" s="9" t="s">
        <v>2334</v>
      </c>
      <c r="X357" s="9">
        <v>0.23569999999999999</v>
      </c>
      <c r="Y357" s="9" t="s">
        <v>62</v>
      </c>
      <c r="Z357" s="9" t="s">
        <v>62</v>
      </c>
      <c r="AA357" s="9" t="s">
        <v>62</v>
      </c>
      <c r="AB357" s="9" t="s">
        <v>140</v>
      </c>
      <c r="AC357" s="9" t="s">
        <v>204</v>
      </c>
    </row>
    <row r="358" spans="1:29" ht="13.9">
      <c r="A358" s="9" t="s">
        <v>52</v>
      </c>
      <c r="B358" s="9" t="s">
        <v>84</v>
      </c>
      <c r="C358" s="9" t="s">
        <v>74</v>
      </c>
      <c r="D358" s="9" t="s">
        <v>75</v>
      </c>
      <c r="E358" s="9" t="s">
        <v>1718</v>
      </c>
      <c r="F358" s="9" t="s">
        <v>113</v>
      </c>
      <c r="G358" s="9" t="s">
        <v>2690</v>
      </c>
      <c r="H358" s="9" t="s">
        <v>133</v>
      </c>
      <c r="I358" s="9" t="s">
        <v>1321</v>
      </c>
      <c r="J358" s="9">
        <f t="shared" si="12"/>
        <v>199086</v>
      </c>
      <c r="K358" s="9">
        <v>46</v>
      </c>
      <c r="L358" s="9">
        <v>563</v>
      </c>
      <c r="M358" s="9">
        <v>198523</v>
      </c>
      <c r="N358" s="9" t="s">
        <v>97</v>
      </c>
      <c r="O358" s="9" t="s">
        <v>98</v>
      </c>
      <c r="P358" s="9" t="s">
        <v>79</v>
      </c>
      <c r="Q358" s="9">
        <v>0.99770000000000003</v>
      </c>
      <c r="R358" s="9" t="s">
        <v>1720</v>
      </c>
      <c r="S358" s="9">
        <v>0.43149999999999999</v>
      </c>
      <c r="T358" s="9">
        <v>43.467100000000002</v>
      </c>
      <c r="U358" s="9">
        <v>0.49430000000000002</v>
      </c>
      <c r="V358" s="9">
        <v>0.99760000000000004</v>
      </c>
      <c r="W358" s="9" t="s">
        <v>1721</v>
      </c>
      <c r="X358" s="9">
        <v>0.56889999999999996</v>
      </c>
      <c r="Y358" s="9" t="s">
        <v>62</v>
      </c>
      <c r="Z358" s="9" t="s">
        <v>62</v>
      </c>
      <c r="AA358" s="9" t="s">
        <v>62</v>
      </c>
      <c r="AB358" s="9" t="s">
        <v>140</v>
      </c>
      <c r="AC358" s="9" t="s">
        <v>204</v>
      </c>
    </row>
    <row r="359" spans="1:29" ht="13.9">
      <c r="A359" s="9" t="s">
        <v>52</v>
      </c>
      <c r="B359" s="9" t="s">
        <v>84</v>
      </c>
      <c r="C359" s="9" t="s">
        <v>74</v>
      </c>
      <c r="D359" s="9" t="s">
        <v>75</v>
      </c>
      <c r="E359" s="9" t="s">
        <v>900</v>
      </c>
      <c r="F359" s="9" t="s">
        <v>113</v>
      </c>
      <c r="G359" s="9" t="s">
        <v>2275</v>
      </c>
      <c r="H359" s="9" t="s">
        <v>133</v>
      </c>
      <c r="I359" s="9" t="s">
        <v>1321</v>
      </c>
      <c r="J359" s="9">
        <f t="shared" si="12"/>
        <v>18336</v>
      </c>
      <c r="K359" s="9">
        <v>50</v>
      </c>
      <c r="L359" s="9">
        <v>3442</v>
      </c>
      <c r="M359" s="9">
        <v>14894</v>
      </c>
      <c r="N359" s="9" t="s">
        <v>97</v>
      </c>
      <c r="O359" s="9" t="s">
        <v>98</v>
      </c>
      <c r="P359" s="9" t="s">
        <v>79</v>
      </c>
      <c r="Q359" s="9">
        <v>1.3164</v>
      </c>
      <c r="R359" s="9" t="s">
        <v>2336</v>
      </c>
      <c r="S359" s="9">
        <v>0.5806</v>
      </c>
      <c r="T359" s="9">
        <v>54.889600000000002</v>
      </c>
      <c r="U359" s="9">
        <v>0.2298</v>
      </c>
      <c r="V359" s="9">
        <v>1.6326000000000001</v>
      </c>
      <c r="W359" s="9" t="s">
        <v>2337</v>
      </c>
      <c r="X359" s="9">
        <v>0.50070000000000003</v>
      </c>
      <c r="Y359" s="9" t="s">
        <v>62</v>
      </c>
      <c r="Z359" s="9" t="s">
        <v>62</v>
      </c>
      <c r="AA359" s="9" t="s">
        <v>62</v>
      </c>
      <c r="AB359" s="9" t="s">
        <v>140</v>
      </c>
      <c r="AC359" s="9" t="s">
        <v>204</v>
      </c>
    </row>
    <row r="360" spans="1:29" ht="13.9">
      <c r="A360" s="9" t="s">
        <v>52</v>
      </c>
      <c r="B360" s="9" t="s">
        <v>84</v>
      </c>
      <c r="C360" s="9" t="s">
        <v>74</v>
      </c>
      <c r="D360" s="9" t="s">
        <v>75</v>
      </c>
      <c r="E360" s="9" t="s">
        <v>2113</v>
      </c>
      <c r="F360" s="9" t="s">
        <v>113</v>
      </c>
      <c r="G360" s="9" t="s">
        <v>2114</v>
      </c>
      <c r="H360" s="9" t="s">
        <v>133</v>
      </c>
      <c r="I360" s="9" t="s">
        <v>1321</v>
      </c>
      <c r="J360" s="9">
        <f t="shared" si="12"/>
        <v>121885</v>
      </c>
      <c r="K360" s="9">
        <v>53</v>
      </c>
      <c r="L360" s="9">
        <v>12906</v>
      </c>
      <c r="M360" s="9">
        <v>108979</v>
      </c>
      <c r="N360" s="9" t="s">
        <v>97</v>
      </c>
      <c r="O360" s="9" t="s">
        <v>98</v>
      </c>
      <c r="P360" s="9" t="s">
        <v>79</v>
      </c>
      <c r="Q360" s="9">
        <v>1.1642999999999999</v>
      </c>
      <c r="R360" s="9" t="s">
        <v>2118</v>
      </c>
      <c r="S360" s="9">
        <v>0.59819999999999995</v>
      </c>
      <c r="T360" s="9">
        <v>65.754400000000004</v>
      </c>
      <c r="U360" s="9">
        <v>8.0100000000000005E-2</v>
      </c>
      <c r="V360" s="9">
        <v>1.0193000000000001</v>
      </c>
      <c r="W360" s="9" t="s">
        <v>2119</v>
      </c>
      <c r="X360" s="9">
        <v>0.96260000000000001</v>
      </c>
      <c r="Y360" s="9" t="s">
        <v>62</v>
      </c>
      <c r="Z360" s="9" t="s">
        <v>62</v>
      </c>
      <c r="AA360" s="9" t="s">
        <v>62</v>
      </c>
      <c r="AB360" s="9" t="s">
        <v>140</v>
      </c>
      <c r="AC360" s="9" t="s">
        <v>204</v>
      </c>
    </row>
    <row r="361" spans="1:29" ht="13.9">
      <c r="A361" s="9" t="s">
        <v>52</v>
      </c>
      <c r="B361" s="9" t="s">
        <v>84</v>
      </c>
      <c r="C361" s="9" t="s">
        <v>74</v>
      </c>
      <c r="D361" s="9" t="s">
        <v>75</v>
      </c>
      <c r="E361" s="9" t="s">
        <v>2280</v>
      </c>
      <c r="F361" s="9" t="s">
        <v>113</v>
      </c>
      <c r="G361" s="9" t="s">
        <v>2281</v>
      </c>
      <c r="H361" s="9" t="s">
        <v>133</v>
      </c>
      <c r="I361" s="9" t="s">
        <v>1321</v>
      </c>
      <c r="J361" s="9">
        <f t="shared" si="12"/>
        <v>1080</v>
      </c>
      <c r="K361" s="9">
        <v>9</v>
      </c>
      <c r="L361" s="9">
        <v>649</v>
      </c>
      <c r="M361" s="9">
        <v>431</v>
      </c>
      <c r="N361" s="9" t="s">
        <v>97</v>
      </c>
      <c r="O361" s="9" t="s">
        <v>98</v>
      </c>
      <c r="P361" s="9" t="s">
        <v>79</v>
      </c>
      <c r="Q361" s="9">
        <v>0.39910000000000001</v>
      </c>
      <c r="R361" s="9" t="s">
        <v>2338</v>
      </c>
      <c r="S361" s="9">
        <v>0.78959999999999997</v>
      </c>
      <c r="T361" s="9">
        <v>10.047000000000001</v>
      </c>
      <c r="U361" s="9">
        <v>0.18590000000000001</v>
      </c>
      <c r="V361" s="9">
        <v>2.6499999999999999E-2</v>
      </c>
      <c r="W361" s="9" t="s">
        <v>2339</v>
      </c>
      <c r="X361" s="9">
        <v>0.40679999999999999</v>
      </c>
      <c r="Y361" s="9" t="s">
        <v>62</v>
      </c>
      <c r="Z361" s="9" t="s">
        <v>62</v>
      </c>
      <c r="AA361" s="9" t="s">
        <v>62</v>
      </c>
      <c r="AB361" s="9" t="s">
        <v>140</v>
      </c>
      <c r="AC361" s="9" t="s">
        <v>204</v>
      </c>
    </row>
    <row r="362" spans="1:29" ht="13.9">
      <c r="A362" s="9" t="s">
        <v>52</v>
      </c>
      <c r="B362" s="9" t="s">
        <v>84</v>
      </c>
      <c r="C362" s="9" t="s">
        <v>74</v>
      </c>
      <c r="D362" s="9" t="s">
        <v>75</v>
      </c>
      <c r="E362" s="9" t="s">
        <v>2284</v>
      </c>
      <c r="F362" s="9" t="s">
        <v>113</v>
      </c>
      <c r="G362" s="9" t="s">
        <v>2285</v>
      </c>
      <c r="H362" s="9" t="s">
        <v>133</v>
      </c>
      <c r="I362" s="9" t="s">
        <v>1321</v>
      </c>
      <c r="J362" s="9">
        <f t="shared" si="12"/>
        <v>140254</v>
      </c>
      <c r="K362" s="9">
        <v>53</v>
      </c>
      <c r="L362" s="9">
        <v>79148</v>
      </c>
      <c r="M362" s="9">
        <v>61106</v>
      </c>
      <c r="N362" s="9" t="s">
        <v>97</v>
      </c>
      <c r="O362" s="9" t="s">
        <v>98</v>
      </c>
      <c r="P362" s="9" t="s">
        <v>79</v>
      </c>
      <c r="Q362" s="9">
        <v>1.298</v>
      </c>
      <c r="R362" s="9" t="s">
        <v>2340</v>
      </c>
      <c r="S362" s="9">
        <v>0.1772</v>
      </c>
      <c r="T362" s="9">
        <v>103.6109</v>
      </c>
      <c r="U362" s="9" t="s">
        <v>2341</v>
      </c>
      <c r="V362" s="9">
        <v>1.379</v>
      </c>
      <c r="W362" s="9" t="s">
        <v>2342</v>
      </c>
      <c r="X362" s="9">
        <v>0.13569999999999999</v>
      </c>
      <c r="Y362" s="9" t="s">
        <v>62</v>
      </c>
      <c r="Z362" s="9" t="s">
        <v>62</v>
      </c>
      <c r="AA362" s="9" t="s">
        <v>62</v>
      </c>
      <c r="AB362" s="9" t="s">
        <v>140</v>
      </c>
      <c r="AC362" s="9" t="s">
        <v>204</v>
      </c>
    </row>
    <row r="363" spans="1:29" ht="13.9">
      <c r="A363" s="9" t="s">
        <v>52</v>
      </c>
      <c r="B363" s="9" t="s">
        <v>84</v>
      </c>
      <c r="C363" s="9" t="s">
        <v>74</v>
      </c>
      <c r="D363" s="9" t="s">
        <v>75</v>
      </c>
      <c r="E363" s="9" t="s">
        <v>1468</v>
      </c>
      <c r="F363" s="9" t="s">
        <v>113</v>
      </c>
      <c r="G363" s="9" t="s">
        <v>1471</v>
      </c>
      <c r="H363" s="9" t="s">
        <v>133</v>
      </c>
      <c r="I363" s="9" t="s">
        <v>1321</v>
      </c>
      <c r="J363" s="9">
        <f t="shared" si="12"/>
        <v>373295</v>
      </c>
      <c r="K363" s="9">
        <v>47</v>
      </c>
      <c r="L363" s="9">
        <v>1279</v>
      </c>
      <c r="M363" s="9">
        <v>372016</v>
      </c>
      <c r="N363" s="9" t="s">
        <v>97</v>
      </c>
      <c r="O363" s="9" t="s">
        <v>98</v>
      </c>
      <c r="P363" s="9" t="s">
        <v>79</v>
      </c>
      <c r="Q363" s="9">
        <v>0.99809999999999999</v>
      </c>
      <c r="R363" s="9" t="s">
        <v>1472</v>
      </c>
      <c r="S363" s="9">
        <v>0.41</v>
      </c>
      <c r="T363" s="9">
        <v>44.757899999999999</v>
      </c>
      <c r="U363" s="9">
        <v>0.48209999999999997</v>
      </c>
      <c r="V363" s="9">
        <v>0.99929999999999997</v>
      </c>
      <c r="W363" s="9" t="s">
        <v>1474</v>
      </c>
      <c r="X363" s="9">
        <v>0.85270000000000001</v>
      </c>
      <c r="Y363" s="9" t="s">
        <v>62</v>
      </c>
      <c r="Z363" s="9" t="s">
        <v>62</v>
      </c>
      <c r="AA363" s="9" t="s">
        <v>62</v>
      </c>
      <c r="AB363" s="9" t="s">
        <v>140</v>
      </c>
      <c r="AC363" s="9" t="s">
        <v>204</v>
      </c>
    </row>
    <row r="364" spans="1:29" ht="13.9">
      <c r="A364" s="9" t="s">
        <v>52</v>
      </c>
      <c r="B364" s="9" t="s">
        <v>84</v>
      </c>
      <c r="C364" s="9" t="s">
        <v>74</v>
      </c>
      <c r="D364" s="9" t="s">
        <v>75</v>
      </c>
      <c r="E364" s="9" t="s">
        <v>1495</v>
      </c>
      <c r="F364" s="9" t="s">
        <v>113</v>
      </c>
      <c r="G364" s="9" t="s">
        <v>1496</v>
      </c>
      <c r="H364" s="9" t="s">
        <v>133</v>
      </c>
      <c r="I364" s="9" t="s">
        <v>1321</v>
      </c>
      <c r="J364" s="9">
        <f t="shared" si="12"/>
        <v>372622</v>
      </c>
      <c r="K364" s="9">
        <v>46</v>
      </c>
      <c r="L364" s="9">
        <v>606</v>
      </c>
      <c r="M364" s="9">
        <v>372016</v>
      </c>
      <c r="N364" s="9" t="s">
        <v>97</v>
      </c>
      <c r="O364" s="9" t="s">
        <v>98</v>
      </c>
      <c r="P364" s="9" t="s">
        <v>79</v>
      </c>
      <c r="Q364" s="9">
        <v>0.99719999999999998</v>
      </c>
      <c r="R364" s="9" t="s">
        <v>1497</v>
      </c>
      <c r="S364" s="9">
        <v>7.0300000000000001E-2</v>
      </c>
      <c r="T364" s="9">
        <v>69.693100000000001</v>
      </c>
      <c r="U364" s="9">
        <v>8.0999999999999996E-3</v>
      </c>
      <c r="V364" s="9">
        <v>0.99629999999999996</v>
      </c>
      <c r="W364" s="9" t="s">
        <v>1500</v>
      </c>
      <c r="X364" s="9">
        <v>0.28029999999999999</v>
      </c>
      <c r="Y364" s="9" t="s">
        <v>62</v>
      </c>
      <c r="Z364" s="9" t="s">
        <v>62</v>
      </c>
      <c r="AA364" s="9" t="s">
        <v>62</v>
      </c>
      <c r="AB364" s="9" t="s">
        <v>140</v>
      </c>
      <c r="AC364" s="9" t="s">
        <v>204</v>
      </c>
    </row>
    <row r="365" spans="1:29" ht="13.9">
      <c r="A365" s="5" t="s">
        <v>52</v>
      </c>
      <c r="B365" s="5" t="s">
        <v>86</v>
      </c>
      <c r="C365" s="5" t="s">
        <v>74</v>
      </c>
      <c r="D365" s="17" t="s">
        <v>622</v>
      </c>
      <c r="E365" s="17" t="s">
        <v>2343</v>
      </c>
      <c r="F365" s="17" t="s">
        <v>215</v>
      </c>
      <c r="G365" s="17" t="s">
        <v>2344</v>
      </c>
      <c r="H365" s="5" t="s">
        <v>2691</v>
      </c>
      <c r="I365" s="5" t="s">
        <v>2692</v>
      </c>
      <c r="J365" s="89">
        <f t="shared" si="12"/>
        <v>337199</v>
      </c>
      <c r="K365" s="17">
        <v>17</v>
      </c>
      <c r="L365" s="90">
        <v>4837</v>
      </c>
      <c r="M365" s="90">
        <v>332362</v>
      </c>
      <c r="N365" s="5" t="s">
        <v>97</v>
      </c>
      <c r="O365" s="5" t="s">
        <v>98</v>
      </c>
      <c r="P365" s="5" t="s">
        <v>79</v>
      </c>
      <c r="Q365" s="5">
        <v>1</v>
      </c>
      <c r="R365" s="5" t="s">
        <v>2347</v>
      </c>
      <c r="S365" s="5">
        <v>0.82399999999999995</v>
      </c>
      <c r="T365" s="5">
        <v>30.1112</v>
      </c>
      <c r="U365" s="5">
        <v>1.7000000000000001E-2</v>
      </c>
      <c r="V365" s="5">
        <v>1.01</v>
      </c>
      <c r="W365" s="5" t="s">
        <v>2348</v>
      </c>
      <c r="X365" s="5">
        <v>0.38500000000000001</v>
      </c>
      <c r="Y365" s="5">
        <v>1.08</v>
      </c>
      <c r="Z365" s="5" t="s">
        <v>2349</v>
      </c>
      <c r="AA365" s="5">
        <v>0.14199999999999999</v>
      </c>
      <c r="AB365" s="5" t="s">
        <v>109</v>
      </c>
      <c r="AC365" s="5" t="s">
        <v>1689</v>
      </c>
    </row>
    <row r="366" spans="1:29" ht="13.9">
      <c r="A366" s="5" t="s">
        <v>52</v>
      </c>
      <c r="B366" s="5" t="s">
        <v>86</v>
      </c>
      <c r="C366" s="5" t="s">
        <v>74</v>
      </c>
      <c r="D366" s="17" t="s">
        <v>622</v>
      </c>
      <c r="E366" s="17" t="s">
        <v>2350</v>
      </c>
      <c r="F366" s="17" t="s">
        <v>215</v>
      </c>
      <c r="G366" s="17" t="s">
        <v>2351</v>
      </c>
      <c r="H366" s="5" t="s">
        <v>2693</v>
      </c>
      <c r="I366" s="5" t="s">
        <v>2694</v>
      </c>
      <c r="J366" s="89">
        <f t="shared" si="12"/>
        <v>337199</v>
      </c>
      <c r="K366" s="17">
        <v>17</v>
      </c>
      <c r="L366" s="90">
        <v>3927</v>
      </c>
      <c r="M366" s="90">
        <v>333272</v>
      </c>
      <c r="N366" s="5" t="s">
        <v>97</v>
      </c>
      <c r="O366" s="5" t="s">
        <v>98</v>
      </c>
      <c r="P366" s="5" t="s">
        <v>79</v>
      </c>
      <c r="Q366" s="5">
        <v>0.99</v>
      </c>
      <c r="R366" s="5" t="s">
        <v>2354</v>
      </c>
      <c r="S366" s="5">
        <v>0.246</v>
      </c>
      <c r="T366" s="5">
        <v>20.708100000000002</v>
      </c>
      <c r="U366" s="5">
        <v>0.19</v>
      </c>
      <c r="V366" s="5">
        <v>0.98</v>
      </c>
      <c r="W366" s="5" t="s">
        <v>2355</v>
      </c>
      <c r="X366" s="5">
        <v>0.107</v>
      </c>
      <c r="Y366" s="5">
        <v>1.05</v>
      </c>
      <c r="Z366" s="5" t="s">
        <v>2356</v>
      </c>
      <c r="AA366" s="5">
        <v>0.253</v>
      </c>
      <c r="AB366" s="5" t="s">
        <v>109</v>
      </c>
      <c r="AC366" s="5" t="s">
        <v>1689</v>
      </c>
    </row>
    <row r="367" spans="1:29" ht="13.9">
      <c r="A367" s="5" t="s">
        <v>52</v>
      </c>
      <c r="B367" s="5" t="s">
        <v>86</v>
      </c>
      <c r="C367" s="5" t="s">
        <v>74</v>
      </c>
      <c r="D367" s="17" t="s">
        <v>622</v>
      </c>
      <c r="E367" s="17" t="s">
        <v>2357</v>
      </c>
      <c r="F367" s="17" t="s">
        <v>215</v>
      </c>
      <c r="G367" s="17" t="s">
        <v>2358</v>
      </c>
      <c r="H367" s="5" t="s">
        <v>2695</v>
      </c>
      <c r="I367" s="5" t="s">
        <v>2696</v>
      </c>
      <c r="J367" s="89">
        <f t="shared" si="12"/>
        <v>337199</v>
      </c>
      <c r="K367" s="17">
        <v>17</v>
      </c>
      <c r="L367" s="90">
        <v>8755</v>
      </c>
      <c r="M367" s="90">
        <v>328444</v>
      </c>
      <c r="N367" s="5" t="s">
        <v>97</v>
      </c>
      <c r="O367" s="5" t="s">
        <v>98</v>
      </c>
      <c r="P367" s="5" t="s">
        <v>79</v>
      </c>
      <c r="Q367" s="5">
        <v>1</v>
      </c>
      <c r="R367" s="5" t="s">
        <v>2361</v>
      </c>
      <c r="S367" s="5">
        <v>0.95199999999999996</v>
      </c>
      <c r="T367" s="5">
        <v>33.383299999999998</v>
      </c>
      <c r="U367" s="5">
        <v>7.0000000000000001E-3</v>
      </c>
      <c r="V367" s="5">
        <v>0.99</v>
      </c>
      <c r="W367" s="5" t="s">
        <v>2362</v>
      </c>
      <c r="X367" s="5">
        <v>0.60299999999999998</v>
      </c>
      <c r="Y367" s="5">
        <v>1.18</v>
      </c>
      <c r="Z367" s="5" t="s">
        <v>2363</v>
      </c>
      <c r="AA367" s="5">
        <v>1.9E-2</v>
      </c>
      <c r="AB367" s="5" t="s">
        <v>140</v>
      </c>
      <c r="AC367" s="5" t="s">
        <v>1689</v>
      </c>
    </row>
    <row r="368" spans="1:29" ht="13.9">
      <c r="A368" s="5" t="s">
        <v>52</v>
      </c>
      <c r="B368" s="5" t="s">
        <v>86</v>
      </c>
      <c r="C368" s="5" t="s">
        <v>74</v>
      </c>
      <c r="D368" s="17" t="s">
        <v>622</v>
      </c>
      <c r="E368" s="17" t="s">
        <v>2364</v>
      </c>
      <c r="F368" s="17" t="s">
        <v>215</v>
      </c>
      <c r="G368" s="17" t="s">
        <v>2365</v>
      </c>
      <c r="H368" s="5" t="s">
        <v>2697</v>
      </c>
      <c r="I368" s="5" t="s">
        <v>2698</v>
      </c>
      <c r="J368" s="89">
        <f t="shared" si="12"/>
        <v>361194</v>
      </c>
      <c r="K368" s="17">
        <v>17</v>
      </c>
      <c r="L368" s="90">
        <v>2353</v>
      </c>
      <c r="M368" s="90">
        <v>358841</v>
      </c>
      <c r="N368" s="5" t="s">
        <v>97</v>
      </c>
      <c r="O368" s="5" t="s">
        <v>98</v>
      </c>
      <c r="P368" s="5" t="s">
        <v>79</v>
      </c>
      <c r="Q368" s="5">
        <v>1</v>
      </c>
      <c r="R368" s="5" t="s">
        <v>2368</v>
      </c>
      <c r="S368" s="5">
        <v>0.53900000000000003</v>
      </c>
      <c r="T368" s="5">
        <v>28.101800000000001</v>
      </c>
      <c r="U368" s="5">
        <v>3.1E-2</v>
      </c>
      <c r="V368" s="5">
        <v>0.99</v>
      </c>
      <c r="W368" s="5" t="s">
        <v>2354</v>
      </c>
      <c r="X368" s="5">
        <v>0.34</v>
      </c>
      <c r="Y368" s="5">
        <v>0.97</v>
      </c>
      <c r="Z368" s="5" t="s">
        <v>2369</v>
      </c>
      <c r="AA368" s="5">
        <v>0.34</v>
      </c>
      <c r="AB368" s="5" t="s">
        <v>109</v>
      </c>
      <c r="AC368" s="5" t="s">
        <v>1689</v>
      </c>
    </row>
    <row r="369" spans="1:29" ht="13.9">
      <c r="A369" s="5" t="s">
        <v>52</v>
      </c>
      <c r="B369" s="5" t="s">
        <v>86</v>
      </c>
      <c r="C369" s="5" t="s">
        <v>74</v>
      </c>
      <c r="D369" s="17" t="s">
        <v>622</v>
      </c>
      <c r="E369" s="17" t="s">
        <v>2370</v>
      </c>
      <c r="F369" s="17" t="s">
        <v>215</v>
      </c>
      <c r="G369" s="17" t="s">
        <v>2371</v>
      </c>
      <c r="H369" s="5" t="s">
        <v>2699</v>
      </c>
      <c r="I369" s="5" t="s">
        <v>2700</v>
      </c>
      <c r="J369" s="5" t="s">
        <v>79</v>
      </c>
      <c r="K369" s="17">
        <v>16</v>
      </c>
      <c r="L369" s="17" t="s">
        <v>79</v>
      </c>
      <c r="M369" s="17" t="s">
        <v>79</v>
      </c>
      <c r="N369" s="5" t="s">
        <v>97</v>
      </c>
      <c r="O369" s="5" t="s">
        <v>98</v>
      </c>
      <c r="P369" s="5" t="s">
        <v>79</v>
      </c>
      <c r="Q369" s="5">
        <v>0.99</v>
      </c>
      <c r="R369" s="5" t="s">
        <v>2374</v>
      </c>
      <c r="S369" s="5">
        <v>0.05</v>
      </c>
      <c r="T369" s="5">
        <v>30.918500000000002</v>
      </c>
      <c r="U369" s="5">
        <v>8.9999999999999993E-3</v>
      </c>
      <c r="V369" s="5">
        <v>0.98</v>
      </c>
      <c r="W369" s="5" t="s">
        <v>2374</v>
      </c>
      <c r="X369" s="5">
        <v>1.7000000000000001E-2</v>
      </c>
      <c r="Y369" s="5">
        <v>0.99</v>
      </c>
      <c r="Z369" s="5" t="s">
        <v>2375</v>
      </c>
      <c r="AA369" s="5">
        <v>0.85199999999999998</v>
      </c>
      <c r="AB369" s="5" t="s">
        <v>109</v>
      </c>
      <c r="AC369" s="5" t="s">
        <v>1689</v>
      </c>
    </row>
    <row r="370" spans="1:29" ht="13.9">
      <c r="A370" s="5" t="s">
        <v>52</v>
      </c>
      <c r="B370" s="5" t="s">
        <v>86</v>
      </c>
      <c r="C370" s="5" t="s">
        <v>74</v>
      </c>
      <c r="D370" s="17" t="s">
        <v>622</v>
      </c>
      <c r="E370" s="17" t="s">
        <v>2376</v>
      </c>
      <c r="F370" s="17" t="s">
        <v>215</v>
      </c>
      <c r="G370" s="17" t="s">
        <v>2377</v>
      </c>
      <c r="H370" s="5" t="s">
        <v>2701</v>
      </c>
      <c r="I370" s="5" t="s">
        <v>2702</v>
      </c>
      <c r="J370" s="5" t="s">
        <v>79</v>
      </c>
      <c r="K370" s="17">
        <v>18</v>
      </c>
      <c r="L370" s="17" t="s">
        <v>79</v>
      </c>
      <c r="M370" s="17" t="s">
        <v>79</v>
      </c>
      <c r="N370" s="5" t="s">
        <v>97</v>
      </c>
      <c r="O370" s="5" t="s">
        <v>98</v>
      </c>
      <c r="P370" s="5" t="s">
        <v>79</v>
      </c>
      <c r="Q370" s="5">
        <v>0.99</v>
      </c>
      <c r="R370" s="5" t="s">
        <v>2380</v>
      </c>
      <c r="S370" s="5">
        <v>0.56999999999999995</v>
      </c>
      <c r="T370" s="5">
        <v>35.0578</v>
      </c>
      <c r="U370" s="5">
        <v>6.0000000000000001E-3</v>
      </c>
      <c r="V370" s="5">
        <v>0.99</v>
      </c>
      <c r="W370" s="5" t="s">
        <v>2381</v>
      </c>
      <c r="X370" s="5">
        <v>0.32400000000000001</v>
      </c>
      <c r="Y370" s="5">
        <v>1.1200000000000001</v>
      </c>
      <c r="Z370" s="5" t="s">
        <v>2382</v>
      </c>
      <c r="AA370" s="5">
        <v>6.4000000000000001E-2</v>
      </c>
      <c r="AB370" s="5" t="s">
        <v>109</v>
      </c>
      <c r="AC370" s="5" t="s">
        <v>1689</v>
      </c>
    </row>
    <row r="371" spans="1:29" ht="13.9">
      <c r="A371" s="5" t="s">
        <v>52</v>
      </c>
      <c r="B371" s="5" t="s">
        <v>86</v>
      </c>
      <c r="C371" s="5" t="s">
        <v>74</v>
      </c>
      <c r="D371" s="17" t="s">
        <v>246</v>
      </c>
      <c r="E371" s="17" t="s">
        <v>2343</v>
      </c>
      <c r="F371" s="17" t="s">
        <v>248</v>
      </c>
      <c r="G371" s="17" t="s">
        <v>2344</v>
      </c>
      <c r="H371" s="5" t="s">
        <v>2703</v>
      </c>
      <c r="I371" s="5" t="s">
        <v>2704</v>
      </c>
      <c r="J371" s="89">
        <f t="shared" ref="J371:J374" si="13">SUM(L371:M371)</f>
        <v>337199</v>
      </c>
      <c r="K371" s="17">
        <v>17</v>
      </c>
      <c r="L371" s="90">
        <v>4837</v>
      </c>
      <c r="M371" s="90">
        <v>332362</v>
      </c>
      <c r="N371" s="5" t="s">
        <v>97</v>
      </c>
      <c r="O371" s="5" t="s">
        <v>98</v>
      </c>
      <c r="P371" s="5" t="s">
        <v>79</v>
      </c>
      <c r="Q371" s="5">
        <v>1</v>
      </c>
      <c r="R371" s="5" t="s">
        <v>2347</v>
      </c>
      <c r="S371" s="5">
        <v>0.97699999999999998</v>
      </c>
      <c r="T371" s="5">
        <v>19.976700000000001</v>
      </c>
      <c r="U371" s="5">
        <v>0.221</v>
      </c>
      <c r="V371" s="5">
        <v>1.01</v>
      </c>
      <c r="W371" s="5" t="s">
        <v>2385</v>
      </c>
      <c r="X371" s="5">
        <v>0.43</v>
      </c>
      <c r="Y371" s="5">
        <v>1.0900000000000001</v>
      </c>
      <c r="Z371" s="5" t="s">
        <v>2386</v>
      </c>
      <c r="AA371" s="5">
        <v>0.33600000000000002</v>
      </c>
      <c r="AB371" s="5" t="s">
        <v>109</v>
      </c>
      <c r="AC371" s="5" t="s">
        <v>1689</v>
      </c>
    </row>
    <row r="372" spans="1:29" ht="13.9">
      <c r="A372" s="5" t="s">
        <v>52</v>
      </c>
      <c r="B372" s="5" t="s">
        <v>86</v>
      </c>
      <c r="C372" s="5" t="s">
        <v>74</v>
      </c>
      <c r="D372" s="17" t="s">
        <v>246</v>
      </c>
      <c r="E372" s="17" t="s">
        <v>2350</v>
      </c>
      <c r="F372" s="17" t="s">
        <v>248</v>
      </c>
      <c r="G372" s="17" t="s">
        <v>2351</v>
      </c>
      <c r="H372" s="5" t="s">
        <v>2705</v>
      </c>
      <c r="I372" s="5" t="s">
        <v>2706</v>
      </c>
      <c r="J372" s="89">
        <f t="shared" si="13"/>
        <v>337199</v>
      </c>
      <c r="K372" s="17">
        <v>17</v>
      </c>
      <c r="L372" s="90">
        <v>3927</v>
      </c>
      <c r="M372" s="90">
        <v>333272</v>
      </c>
      <c r="N372" s="5" t="s">
        <v>97</v>
      </c>
      <c r="O372" s="5" t="s">
        <v>98</v>
      </c>
      <c r="P372" s="5" t="s">
        <v>79</v>
      </c>
      <c r="Q372" s="5">
        <v>1</v>
      </c>
      <c r="R372" s="5" t="s">
        <v>2368</v>
      </c>
      <c r="S372" s="5">
        <v>0.67800000000000005</v>
      </c>
      <c r="T372" s="5">
        <v>34.654800000000002</v>
      </c>
      <c r="U372" s="5">
        <v>4.0000000000000001E-3</v>
      </c>
      <c r="V372" s="5">
        <v>1</v>
      </c>
      <c r="W372" s="5" t="s">
        <v>2347</v>
      </c>
      <c r="X372" s="5">
        <v>0.75900000000000001</v>
      </c>
      <c r="Y372" s="5">
        <v>1.1200000000000001</v>
      </c>
      <c r="Z372" s="5" t="s">
        <v>2389</v>
      </c>
      <c r="AA372" s="5">
        <v>0.29899999999999999</v>
      </c>
      <c r="AB372" s="5" t="s">
        <v>109</v>
      </c>
      <c r="AC372" s="5" t="s">
        <v>1689</v>
      </c>
    </row>
    <row r="373" spans="1:29" ht="13.9">
      <c r="A373" s="5" t="s">
        <v>52</v>
      </c>
      <c r="B373" s="5" t="s">
        <v>86</v>
      </c>
      <c r="C373" s="5" t="s">
        <v>74</v>
      </c>
      <c r="D373" s="17" t="s">
        <v>246</v>
      </c>
      <c r="E373" s="17" t="s">
        <v>2357</v>
      </c>
      <c r="F373" s="17" t="s">
        <v>248</v>
      </c>
      <c r="G373" s="17" t="s">
        <v>2358</v>
      </c>
      <c r="H373" s="5" t="s">
        <v>2707</v>
      </c>
      <c r="I373" s="5" t="s">
        <v>2708</v>
      </c>
      <c r="J373" s="89">
        <f t="shared" si="13"/>
        <v>337199</v>
      </c>
      <c r="K373" s="17">
        <v>17</v>
      </c>
      <c r="L373" s="90">
        <v>8755</v>
      </c>
      <c r="M373" s="90">
        <v>328444</v>
      </c>
      <c r="N373" s="5" t="s">
        <v>97</v>
      </c>
      <c r="O373" s="5" t="s">
        <v>98</v>
      </c>
      <c r="P373" s="5" t="s">
        <v>79</v>
      </c>
      <c r="Q373" s="5">
        <v>1</v>
      </c>
      <c r="R373" s="5" t="s">
        <v>2380</v>
      </c>
      <c r="S373" s="5">
        <v>0.80600000000000005</v>
      </c>
      <c r="T373" s="5">
        <v>30.19464</v>
      </c>
      <c r="U373" s="5">
        <v>1.7000000000000001E-2</v>
      </c>
      <c r="V373" s="5">
        <v>0.99</v>
      </c>
      <c r="W373" s="5" t="s">
        <v>2362</v>
      </c>
      <c r="X373" s="5">
        <v>0.45800000000000002</v>
      </c>
      <c r="Y373" s="5">
        <v>1.2</v>
      </c>
      <c r="Z373" s="5" t="s">
        <v>2392</v>
      </c>
      <c r="AA373" s="5">
        <v>0.217</v>
      </c>
      <c r="AB373" s="5" t="s">
        <v>140</v>
      </c>
      <c r="AC373" s="5" t="s">
        <v>1689</v>
      </c>
    </row>
    <row r="374" spans="1:29" ht="13.9">
      <c r="A374" s="5" t="s">
        <v>52</v>
      </c>
      <c r="B374" s="5" t="s">
        <v>86</v>
      </c>
      <c r="C374" s="5" t="s">
        <v>74</v>
      </c>
      <c r="D374" s="17" t="s">
        <v>246</v>
      </c>
      <c r="E374" s="17" t="s">
        <v>2364</v>
      </c>
      <c r="F374" s="17" t="s">
        <v>248</v>
      </c>
      <c r="G374" s="17" t="s">
        <v>2365</v>
      </c>
      <c r="H374" s="5" t="s">
        <v>2709</v>
      </c>
      <c r="I374" s="5" t="s">
        <v>2710</v>
      </c>
      <c r="J374" s="89">
        <f t="shared" si="13"/>
        <v>361194</v>
      </c>
      <c r="K374" s="17">
        <v>17</v>
      </c>
      <c r="L374" s="90">
        <v>2353</v>
      </c>
      <c r="M374" s="90">
        <v>358841</v>
      </c>
      <c r="N374" s="5" t="s">
        <v>97</v>
      </c>
      <c r="O374" s="5" t="s">
        <v>98</v>
      </c>
      <c r="P374" s="5" t="s">
        <v>79</v>
      </c>
      <c r="Q374" s="5">
        <v>1</v>
      </c>
      <c r="R374" s="5" t="s">
        <v>2395</v>
      </c>
      <c r="S374" s="5">
        <v>0.38300000000000001</v>
      </c>
      <c r="T374" s="5">
        <v>12.43258</v>
      </c>
      <c r="U374" s="5">
        <v>0.71399999999999997</v>
      </c>
      <c r="V374" s="5">
        <v>1</v>
      </c>
      <c r="W374" s="5" t="s">
        <v>2354</v>
      </c>
      <c r="X374" s="5">
        <v>0.80100000000000005</v>
      </c>
      <c r="Y374" s="5">
        <v>0.94</v>
      </c>
      <c r="Z374" s="5" t="s">
        <v>2396</v>
      </c>
      <c r="AA374" s="5">
        <v>0.29599999999999999</v>
      </c>
      <c r="AB374" s="5" t="s">
        <v>109</v>
      </c>
      <c r="AC374" s="5" t="s">
        <v>1689</v>
      </c>
    </row>
    <row r="375" spans="1:29" ht="13.9">
      <c r="A375" s="5" t="s">
        <v>52</v>
      </c>
      <c r="B375" s="5" t="s">
        <v>86</v>
      </c>
      <c r="C375" s="5" t="s">
        <v>74</v>
      </c>
      <c r="D375" s="17" t="s">
        <v>246</v>
      </c>
      <c r="E375" s="17" t="s">
        <v>2370</v>
      </c>
      <c r="F375" s="17" t="s">
        <v>248</v>
      </c>
      <c r="G375" s="17" t="s">
        <v>2371</v>
      </c>
      <c r="H375" s="5" t="s">
        <v>2711</v>
      </c>
      <c r="I375" s="5" t="s">
        <v>2712</v>
      </c>
      <c r="J375" s="5" t="s">
        <v>79</v>
      </c>
      <c r="K375" s="17">
        <v>17</v>
      </c>
      <c r="L375" s="17" t="s">
        <v>79</v>
      </c>
      <c r="M375" s="17" t="s">
        <v>79</v>
      </c>
      <c r="N375" s="5" t="s">
        <v>97</v>
      </c>
      <c r="O375" s="5" t="s">
        <v>98</v>
      </c>
      <c r="P375" s="5" t="s">
        <v>79</v>
      </c>
      <c r="Q375" s="5">
        <v>1</v>
      </c>
      <c r="R375" s="5" t="s">
        <v>2395</v>
      </c>
      <c r="S375" s="5">
        <v>0.69599999999999995</v>
      </c>
      <c r="T375" s="5">
        <v>12.730130000000001</v>
      </c>
      <c r="U375" s="5">
        <v>0.69199999999999995</v>
      </c>
      <c r="V375" s="5">
        <v>1</v>
      </c>
      <c r="W375" s="5" t="s">
        <v>2395</v>
      </c>
      <c r="X375" s="5">
        <v>0.997</v>
      </c>
      <c r="Y375" s="5">
        <v>1.03</v>
      </c>
      <c r="Z375" s="5" t="s">
        <v>2399</v>
      </c>
      <c r="AA375" s="5">
        <v>0.6</v>
      </c>
      <c r="AB375" s="5" t="s">
        <v>109</v>
      </c>
      <c r="AC375" s="5" t="s">
        <v>1689</v>
      </c>
    </row>
    <row r="376" spans="1:29" ht="13.9">
      <c r="A376" s="5" t="s">
        <v>52</v>
      </c>
      <c r="B376" s="5" t="s">
        <v>86</v>
      </c>
      <c r="C376" s="5" t="s">
        <v>74</v>
      </c>
      <c r="D376" s="17" t="s">
        <v>246</v>
      </c>
      <c r="E376" s="17" t="s">
        <v>2376</v>
      </c>
      <c r="F376" s="17" t="s">
        <v>248</v>
      </c>
      <c r="G376" s="17" t="s">
        <v>2377</v>
      </c>
      <c r="H376" s="5" t="s">
        <v>2713</v>
      </c>
      <c r="I376" s="5" t="s">
        <v>2714</v>
      </c>
      <c r="J376" s="5" t="s">
        <v>79</v>
      </c>
      <c r="K376" s="17">
        <v>17</v>
      </c>
      <c r="L376" s="17" t="s">
        <v>79</v>
      </c>
      <c r="M376" s="17" t="s">
        <v>79</v>
      </c>
      <c r="N376" s="5" t="s">
        <v>97</v>
      </c>
      <c r="O376" s="5" t="s">
        <v>98</v>
      </c>
      <c r="P376" s="5" t="s">
        <v>79</v>
      </c>
      <c r="Q376" s="5">
        <v>1.01</v>
      </c>
      <c r="R376" s="5" t="s">
        <v>2385</v>
      </c>
      <c r="S376" s="5">
        <v>0.44900000000000001</v>
      </c>
      <c r="T376" s="5">
        <v>27.288</v>
      </c>
      <c r="U376" s="5">
        <v>3.7999999999999999E-2</v>
      </c>
      <c r="V376" s="5">
        <v>1</v>
      </c>
      <c r="W376" s="5" t="s">
        <v>2402</v>
      </c>
      <c r="X376" s="5">
        <v>0.68899999999999995</v>
      </c>
      <c r="Y376" s="5">
        <v>1.0900000000000001</v>
      </c>
      <c r="Z376" s="5" t="s">
        <v>2403</v>
      </c>
      <c r="AA376" s="5">
        <v>0.46899999999999997</v>
      </c>
      <c r="AB376" s="5" t="s">
        <v>109</v>
      </c>
      <c r="AC376" s="5" t="s">
        <v>1689</v>
      </c>
    </row>
    <row r="377" spans="1:29" ht="13.9">
      <c r="A377" s="9" t="s">
        <v>52</v>
      </c>
      <c r="B377" s="9" t="s">
        <v>87</v>
      </c>
      <c r="C377" s="9" t="s">
        <v>2196</v>
      </c>
      <c r="D377" s="9" t="s">
        <v>246</v>
      </c>
      <c r="E377" s="9" t="s">
        <v>2404</v>
      </c>
      <c r="F377" s="9" t="s">
        <v>248</v>
      </c>
      <c r="G377" s="9" t="s">
        <v>79</v>
      </c>
      <c r="H377" s="9" t="s">
        <v>2715</v>
      </c>
      <c r="I377" s="9" t="s">
        <v>2716</v>
      </c>
      <c r="J377" s="9">
        <v>361797</v>
      </c>
      <c r="K377" s="9">
        <v>15</v>
      </c>
      <c r="L377" s="9">
        <v>37014</v>
      </c>
      <c r="M377" s="9">
        <f t="shared" ref="M377:M386" si="14">J377-L377</f>
        <v>324783</v>
      </c>
      <c r="N377" s="9" t="s">
        <v>97</v>
      </c>
      <c r="O377" s="9" t="s">
        <v>98</v>
      </c>
      <c r="P377" s="9">
        <v>68.67</v>
      </c>
      <c r="Q377" s="9">
        <v>1.0900000000000001</v>
      </c>
      <c r="R377" s="9" t="s">
        <v>2407</v>
      </c>
      <c r="S377" s="9" t="s">
        <v>79</v>
      </c>
      <c r="T377" s="9" t="s">
        <v>79</v>
      </c>
      <c r="U377" s="9" t="s">
        <v>79</v>
      </c>
      <c r="V377" s="9" t="s">
        <v>62</v>
      </c>
      <c r="W377" s="9" t="s">
        <v>62</v>
      </c>
      <c r="X377" s="9" t="s">
        <v>62</v>
      </c>
      <c r="Y377" s="9" t="s">
        <v>62</v>
      </c>
      <c r="Z377" s="9" t="s">
        <v>62</v>
      </c>
      <c r="AA377" s="9" t="s">
        <v>62</v>
      </c>
      <c r="AB377" s="9" t="s">
        <v>140</v>
      </c>
      <c r="AC377" s="9" t="s">
        <v>1689</v>
      </c>
    </row>
    <row r="378" spans="1:29" ht="13.9">
      <c r="A378" s="9" t="s">
        <v>52</v>
      </c>
      <c r="B378" s="9" t="s">
        <v>87</v>
      </c>
      <c r="C378" s="9" t="s">
        <v>2196</v>
      </c>
      <c r="D378" s="9" t="s">
        <v>246</v>
      </c>
      <c r="E378" s="9" t="s">
        <v>2408</v>
      </c>
      <c r="F378" s="9" t="s">
        <v>248</v>
      </c>
      <c r="G378" s="9" t="s">
        <v>79</v>
      </c>
      <c r="H378" s="9" t="s">
        <v>2717</v>
      </c>
      <c r="I378" s="9" t="s">
        <v>2718</v>
      </c>
      <c r="J378" s="9">
        <v>361797</v>
      </c>
      <c r="K378" s="9">
        <v>15</v>
      </c>
      <c r="L378" s="9">
        <v>9298</v>
      </c>
      <c r="M378" s="9">
        <f t="shared" si="14"/>
        <v>352499</v>
      </c>
      <c r="N378" s="9" t="s">
        <v>97</v>
      </c>
      <c r="O378" s="9" t="s">
        <v>98</v>
      </c>
      <c r="P378" s="9">
        <v>70.17</v>
      </c>
      <c r="Q378" s="9">
        <v>0.59</v>
      </c>
      <c r="R378" s="9" t="s">
        <v>2411</v>
      </c>
      <c r="S378" s="9" t="s">
        <v>79</v>
      </c>
      <c r="T378" s="9" t="s">
        <v>79</v>
      </c>
      <c r="U378" s="9" t="s">
        <v>79</v>
      </c>
      <c r="V378" s="9" t="s">
        <v>62</v>
      </c>
      <c r="W378" s="9" t="s">
        <v>62</v>
      </c>
      <c r="X378" s="9" t="s">
        <v>62</v>
      </c>
      <c r="Y378" s="9" t="s">
        <v>62</v>
      </c>
      <c r="Z378" s="9" t="s">
        <v>62</v>
      </c>
      <c r="AA378" s="9" t="s">
        <v>62</v>
      </c>
      <c r="AB378" s="9" t="s">
        <v>140</v>
      </c>
      <c r="AC378" s="9" t="s">
        <v>1689</v>
      </c>
    </row>
    <row r="379" spans="1:29" ht="13.9">
      <c r="A379" s="9" t="s">
        <v>52</v>
      </c>
      <c r="B379" s="9" t="s">
        <v>87</v>
      </c>
      <c r="C379" s="9" t="s">
        <v>2196</v>
      </c>
      <c r="D379" s="9" t="s">
        <v>246</v>
      </c>
      <c r="E379" s="9" t="s">
        <v>2412</v>
      </c>
      <c r="F379" s="9" t="s">
        <v>248</v>
      </c>
      <c r="G379" s="9" t="s">
        <v>79</v>
      </c>
      <c r="H379" s="9" t="s">
        <v>2719</v>
      </c>
      <c r="I379" s="9" t="s">
        <v>2720</v>
      </c>
      <c r="J379" s="9">
        <v>361797</v>
      </c>
      <c r="K379" s="9">
        <v>15</v>
      </c>
      <c r="L379" s="9">
        <v>7264</v>
      </c>
      <c r="M379" s="9">
        <f t="shared" si="14"/>
        <v>354533</v>
      </c>
      <c r="N379" s="9" t="s">
        <v>97</v>
      </c>
      <c r="O379" s="9" t="s">
        <v>98</v>
      </c>
      <c r="P379" s="9">
        <v>70.27</v>
      </c>
      <c r="Q379" s="9">
        <v>0.69</v>
      </c>
      <c r="R379" s="9" t="s">
        <v>2415</v>
      </c>
      <c r="S379" s="9" t="s">
        <v>79</v>
      </c>
      <c r="T379" s="9" t="s">
        <v>79</v>
      </c>
      <c r="U379" s="9" t="s">
        <v>79</v>
      </c>
      <c r="V379" s="9" t="s">
        <v>62</v>
      </c>
      <c r="W379" s="9" t="s">
        <v>62</v>
      </c>
      <c r="X379" s="9" t="s">
        <v>62</v>
      </c>
      <c r="Y379" s="9" t="s">
        <v>62</v>
      </c>
      <c r="Z379" s="9" t="s">
        <v>62</v>
      </c>
      <c r="AA379" s="9" t="s">
        <v>62</v>
      </c>
      <c r="AB379" s="9" t="s">
        <v>140</v>
      </c>
      <c r="AC379" s="9" t="s">
        <v>1689</v>
      </c>
    </row>
    <row r="380" spans="1:29" ht="13.9">
      <c r="A380" s="9" t="s">
        <v>52</v>
      </c>
      <c r="B380" s="9" t="s">
        <v>87</v>
      </c>
      <c r="C380" s="9" t="s">
        <v>2196</v>
      </c>
      <c r="D380" s="9" t="s">
        <v>246</v>
      </c>
      <c r="E380" s="9" t="s">
        <v>2416</v>
      </c>
      <c r="F380" s="9" t="s">
        <v>248</v>
      </c>
      <c r="G380" s="9" t="s">
        <v>79</v>
      </c>
      <c r="H380" s="9" t="s">
        <v>2721</v>
      </c>
      <c r="I380" s="9" t="s">
        <v>2722</v>
      </c>
      <c r="J380" s="9">
        <v>361797</v>
      </c>
      <c r="K380" s="9">
        <v>15</v>
      </c>
      <c r="L380" s="9">
        <v>11773</v>
      </c>
      <c r="M380" s="9">
        <f t="shared" si="14"/>
        <v>350024</v>
      </c>
      <c r="N380" s="9" t="s">
        <v>97</v>
      </c>
      <c r="O380" s="9" t="s">
        <v>98</v>
      </c>
      <c r="P380" s="9">
        <v>68.03</v>
      </c>
      <c r="Q380" s="9">
        <v>0.77</v>
      </c>
      <c r="R380" s="9" t="s">
        <v>2419</v>
      </c>
      <c r="S380" s="9" t="s">
        <v>79</v>
      </c>
      <c r="T380" s="9" t="s">
        <v>79</v>
      </c>
      <c r="U380" s="9" t="s">
        <v>79</v>
      </c>
      <c r="V380" s="9" t="s">
        <v>62</v>
      </c>
      <c r="W380" s="9" t="s">
        <v>62</v>
      </c>
      <c r="X380" s="9" t="s">
        <v>62</v>
      </c>
      <c r="Y380" s="9" t="s">
        <v>62</v>
      </c>
      <c r="Z380" s="9" t="s">
        <v>62</v>
      </c>
      <c r="AA380" s="9" t="s">
        <v>62</v>
      </c>
      <c r="AB380" s="9" t="s">
        <v>140</v>
      </c>
      <c r="AC380" s="9" t="s">
        <v>1689</v>
      </c>
    </row>
    <row r="381" spans="1:29" ht="13.9">
      <c r="A381" s="9" t="s">
        <v>52</v>
      </c>
      <c r="B381" s="9" t="s">
        <v>87</v>
      </c>
      <c r="C381" s="9" t="s">
        <v>2196</v>
      </c>
      <c r="D381" s="9" t="s">
        <v>246</v>
      </c>
      <c r="E381" s="9" t="s">
        <v>2420</v>
      </c>
      <c r="F381" s="9" t="s">
        <v>248</v>
      </c>
      <c r="G381" s="9" t="s">
        <v>79</v>
      </c>
      <c r="H381" s="9" t="s">
        <v>2723</v>
      </c>
      <c r="I381" s="9" t="s">
        <v>2724</v>
      </c>
      <c r="J381" s="9">
        <v>361797</v>
      </c>
      <c r="K381" s="9">
        <v>15</v>
      </c>
      <c r="L381" s="9">
        <v>25915</v>
      </c>
      <c r="M381" s="9">
        <f t="shared" si="14"/>
        <v>335882</v>
      </c>
      <c r="N381" s="9" t="s">
        <v>97</v>
      </c>
      <c r="O381" s="9" t="s">
        <v>98</v>
      </c>
      <c r="P381" s="9">
        <v>62.42</v>
      </c>
      <c r="Q381" s="9">
        <v>0.74</v>
      </c>
      <c r="R381" s="9" t="s">
        <v>2423</v>
      </c>
      <c r="S381" s="9" t="s">
        <v>79</v>
      </c>
      <c r="T381" s="9" t="s">
        <v>79</v>
      </c>
      <c r="U381" s="9" t="s">
        <v>79</v>
      </c>
      <c r="V381" s="9" t="s">
        <v>62</v>
      </c>
      <c r="W381" s="9" t="s">
        <v>62</v>
      </c>
      <c r="X381" s="9" t="s">
        <v>62</v>
      </c>
      <c r="Y381" s="9" t="s">
        <v>62</v>
      </c>
      <c r="Z381" s="9" t="s">
        <v>62</v>
      </c>
      <c r="AA381" s="9" t="s">
        <v>62</v>
      </c>
      <c r="AB381" s="9" t="s">
        <v>140</v>
      </c>
      <c r="AC381" s="9" t="s">
        <v>1689</v>
      </c>
    </row>
    <row r="382" spans="1:29" ht="13.9">
      <c r="A382" s="9" t="s">
        <v>52</v>
      </c>
      <c r="B382" s="9" t="s">
        <v>87</v>
      </c>
      <c r="C382" s="9" t="s">
        <v>2196</v>
      </c>
      <c r="D382" s="9" t="s">
        <v>622</v>
      </c>
      <c r="E382" s="9" t="s">
        <v>2404</v>
      </c>
      <c r="F382" s="9" t="s">
        <v>215</v>
      </c>
      <c r="G382" s="9" t="s">
        <v>79</v>
      </c>
      <c r="H382" s="9" t="s">
        <v>2725</v>
      </c>
      <c r="I382" s="9" t="s">
        <v>2726</v>
      </c>
      <c r="J382" s="9">
        <v>361797</v>
      </c>
      <c r="K382" s="9">
        <v>28</v>
      </c>
      <c r="L382" s="9">
        <v>37014</v>
      </c>
      <c r="M382" s="9">
        <f t="shared" si="14"/>
        <v>324783</v>
      </c>
      <c r="N382" s="9" t="s">
        <v>97</v>
      </c>
      <c r="O382" s="9" t="s">
        <v>98</v>
      </c>
      <c r="P382" s="9">
        <v>288.74</v>
      </c>
      <c r="Q382" s="9">
        <v>0.87</v>
      </c>
      <c r="R382" s="9" t="s">
        <v>2426</v>
      </c>
      <c r="S382" s="9" t="s">
        <v>79</v>
      </c>
      <c r="T382" s="9" t="s">
        <v>79</v>
      </c>
      <c r="U382" s="9" t="s">
        <v>79</v>
      </c>
      <c r="V382" s="9" t="s">
        <v>62</v>
      </c>
      <c r="W382" s="9" t="s">
        <v>62</v>
      </c>
      <c r="X382" s="9" t="s">
        <v>62</v>
      </c>
      <c r="Y382" s="9" t="s">
        <v>62</v>
      </c>
      <c r="Z382" s="9" t="s">
        <v>62</v>
      </c>
      <c r="AA382" s="9" t="s">
        <v>62</v>
      </c>
      <c r="AB382" s="9" t="s">
        <v>140</v>
      </c>
      <c r="AC382" s="9" t="s">
        <v>1689</v>
      </c>
    </row>
    <row r="383" spans="1:29" ht="13.9">
      <c r="A383" s="9" t="s">
        <v>52</v>
      </c>
      <c r="B383" s="9" t="s">
        <v>87</v>
      </c>
      <c r="C383" s="9" t="s">
        <v>2196</v>
      </c>
      <c r="D383" s="9" t="s">
        <v>622</v>
      </c>
      <c r="E383" s="9" t="s">
        <v>2408</v>
      </c>
      <c r="F383" s="9" t="s">
        <v>215</v>
      </c>
      <c r="G383" s="9" t="s">
        <v>79</v>
      </c>
      <c r="H383" s="9" t="s">
        <v>2727</v>
      </c>
      <c r="I383" s="9" t="s">
        <v>2728</v>
      </c>
      <c r="J383" s="9">
        <v>361797</v>
      </c>
      <c r="K383" s="9">
        <v>28</v>
      </c>
      <c r="L383" s="9">
        <v>9298</v>
      </c>
      <c r="M383" s="9">
        <f t="shared" si="14"/>
        <v>352499</v>
      </c>
      <c r="N383" s="9" t="s">
        <v>97</v>
      </c>
      <c r="O383" s="9" t="s">
        <v>98</v>
      </c>
      <c r="P383" s="9">
        <v>319.57</v>
      </c>
      <c r="Q383" s="9">
        <v>0.92</v>
      </c>
      <c r="R383" s="9" t="s">
        <v>2429</v>
      </c>
      <c r="S383" s="9" t="s">
        <v>79</v>
      </c>
      <c r="T383" s="9" t="s">
        <v>79</v>
      </c>
      <c r="U383" s="9" t="s">
        <v>79</v>
      </c>
      <c r="V383" s="9" t="s">
        <v>62</v>
      </c>
      <c r="W383" s="9" t="s">
        <v>62</v>
      </c>
      <c r="X383" s="9" t="s">
        <v>62</v>
      </c>
      <c r="Y383" s="9" t="s">
        <v>62</v>
      </c>
      <c r="Z383" s="9" t="s">
        <v>62</v>
      </c>
      <c r="AA383" s="9" t="s">
        <v>62</v>
      </c>
      <c r="AB383" s="9" t="s">
        <v>140</v>
      </c>
      <c r="AC383" s="9" t="s">
        <v>1689</v>
      </c>
    </row>
    <row r="384" spans="1:29" ht="13.9">
      <c r="A384" s="9" t="s">
        <v>52</v>
      </c>
      <c r="B384" s="9" t="s">
        <v>87</v>
      </c>
      <c r="C384" s="9" t="s">
        <v>2196</v>
      </c>
      <c r="D384" s="9" t="s">
        <v>622</v>
      </c>
      <c r="E384" s="9" t="s">
        <v>2412</v>
      </c>
      <c r="F384" s="9" t="s">
        <v>215</v>
      </c>
      <c r="G384" s="9" t="s">
        <v>79</v>
      </c>
      <c r="H384" s="9" t="s">
        <v>2729</v>
      </c>
      <c r="I384" s="9" t="s">
        <v>2730</v>
      </c>
      <c r="J384" s="9">
        <v>361797</v>
      </c>
      <c r="K384" s="9">
        <v>28</v>
      </c>
      <c r="L384" s="9">
        <v>7264</v>
      </c>
      <c r="M384" s="9">
        <f t="shared" si="14"/>
        <v>354533</v>
      </c>
      <c r="N384" s="9" t="s">
        <v>97</v>
      </c>
      <c r="O384" s="9" t="s">
        <v>98</v>
      </c>
      <c r="P384" s="9">
        <v>322.39</v>
      </c>
      <c r="Q384" s="9">
        <v>0.87</v>
      </c>
      <c r="R384" s="9" t="s">
        <v>2432</v>
      </c>
      <c r="S384" s="9" t="s">
        <v>79</v>
      </c>
      <c r="T384" s="9" t="s">
        <v>79</v>
      </c>
      <c r="U384" s="9" t="s">
        <v>79</v>
      </c>
      <c r="V384" s="9" t="s">
        <v>62</v>
      </c>
      <c r="W384" s="9" t="s">
        <v>62</v>
      </c>
      <c r="X384" s="9" t="s">
        <v>62</v>
      </c>
      <c r="Y384" s="9" t="s">
        <v>62</v>
      </c>
      <c r="Z384" s="9" t="s">
        <v>62</v>
      </c>
      <c r="AA384" s="9" t="s">
        <v>62</v>
      </c>
      <c r="AB384" s="9" t="s">
        <v>140</v>
      </c>
      <c r="AC384" s="9" t="s">
        <v>1689</v>
      </c>
    </row>
    <row r="385" spans="1:29" ht="13.9">
      <c r="A385" s="9" t="s">
        <v>52</v>
      </c>
      <c r="B385" s="9" t="s">
        <v>87</v>
      </c>
      <c r="C385" s="9" t="s">
        <v>2196</v>
      </c>
      <c r="D385" s="9" t="s">
        <v>622</v>
      </c>
      <c r="E385" s="9" t="s">
        <v>2416</v>
      </c>
      <c r="F385" s="9" t="s">
        <v>215</v>
      </c>
      <c r="G385" s="9" t="s">
        <v>79</v>
      </c>
      <c r="H385" s="9" t="s">
        <v>2731</v>
      </c>
      <c r="I385" s="9" t="s">
        <v>2732</v>
      </c>
      <c r="J385" s="9">
        <v>361797</v>
      </c>
      <c r="K385" s="9">
        <v>28</v>
      </c>
      <c r="L385" s="9">
        <v>11773</v>
      </c>
      <c r="M385" s="9">
        <f t="shared" si="14"/>
        <v>350024</v>
      </c>
      <c r="N385" s="9" t="s">
        <v>97</v>
      </c>
      <c r="O385" s="9" t="s">
        <v>98</v>
      </c>
      <c r="P385" s="9">
        <v>321.19</v>
      </c>
      <c r="Q385" s="9">
        <v>0.83</v>
      </c>
      <c r="R385" s="9" t="s">
        <v>2436</v>
      </c>
      <c r="S385" s="9" t="s">
        <v>79</v>
      </c>
      <c r="T385" s="9" t="s">
        <v>79</v>
      </c>
      <c r="U385" s="9" t="s">
        <v>79</v>
      </c>
      <c r="V385" s="9" t="s">
        <v>62</v>
      </c>
      <c r="W385" s="9" t="s">
        <v>62</v>
      </c>
      <c r="X385" s="9" t="s">
        <v>62</v>
      </c>
      <c r="Y385" s="9" t="s">
        <v>62</v>
      </c>
      <c r="Z385" s="9" t="s">
        <v>62</v>
      </c>
      <c r="AA385" s="9" t="s">
        <v>62</v>
      </c>
      <c r="AB385" s="9" t="s">
        <v>140</v>
      </c>
      <c r="AC385" s="9" t="s">
        <v>1689</v>
      </c>
    </row>
    <row r="386" spans="1:29" ht="13.9">
      <c r="A386" s="9" t="s">
        <v>52</v>
      </c>
      <c r="B386" s="9" t="s">
        <v>87</v>
      </c>
      <c r="C386" s="9" t="s">
        <v>2196</v>
      </c>
      <c r="D386" s="9" t="s">
        <v>622</v>
      </c>
      <c r="E386" s="9" t="s">
        <v>2420</v>
      </c>
      <c r="F386" s="9" t="s">
        <v>215</v>
      </c>
      <c r="G386" s="9" t="s">
        <v>79</v>
      </c>
      <c r="H386" s="9" t="s">
        <v>2733</v>
      </c>
      <c r="I386" s="9" t="s">
        <v>2734</v>
      </c>
      <c r="J386" s="9">
        <v>361797</v>
      </c>
      <c r="K386" s="9">
        <v>28</v>
      </c>
      <c r="L386" s="9">
        <v>25915</v>
      </c>
      <c r="M386" s="9">
        <f t="shared" si="14"/>
        <v>335882</v>
      </c>
      <c r="N386" s="9" t="s">
        <v>97</v>
      </c>
      <c r="O386" s="9" t="s">
        <v>98</v>
      </c>
      <c r="P386" s="9">
        <v>318.8</v>
      </c>
      <c r="Q386" s="9">
        <v>0.82</v>
      </c>
      <c r="R386" s="9" t="s">
        <v>2440</v>
      </c>
      <c r="S386" s="9" t="s">
        <v>79</v>
      </c>
      <c r="T386" s="9" t="s">
        <v>79</v>
      </c>
      <c r="U386" s="9" t="s">
        <v>79</v>
      </c>
      <c r="V386" s="9" t="s">
        <v>62</v>
      </c>
      <c r="W386" s="9" t="s">
        <v>62</v>
      </c>
      <c r="X386" s="9" t="s">
        <v>62</v>
      </c>
      <c r="Y386" s="9" t="s">
        <v>62</v>
      </c>
      <c r="Z386" s="9" t="s">
        <v>62</v>
      </c>
      <c r="AA386" s="9" t="s">
        <v>62</v>
      </c>
      <c r="AB386" s="9" t="s">
        <v>140</v>
      </c>
      <c r="AC386" s="9" t="s">
        <v>1689</v>
      </c>
    </row>
    <row r="387" spans="1:29" ht="13.9">
      <c r="A387" s="9" t="s">
        <v>52</v>
      </c>
      <c r="B387" s="9" t="s">
        <v>87</v>
      </c>
      <c r="C387" s="9" t="s">
        <v>74</v>
      </c>
      <c r="D387" s="9" t="s">
        <v>246</v>
      </c>
      <c r="E387" s="9" t="s">
        <v>2404</v>
      </c>
      <c r="F387" s="9" t="s">
        <v>248</v>
      </c>
      <c r="G387" s="9" t="s">
        <v>79</v>
      </c>
      <c r="H387" s="9" t="s">
        <v>2735</v>
      </c>
      <c r="I387" s="9" t="s">
        <v>1264</v>
      </c>
      <c r="J387" s="9">
        <v>218792</v>
      </c>
      <c r="K387" s="9">
        <v>15</v>
      </c>
      <c r="L387" s="9">
        <v>21012</v>
      </c>
      <c r="M387" s="9">
        <v>197780</v>
      </c>
      <c r="N387" s="9" t="s">
        <v>97</v>
      </c>
      <c r="O387" s="9" t="s">
        <v>98</v>
      </c>
      <c r="P387" s="9">
        <v>71.63</v>
      </c>
      <c r="Q387" s="9">
        <v>1.07</v>
      </c>
      <c r="R387" s="9" t="s">
        <v>2442</v>
      </c>
      <c r="S387" s="9">
        <v>0.75</v>
      </c>
      <c r="T387" s="9" t="s">
        <v>1321</v>
      </c>
      <c r="U387" s="9" t="s">
        <v>1321</v>
      </c>
      <c r="V387" s="9">
        <v>0.96</v>
      </c>
      <c r="W387" s="9" t="s">
        <v>2443</v>
      </c>
      <c r="X387" s="9">
        <v>0.87</v>
      </c>
      <c r="Y387" s="9">
        <v>0.55000000000000004</v>
      </c>
      <c r="Z387" s="9" t="s">
        <v>2444</v>
      </c>
      <c r="AA387" s="9">
        <v>0.52</v>
      </c>
      <c r="AB387" s="9" t="s">
        <v>140</v>
      </c>
      <c r="AC387" s="9" t="s">
        <v>1689</v>
      </c>
    </row>
    <row r="388" spans="1:29" ht="13.9">
      <c r="A388" s="9" t="s">
        <v>52</v>
      </c>
      <c r="B388" s="9" t="s">
        <v>87</v>
      </c>
      <c r="C388" s="9" t="s">
        <v>74</v>
      </c>
      <c r="D388" s="9" t="s">
        <v>246</v>
      </c>
      <c r="E388" s="9" t="s">
        <v>2408</v>
      </c>
      <c r="F388" s="9" t="s">
        <v>248</v>
      </c>
      <c r="G388" s="9" t="s">
        <v>79</v>
      </c>
      <c r="H388" s="9" t="s">
        <v>2736</v>
      </c>
      <c r="I388" s="9" t="s">
        <v>1264</v>
      </c>
      <c r="J388" s="9">
        <v>212947</v>
      </c>
      <c r="K388" s="9">
        <v>15</v>
      </c>
      <c r="L388" s="9">
        <v>12632</v>
      </c>
      <c r="M388" s="9">
        <v>200315</v>
      </c>
      <c r="N388" s="9" t="s">
        <v>97</v>
      </c>
      <c r="O388" s="9" t="s">
        <v>98</v>
      </c>
      <c r="P388" s="9">
        <v>71.63</v>
      </c>
      <c r="Q388" s="9">
        <v>1.03</v>
      </c>
      <c r="R388" s="9" t="s">
        <v>2447</v>
      </c>
      <c r="S388" s="9">
        <v>0.9</v>
      </c>
      <c r="T388" s="9" t="s">
        <v>1321</v>
      </c>
      <c r="U388" s="9" t="s">
        <v>1321</v>
      </c>
      <c r="V388" s="9">
        <v>0.85</v>
      </c>
      <c r="W388" s="9" t="s">
        <v>2448</v>
      </c>
      <c r="X388" s="9">
        <v>0.59</v>
      </c>
      <c r="Y388" s="9">
        <v>4.63</v>
      </c>
      <c r="Z388" s="9" t="s">
        <v>2449</v>
      </c>
      <c r="AA388" s="9">
        <v>0.12</v>
      </c>
      <c r="AB388" s="9" t="s">
        <v>140</v>
      </c>
      <c r="AC388" s="9" t="s">
        <v>1689</v>
      </c>
    </row>
    <row r="389" spans="1:29" ht="13.9">
      <c r="A389" s="9" t="s">
        <v>52</v>
      </c>
      <c r="B389" s="9" t="s">
        <v>87</v>
      </c>
      <c r="C389" s="9" t="s">
        <v>74</v>
      </c>
      <c r="D389" s="9" t="s">
        <v>246</v>
      </c>
      <c r="E389" s="9" t="s">
        <v>2412</v>
      </c>
      <c r="F389" s="9" t="s">
        <v>248</v>
      </c>
      <c r="G389" s="9" t="s">
        <v>79</v>
      </c>
      <c r="H389" s="9" t="s">
        <v>2737</v>
      </c>
      <c r="I389" s="9" t="s">
        <v>1264</v>
      </c>
      <c r="J389" s="9">
        <v>212774</v>
      </c>
      <c r="K389" s="9">
        <v>15</v>
      </c>
      <c r="L389" s="9">
        <v>10551</v>
      </c>
      <c r="M389" s="9">
        <v>202223</v>
      </c>
      <c r="N389" s="9" t="s">
        <v>97</v>
      </c>
      <c r="O389" s="9" t="s">
        <v>98</v>
      </c>
      <c r="P389" s="9">
        <v>71.63</v>
      </c>
      <c r="Q389" s="9">
        <v>0.88</v>
      </c>
      <c r="R389" s="9" t="s">
        <v>2451</v>
      </c>
      <c r="S389" s="9">
        <v>0.65</v>
      </c>
      <c r="T389" s="9" t="s">
        <v>1321</v>
      </c>
      <c r="U389" s="9" t="s">
        <v>1321</v>
      </c>
      <c r="V389" s="9">
        <v>0.86</v>
      </c>
      <c r="W389" s="9" t="s">
        <v>2452</v>
      </c>
      <c r="X389" s="9">
        <v>0.64</v>
      </c>
      <c r="Y389" s="9">
        <v>5.98</v>
      </c>
      <c r="Z389" s="9" t="s">
        <v>2453</v>
      </c>
      <c r="AA389" s="9">
        <v>0.08</v>
      </c>
      <c r="AB389" s="9" t="s">
        <v>140</v>
      </c>
      <c r="AC389" s="9" t="s">
        <v>1689</v>
      </c>
    </row>
    <row r="390" spans="1:29" ht="13.9">
      <c r="A390" s="9" t="s">
        <v>52</v>
      </c>
      <c r="B390" s="9" t="s">
        <v>87</v>
      </c>
      <c r="C390" s="9" t="s">
        <v>74</v>
      </c>
      <c r="D390" s="9" t="s">
        <v>246</v>
      </c>
      <c r="E390" s="9" t="s">
        <v>2416</v>
      </c>
      <c r="F390" s="9" t="s">
        <v>248</v>
      </c>
      <c r="G390" s="9" t="s">
        <v>79</v>
      </c>
      <c r="H390" s="9" t="s">
        <v>2738</v>
      </c>
      <c r="I390" s="9" t="s">
        <v>1264</v>
      </c>
      <c r="J390" s="9">
        <v>195091</v>
      </c>
      <c r="K390" s="9">
        <v>15</v>
      </c>
      <c r="L390" s="9">
        <v>23701</v>
      </c>
      <c r="M390" s="9">
        <v>171390</v>
      </c>
      <c r="N390" s="9" t="s">
        <v>97</v>
      </c>
      <c r="O390" s="9" t="s">
        <v>98</v>
      </c>
      <c r="P390" s="9">
        <v>71.63</v>
      </c>
      <c r="Q390" s="9">
        <v>1.05</v>
      </c>
      <c r="R390" s="9" t="s">
        <v>2455</v>
      </c>
      <c r="S390" s="9">
        <v>0.76</v>
      </c>
      <c r="T390" s="9" t="s">
        <v>1321</v>
      </c>
      <c r="U390" s="9" t="s">
        <v>1321</v>
      </c>
      <c r="V390" s="9">
        <v>1.17</v>
      </c>
      <c r="W390" s="9" t="s">
        <v>2456</v>
      </c>
      <c r="X390" s="9">
        <v>0.49</v>
      </c>
      <c r="Y390" s="9">
        <v>3.56</v>
      </c>
      <c r="Z390" s="9" t="s">
        <v>2457</v>
      </c>
      <c r="AA390" s="9">
        <v>0.05</v>
      </c>
      <c r="AB390" s="9" t="s">
        <v>140</v>
      </c>
      <c r="AC390" s="9" t="s">
        <v>1689</v>
      </c>
    </row>
    <row r="391" spans="1:29" ht="13.9">
      <c r="A391" s="9" t="s">
        <v>52</v>
      </c>
      <c r="B391" s="9" t="s">
        <v>87</v>
      </c>
      <c r="C391" s="9" t="s">
        <v>74</v>
      </c>
      <c r="D391" s="9" t="s">
        <v>246</v>
      </c>
      <c r="E391" s="9" t="s">
        <v>2420</v>
      </c>
      <c r="F391" s="9" t="s">
        <v>248</v>
      </c>
      <c r="G391" s="9" t="s">
        <v>79</v>
      </c>
      <c r="H391" s="9" t="s">
        <v>2739</v>
      </c>
      <c r="I391" s="9" t="s">
        <v>1264</v>
      </c>
      <c r="J391" s="9">
        <v>116926</v>
      </c>
      <c r="K391" s="9">
        <v>15</v>
      </c>
      <c r="L391" s="9">
        <v>22068</v>
      </c>
      <c r="M391" s="9">
        <v>94858</v>
      </c>
      <c r="N391" s="9" t="s">
        <v>97</v>
      </c>
      <c r="O391" s="9" t="s">
        <v>98</v>
      </c>
      <c r="P391" s="9">
        <v>71.63</v>
      </c>
      <c r="Q391" s="9">
        <v>1.22</v>
      </c>
      <c r="R391" s="9" t="s">
        <v>2459</v>
      </c>
      <c r="S391" s="9">
        <v>0.56999999999999995</v>
      </c>
      <c r="T391" s="9" t="s">
        <v>1321</v>
      </c>
      <c r="U391" s="9" t="s">
        <v>1321</v>
      </c>
      <c r="V391" s="9">
        <v>0.98</v>
      </c>
      <c r="W391" s="9" t="s">
        <v>2460</v>
      </c>
      <c r="X391" s="9">
        <v>0.96</v>
      </c>
      <c r="Y391" s="9">
        <v>4.5599999999999996</v>
      </c>
      <c r="Z391" s="9" t="s">
        <v>2461</v>
      </c>
      <c r="AA391" s="9">
        <v>0.28999999999999998</v>
      </c>
      <c r="AB391" s="9" t="s">
        <v>140</v>
      </c>
      <c r="AC391" s="9" t="s">
        <v>1689</v>
      </c>
    </row>
    <row r="392" spans="1:29" ht="13.9">
      <c r="A392" s="9" t="s">
        <v>52</v>
      </c>
      <c r="B392" s="9" t="s">
        <v>87</v>
      </c>
      <c r="C392" s="9" t="s">
        <v>74</v>
      </c>
      <c r="D392" s="9" t="s">
        <v>622</v>
      </c>
      <c r="E392" s="9" t="s">
        <v>2404</v>
      </c>
      <c r="F392" s="9" t="s">
        <v>215</v>
      </c>
      <c r="G392" s="9" t="s">
        <v>79</v>
      </c>
      <c r="H392" s="9" t="s">
        <v>2740</v>
      </c>
      <c r="I392" s="9" t="s">
        <v>1264</v>
      </c>
      <c r="J392" s="9">
        <v>218792</v>
      </c>
      <c r="K392" s="9">
        <v>27</v>
      </c>
      <c r="L392" s="9">
        <v>21012</v>
      </c>
      <c r="M392" s="9">
        <v>197780</v>
      </c>
      <c r="N392" s="9" t="s">
        <v>97</v>
      </c>
      <c r="O392" s="9" t="s">
        <v>98</v>
      </c>
      <c r="P392" s="9">
        <v>101.62</v>
      </c>
      <c r="Q392" s="9">
        <v>1.06</v>
      </c>
      <c r="R392" s="9" t="s">
        <v>2463</v>
      </c>
      <c r="S392" s="9">
        <v>0.65</v>
      </c>
      <c r="T392" s="9" t="s">
        <v>1321</v>
      </c>
      <c r="U392" s="9" t="s">
        <v>1321</v>
      </c>
      <c r="V392" s="9">
        <v>1.1000000000000001</v>
      </c>
      <c r="W392" s="9" t="s">
        <v>2464</v>
      </c>
      <c r="X392" s="9">
        <v>0.57999999999999996</v>
      </c>
      <c r="Y392" s="9">
        <v>0.78</v>
      </c>
      <c r="Z392" s="9" t="s">
        <v>2465</v>
      </c>
      <c r="AA392" s="9">
        <v>0.78</v>
      </c>
      <c r="AB392" s="9" t="s">
        <v>140</v>
      </c>
      <c r="AC392" s="9" t="s">
        <v>1689</v>
      </c>
    </row>
    <row r="393" spans="1:29" ht="13.9">
      <c r="A393" s="9" t="s">
        <v>52</v>
      </c>
      <c r="B393" s="9" t="s">
        <v>87</v>
      </c>
      <c r="C393" s="9" t="s">
        <v>74</v>
      </c>
      <c r="D393" s="9" t="s">
        <v>622</v>
      </c>
      <c r="E393" s="9" t="s">
        <v>2408</v>
      </c>
      <c r="F393" s="9" t="s">
        <v>215</v>
      </c>
      <c r="G393" s="9" t="s">
        <v>79</v>
      </c>
      <c r="H393" s="9" t="s">
        <v>2741</v>
      </c>
      <c r="I393" s="9" t="s">
        <v>1264</v>
      </c>
      <c r="J393" s="9">
        <v>212947</v>
      </c>
      <c r="K393" s="9">
        <v>27</v>
      </c>
      <c r="L393" s="9">
        <v>12632</v>
      </c>
      <c r="M393" s="9">
        <v>200315</v>
      </c>
      <c r="N393" s="9" t="s">
        <v>97</v>
      </c>
      <c r="O393" s="9" t="s">
        <v>98</v>
      </c>
      <c r="P393" s="9">
        <v>101.62</v>
      </c>
      <c r="Q393" s="9">
        <v>0.85</v>
      </c>
      <c r="R393" s="9" t="s">
        <v>2467</v>
      </c>
      <c r="S393" s="9">
        <v>0.25</v>
      </c>
      <c r="T393" s="9" t="s">
        <v>1321</v>
      </c>
      <c r="U393" s="9" t="s">
        <v>1321</v>
      </c>
      <c r="V393" s="9">
        <v>0.8</v>
      </c>
      <c r="W393" s="9" t="s">
        <v>2468</v>
      </c>
      <c r="X393" s="9">
        <v>0.22</v>
      </c>
      <c r="Y393" s="9">
        <v>0.88</v>
      </c>
      <c r="Z393" s="9" t="s">
        <v>2469</v>
      </c>
      <c r="AA393" s="9">
        <v>0.9</v>
      </c>
      <c r="AB393" s="9" t="s">
        <v>140</v>
      </c>
      <c r="AC393" s="9" t="s">
        <v>1689</v>
      </c>
    </row>
    <row r="394" spans="1:29" ht="13.9">
      <c r="A394" s="9" t="s">
        <v>52</v>
      </c>
      <c r="B394" s="9" t="s">
        <v>87</v>
      </c>
      <c r="C394" s="9" t="s">
        <v>74</v>
      </c>
      <c r="D394" s="9" t="s">
        <v>622</v>
      </c>
      <c r="E394" s="9" t="s">
        <v>2412</v>
      </c>
      <c r="F394" s="9" t="s">
        <v>215</v>
      </c>
      <c r="G394" s="9" t="s">
        <v>79</v>
      </c>
      <c r="H394" s="9" t="s">
        <v>2742</v>
      </c>
      <c r="I394" s="9" t="s">
        <v>1264</v>
      </c>
      <c r="J394" s="9">
        <v>212774</v>
      </c>
      <c r="K394" s="9">
        <v>27</v>
      </c>
      <c r="L394" s="9">
        <v>10551</v>
      </c>
      <c r="M394" s="9">
        <v>202223</v>
      </c>
      <c r="N394" s="9" t="s">
        <v>97</v>
      </c>
      <c r="O394" s="9" t="s">
        <v>98</v>
      </c>
      <c r="P394" s="9">
        <v>101.62</v>
      </c>
      <c r="Q394" s="9">
        <v>0.82</v>
      </c>
      <c r="R394" s="9" t="s">
        <v>2471</v>
      </c>
      <c r="S394" s="9">
        <v>0.16</v>
      </c>
      <c r="T394" s="9" t="s">
        <v>1321</v>
      </c>
      <c r="U394" s="9" t="s">
        <v>1321</v>
      </c>
      <c r="V394" s="9">
        <v>0.84</v>
      </c>
      <c r="W394" s="9" t="s">
        <v>2472</v>
      </c>
      <c r="X394" s="9">
        <v>0.38</v>
      </c>
      <c r="Y394" s="9">
        <v>0.9</v>
      </c>
      <c r="Z394" s="9" t="s">
        <v>2473</v>
      </c>
      <c r="AA394" s="9">
        <v>0.92</v>
      </c>
      <c r="AB394" s="9" t="s">
        <v>140</v>
      </c>
      <c r="AC394" s="9" t="s">
        <v>1689</v>
      </c>
    </row>
    <row r="395" spans="1:29" ht="13.9">
      <c r="A395" s="66" t="s">
        <v>52</v>
      </c>
      <c r="B395" s="66" t="s">
        <v>87</v>
      </c>
      <c r="C395" s="66" t="s">
        <v>74</v>
      </c>
      <c r="D395" s="66" t="s">
        <v>622</v>
      </c>
      <c r="E395" s="66" t="s">
        <v>2416</v>
      </c>
      <c r="F395" s="66" t="s">
        <v>215</v>
      </c>
      <c r="G395" s="66" t="s">
        <v>79</v>
      </c>
      <c r="H395" s="66" t="s">
        <v>2743</v>
      </c>
      <c r="I395" s="66" t="s">
        <v>1264</v>
      </c>
      <c r="J395" s="66">
        <v>195091</v>
      </c>
      <c r="K395" s="66">
        <v>27</v>
      </c>
      <c r="L395" s="66">
        <v>23701</v>
      </c>
      <c r="M395" s="66">
        <v>171390</v>
      </c>
      <c r="N395" s="66" t="s">
        <v>97</v>
      </c>
      <c r="O395" s="66" t="s">
        <v>98</v>
      </c>
      <c r="P395" s="66">
        <v>101.62</v>
      </c>
      <c r="Q395" s="66">
        <v>1.1399999999999999</v>
      </c>
      <c r="R395" s="66" t="s">
        <v>2475</v>
      </c>
      <c r="S395" s="66">
        <v>0.21</v>
      </c>
      <c r="T395" s="66" t="s">
        <v>1321</v>
      </c>
      <c r="U395" s="66" t="s">
        <v>1321</v>
      </c>
      <c r="V395" s="66">
        <v>1.26</v>
      </c>
      <c r="W395" s="66" t="s">
        <v>2476</v>
      </c>
      <c r="X395" s="66">
        <v>0.12</v>
      </c>
      <c r="Y395" s="66">
        <v>0.79</v>
      </c>
      <c r="Z395" s="66" t="s">
        <v>2477</v>
      </c>
      <c r="AA395" s="66">
        <v>0.75</v>
      </c>
      <c r="AB395" s="66" t="s">
        <v>140</v>
      </c>
      <c r="AC395" s="66" t="s">
        <v>1689</v>
      </c>
    </row>
    <row r="396" spans="1:29" ht="13.9">
      <c r="A396" s="9" t="s">
        <v>52</v>
      </c>
      <c r="B396" s="9" t="s">
        <v>87</v>
      </c>
      <c r="C396" s="9" t="s">
        <v>74</v>
      </c>
      <c r="D396" s="9" t="s">
        <v>622</v>
      </c>
      <c r="E396" s="9" t="s">
        <v>2420</v>
      </c>
      <c r="F396" s="9" t="s">
        <v>215</v>
      </c>
      <c r="G396" s="9" t="s">
        <v>79</v>
      </c>
      <c r="H396" s="9" t="s">
        <v>2744</v>
      </c>
      <c r="I396" s="9" t="s">
        <v>1264</v>
      </c>
      <c r="J396" s="9">
        <v>116926</v>
      </c>
      <c r="K396" s="9">
        <v>27</v>
      </c>
      <c r="L396" s="9">
        <v>22068</v>
      </c>
      <c r="M396" s="9">
        <v>94858</v>
      </c>
      <c r="N396" s="9" t="s">
        <v>97</v>
      </c>
      <c r="O396" s="9" t="s">
        <v>98</v>
      </c>
      <c r="P396" s="9">
        <v>101.62</v>
      </c>
      <c r="Q396" s="9">
        <v>0.92</v>
      </c>
      <c r="R396" s="9" t="s">
        <v>2479</v>
      </c>
      <c r="S396" s="9">
        <v>0.68</v>
      </c>
      <c r="T396" s="9" t="s">
        <v>1321</v>
      </c>
      <c r="U396" s="9" t="s">
        <v>1321</v>
      </c>
      <c r="V396" s="9">
        <v>0.98</v>
      </c>
      <c r="W396" s="9" t="s">
        <v>2480</v>
      </c>
      <c r="X396" s="9">
        <v>0.94</v>
      </c>
      <c r="Y396" s="9">
        <v>0.03</v>
      </c>
      <c r="Z396" s="9" t="s">
        <v>2481</v>
      </c>
      <c r="AA396" s="9">
        <v>0.01</v>
      </c>
      <c r="AB396" s="9" t="s">
        <v>140</v>
      </c>
      <c r="AC396" s="9" t="s">
        <v>1689</v>
      </c>
    </row>
    <row r="397" spans="1:29" ht="13.9">
      <c r="A397" s="9" t="s">
        <v>52</v>
      </c>
      <c r="B397" s="9" t="s">
        <v>87</v>
      </c>
      <c r="C397" s="9" t="s">
        <v>74</v>
      </c>
      <c r="D397" s="9" t="s">
        <v>246</v>
      </c>
      <c r="E397" s="9" t="s">
        <v>2404</v>
      </c>
      <c r="F397" s="9" t="s">
        <v>248</v>
      </c>
      <c r="G397" s="9" t="s">
        <v>79</v>
      </c>
      <c r="H397" s="9" t="s">
        <v>2746</v>
      </c>
      <c r="I397" s="9" t="s">
        <v>2483</v>
      </c>
      <c r="J397" s="9">
        <v>184305</v>
      </c>
      <c r="K397" s="9">
        <v>15</v>
      </c>
      <c r="L397" s="9">
        <v>60801</v>
      </c>
      <c r="M397" s="9">
        <v>123504</v>
      </c>
      <c r="N397" s="9" t="s">
        <v>97</v>
      </c>
      <c r="O397" s="9" t="s">
        <v>98</v>
      </c>
      <c r="P397" s="9">
        <v>71.63</v>
      </c>
      <c r="Q397" s="9">
        <v>1.0900000000000001</v>
      </c>
      <c r="R397" s="9" t="s">
        <v>2484</v>
      </c>
      <c r="S397" s="9">
        <v>0.57999999999999996</v>
      </c>
      <c r="T397" s="9" t="s">
        <v>1321</v>
      </c>
      <c r="U397" s="9" t="s">
        <v>1321</v>
      </c>
      <c r="V397" s="9">
        <v>1.41</v>
      </c>
      <c r="W397" s="9" t="s">
        <v>2485</v>
      </c>
      <c r="X397" s="9">
        <v>0.08</v>
      </c>
      <c r="Y397" s="9">
        <v>0.81</v>
      </c>
      <c r="Z397" s="9" t="s">
        <v>2486</v>
      </c>
      <c r="AA397" s="9">
        <v>0.75</v>
      </c>
      <c r="AB397" s="9" t="s">
        <v>140</v>
      </c>
      <c r="AC397" s="9" t="s">
        <v>1689</v>
      </c>
    </row>
    <row r="398" spans="1:29" ht="13.9">
      <c r="A398" s="9" t="s">
        <v>52</v>
      </c>
      <c r="B398" s="9" t="s">
        <v>87</v>
      </c>
      <c r="C398" s="9" t="s">
        <v>74</v>
      </c>
      <c r="D398" s="9" t="s">
        <v>246</v>
      </c>
      <c r="E398" s="9" t="s">
        <v>2408</v>
      </c>
      <c r="F398" s="9" t="s">
        <v>248</v>
      </c>
      <c r="G398" s="9" t="s">
        <v>79</v>
      </c>
      <c r="H398" s="9" t="s">
        <v>2747</v>
      </c>
      <c r="I398" s="9" t="s">
        <v>2488</v>
      </c>
      <c r="J398" s="9">
        <v>446696</v>
      </c>
      <c r="K398" s="9">
        <v>15</v>
      </c>
      <c r="L398" s="9">
        <v>40585</v>
      </c>
      <c r="M398" s="9">
        <v>406111</v>
      </c>
      <c r="N398" s="9" t="s">
        <v>97</v>
      </c>
      <c r="O398" s="9" t="s">
        <v>98</v>
      </c>
      <c r="P398" s="9">
        <v>71.63</v>
      </c>
      <c r="Q398" s="9">
        <v>0.99</v>
      </c>
      <c r="R398" s="9" t="s">
        <v>2489</v>
      </c>
      <c r="S398" s="9">
        <v>0.96</v>
      </c>
      <c r="T398" s="9" t="s">
        <v>1321</v>
      </c>
      <c r="U398" s="9" t="s">
        <v>1321</v>
      </c>
      <c r="V398" s="9">
        <v>0.74</v>
      </c>
      <c r="W398" s="9" t="s">
        <v>2490</v>
      </c>
      <c r="X398" s="9">
        <v>0.11</v>
      </c>
      <c r="Y398" s="9">
        <v>0.63</v>
      </c>
      <c r="Z398" s="9" t="s">
        <v>2491</v>
      </c>
      <c r="AA398" s="9">
        <v>0.46</v>
      </c>
      <c r="AB398" s="9" t="s">
        <v>140</v>
      </c>
      <c r="AC398" s="9" t="s">
        <v>1689</v>
      </c>
    </row>
    <row r="399" spans="1:29" ht="13.9">
      <c r="A399" s="9" t="s">
        <v>52</v>
      </c>
      <c r="B399" s="9" t="s">
        <v>87</v>
      </c>
      <c r="C399" s="9" t="s">
        <v>74</v>
      </c>
      <c r="D399" s="9" t="s">
        <v>246</v>
      </c>
      <c r="E399" s="9" t="s">
        <v>2412</v>
      </c>
      <c r="F399" s="9" t="s">
        <v>248</v>
      </c>
      <c r="G399" s="9" t="s">
        <v>79</v>
      </c>
      <c r="H399" s="9" t="s">
        <v>2748</v>
      </c>
      <c r="I399" s="9" t="s">
        <v>2488</v>
      </c>
      <c r="J399" s="9">
        <v>440328</v>
      </c>
      <c r="K399" s="9">
        <v>15</v>
      </c>
      <c r="L399" s="9">
        <v>34217</v>
      </c>
      <c r="M399" s="9">
        <v>406111</v>
      </c>
      <c r="N399" s="9" t="s">
        <v>97</v>
      </c>
      <c r="O399" s="9" t="s">
        <v>98</v>
      </c>
      <c r="P399" s="9">
        <v>71.63</v>
      </c>
      <c r="Q399" s="9">
        <v>0.96</v>
      </c>
      <c r="R399" s="9" t="s">
        <v>2493</v>
      </c>
      <c r="S399" s="9">
        <v>0.82</v>
      </c>
      <c r="T399" s="9" t="s">
        <v>1321</v>
      </c>
      <c r="U399" s="9" t="s">
        <v>1321</v>
      </c>
      <c r="V399" s="9">
        <v>0.75</v>
      </c>
      <c r="W399" s="9" t="s">
        <v>2494</v>
      </c>
      <c r="X399" s="9">
        <v>0.18</v>
      </c>
      <c r="Y399" s="9">
        <v>0.38</v>
      </c>
      <c r="Z399" s="9" t="s">
        <v>2495</v>
      </c>
      <c r="AA399" s="9">
        <v>0.16</v>
      </c>
      <c r="AB399" s="9" t="s">
        <v>140</v>
      </c>
      <c r="AC399" s="9" t="s">
        <v>1689</v>
      </c>
    </row>
    <row r="400" spans="1:29" ht="13.9">
      <c r="A400" s="9" t="s">
        <v>52</v>
      </c>
      <c r="B400" s="9" t="s">
        <v>87</v>
      </c>
      <c r="C400" s="9" t="s">
        <v>74</v>
      </c>
      <c r="D400" s="9" t="s">
        <v>246</v>
      </c>
      <c r="E400" s="9" t="s">
        <v>2416</v>
      </c>
      <c r="F400" s="9" t="s">
        <v>248</v>
      </c>
      <c r="G400" s="9" t="s">
        <v>79</v>
      </c>
      <c r="H400" s="9" t="s">
        <v>2749</v>
      </c>
      <c r="I400" s="9" t="s">
        <v>2497</v>
      </c>
      <c r="J400" s="9">
        <v>977323</v>
      </c>
      <c r="K400" s="9">
        <v>15</v>
      </c>
      <c r="L400" s="9">
        <v>47309</v>
      </c>
      <c r="M400" s="9">
        <v>930014</v>
      </c>
      <c r="N400" s="9" t="s">
        <v>97</v>
      </c>
      <c r="O400" s="9" t="s">
        <v>98</v>
      </c>
      <c r="P400" s="9">
        <v>71.63</v>
      </c>
      <c r="Q400" s="9">
        <v>1.38</v>
      </c>
      <c r="R400" s="9" t="s">
        <v>2498</v>
      </c>
      <c r="S400" s="9">
        <v>0.02</v>
      </c>
      <c r="T400" s="9" t="s">
        <v>1321</v>
      </c>
      <c r="U400" s="9" t="s">
        <v>1321</v>
      </c>
      <c r="V400" s="9">
        <v>1.62</v>
      </c>
      <c r="W400" s="9" t="s">
        <v>2499</v>
      </c>
      <c r="X400" s="9">
        <v>0.01</v>
      </c>
      <c r="Y400" s="9">
        <v>1.45</v>
      </c>
      <c r="Z400" s="9" t="s">
        <v>2500</v>
      </c>
      <c r="AA400" s="9">
        <v>0.49</v>
      </c>
      <c r="AB400" s="9" t="s">
        <v>140</v>
      </c>
      <c r="AC400" s="9" t="s">
        <v>1689</v>
      </c>
    </row>
    <row r="401" spans="1:29" ht="13.9">
      <c r="A401" s="9" t="s">
        <v>52</v>
      </c>
      <c r="B401" s="9" t="s">
        <v>87</v>
      </c>
      <c r="C401" s="9" t="s">
        <v>74</v>
      </c>
      <c r="D401" s="9" t="s">
        <v>246</v>
      </c>
      <c r="E401" s="9" t="s">
        <v>2420</v>
      </c>
      <c r="F401" s="9" t="s">
        <v>248</v>
      </c>
      <c r="G401" s="9" t="s">
        <v>79</v>
      </c>
      <c r="H401" s="9" t="s">
        <v>2750</v>
      </c>
      <c r="I401" s="9" t="s">
        <v>2502</v>
      </c>
      <c r="J401" s="9">
        <v>1030836</v>
      </c>
      <c r="K401" s="9">
        <v>15</v>
      </c>
      <c r="L401" s="9">
        <v>60662</v>
      </c>
      <c r="M401" s="9">
        <v>970174</v>
      </c>
      <c r="N401" s="9" t="s">
        <v>97</v>
      </c>
      <c r="O401" s="9" t="s">
        <v>98</v>
      </c>
      <c r="P401" s="9">
        <v>71.63</v>
      </c>
      <c r="Q401" s="9">
        <v>0.98</v>
      </c>
      <c r="R401" s="9" t="s">
        <v>2503</v>
      </c>
      <c r="S401" s="9">
        <v>0.84</v>
      </c>
      <c r="T401" s="9" t="s">
        <v>1321</v>
      </c>
      <c r="U401" s="9" t="s">
        <v>1321</v>
      </c>
      <c r="V401" s="9">
        <v>0.87</v>
      </c>
      <c r="W401" s="9" t="s">
        <v>2504</v>
      </c>
      <c r="X401" s="9">
        <v>0.28999999999999998</v>
      </c>
      <c r="Y401" s="9">
        <v>0.83</v>
      </c>
      <c r="Z401" s="9" t="s">
        <v>2505</v>
      </c>
      <c r="AA401" s="9">
        <v>0.67</v>
      </c>
      <c r="AB401" s="9" t="s">
        <v>140</v>
      </c>
      <c r="AC401" s="9" t="s">
        <v>1689</v>
      </c>
    </row>
    <row r="402" spans="1:29" ht="13.9">
      <c r="A402" s="9" t="s">
        <v>52</v>
      </c>
      <c r="B402" s="9" t="s">
        <v>87</v>
      </c>
      <c r="C402" s="9" t="s">
        <v>74</v>
      </c>
      <c r="D402" s="9" t="s">
        <v>622</v>
      </c>
      <c r="E402" s="9" t="s">
        <v>2404</v>
      </c>
      <c r="F402" s="9" t="s">
        <v>215</v>
      </c>
      <c r="G402" s="9" t="s">
        <v>79</v>
      </c>
      <c r="H402" s="9" t="s">
        <v>2751</v>
      </c>
      <c r="I402" s="9" t="s">
        <v>2483</v>
      </c>
      <c r="J402" s="9">
        <v>184305</v>
      </c>
      <c r="K402" s="9">
        <v>28</v>
      </c>
      <c r="L402" s="9">
        <v>60801</v>
      </c>
      <c r="M402" s="9">
        <v>123504</v>
      </c>
      <c r="N402" s="9" t="s">
        <v>97</v>
      </c>
      <c r="O402" s="9" t="s">
        <v>98</v>
      </c>
      <c r="P402" s="9">
        <v>101.43</v>
      </c>
      <c r="Q402" s="9">
        <v>0.88</v>
      </c>
      <c r="R402" s="9" t="s">
        <v>2507</v>
      </c>
      <c r="S402" s="9">
        <v>0.21</v>
      </c>
      <c r="T402" s="9" t="s">
        <v>1321</v>
      </c>
      <c r="U402" s="9" t="s">
        <v>1321</v>
      </c>
      <c r="V402" s="9">
        <v>0.82</v>
      </c>
      <c r="W402" s="9" t="s">
        <v>2508</v>
      </c>
      <c r="X402" s="9">
        <v>0.13</v>
      </c>
      <c r="Y402" s="9">
        <v>0.83</v>
      </c>
      <c r="Z402" s="9" t="s">
        <v>2509</v>
      </c>
      <c r="AA402" s="9">
        <v>0.8</v>
      </c>
      <c r="AB402" s="9" t="s">
        <v>140</v>
      </c>
      <c r="AC402" s="9" t="s">
        <v>1689</v>
      </c>
    </row>
    <row r="403" spans="1:29" ht="13.9">
      <c r="A403" s="9" t="s">
        <v>52</v>
      </c>
      <c r="B403" s="9" t="s">
        <v>87</v>
      </c>
      <c r="C403" s="9" t="s">
        <v>74</v>
      </c>
      <c r="D403" s="9" t="s">
        <v>622</v>
      </c>
      <c r="E403" s="9" t="s">
        <v>2408</v>
      </c>
      <c r="F403" s="9" t="s">
        <v>215</v>
      </c>
      <c r="G403" s="9" t="s">
        <v>79</v>
      </c>
      <c r="H403" s="9" t="s">
        <v>2752</v>
      </c>
      <c r="I403" s="9" t="s">
        <v>2488</v>
      </c>
      <c r="J403" s="9">
        <v>446696</v>
      </c>
      <c r="K403" s="9">
        <v>28</v>
      </c>
      <c r="L403" s="9">
        <v>40585</v>
      </c>
      <c r="M403" s="9">
        <v>406111</v>
      </c>
      <c r="N403" s="9" t="s">
        <v>97</v>
      </c>
      <c r="O403" s="9" t="s">
        <v>98</v>
      </c>
      <c r="P403" s="9">
        <v>101.43</v>
      </c>
      <c r="Q403" s="9">
        <v>0.91</v>
      </c>
      <c r="R403" s="9" t="s">
        <v>2511</v>
      </c>
      <c r="S403" s="9">
        <v>0.25</v>
      </c>
      <c r="T403" s="9" t="s">
        <v>1321</v>
      </c>
      <c r="U403" s="9" t="s">
        <v>1321</v>
      </c>
      <c r="V403" s="9">
        <v>0.91</v>
      </c>
      <c r="W403" s="9" t="s">
        <v>2512</v>
      </c>
      <c r="X403" s="9">
        <v>0.4</v>
      </c>
      <c r="Y403" s="9">
        <v>0.61</v>
      </c>
      <c r="Z403" s="9" t="s">
        <v>2513</v>
      </c>
      <c r="AA403" s="9">
        <v>0.38</v>
      </c>
      <c r="AB403" s="9" t="s">
        <v>140</v>
      </c>
      <c r="AC403" s="9" t="s">
        <v>1689</v>
      </c>
    </row>
    <row r="404" spans="1:29" ht="13.9">
      <c r="A404" s="9" t="s">
        <v>52</v>
      </c>
      <c r="B404" s="9" t="s">
        <v>87</v>
      </c>
      <c r="C404" s="9" t="s">
        <v>74</v>
      </c>
      <c r="D404" s="9" t="s">
        <v>622</v>
      </c>
      <c r="E404" s="9" t="s">
        <v>2412</v>
      </c>
      <c r="F404" s="9" t="s">
        <v>215</v>
      </c>
      <c r="G404" s="9" t="s">
        <v>79</v>
      </c>
      <c r="H404" s="9" t="s">
        <v>2753</v>
      </c>
      <c r="I404" s="9" t="s">
        <v>2488</v>
      </c>
      <c r="J404" s="9">
        <v>440328</v>
      </c>
      <c r="K404" s="9">
        <v>28</v>
      </c>
      <c r="L404" s="9">
        <v>34217</v>
      </c>
      <c r="M404" s="9">
        <v>406111</v>
      </c>
      <c r="N404" s="9" t="s">
        <v>97</v>
      </c>
      <c r="O404" s="9" t="s">
        <v>98</v>
      </c>
      <c r="P404" s="9">
        <v>101.43</v>
      </c>
      <c r="Q404" s="9">
        <v>0.94</v>
      </c>
      <c r="R404" s="9" t="s">
        <v>2515</v>
      </c>
      <c r="S404" s="9">
        <v>0.51</v>
      </c>
      <c r="T404" s="9" t="s">
        <v>1321</v>
      </c>
      <c r="U404" s="9" t="s">
        <v>1321</v>
      </c>
      <c r="V404" s="9">
        <v>1.1200000000000001</v>
      </c>
      <c r="W404" s="9" t="s">
        <v>2516</v>
      </c>
      <c r="X404" s="9">
        <v>0.37</v>
      </c>
      <c r="Y404" s="9">
        <v>0.67</v>
      </c>
      <c r="Z404" s="9" t="s">
        <v>2517</v>
      </c>
      <c r="AA404" s="9">
        <v>0.52</v>
      </c>
      <c r="AB404" s="9" t="s">
        <v>140</v>
      </c>
      <c r="AC404" s="9" t="s">
        <v>1689</v>
      </c>
    </row>
    <row r="405" spans="1:29" ht="13.9">
      <c r="A405" s="9" t="s">
        <v>52</v>
      </c>
      <c r="B405" s="9" t="s">
        <v>87</v>
      </c>
      <c r="C405" s="9" t="s">
        <v>74</v>
      </c>
      <c r="D405" s="9" t="s">
        <v>622</v>
      </c>
      <c r="E405" s="9" t="s">
        <v>2416</v>
      </c>
      <c r="F405" s="9" t="s">
        <v>215</v>
      </c>
      <c r="G405" s="9" t="s">
        <v>79</v>
      </c>
      <c r="H405" s="9" t="s">
        <v>2754</v>
      </c>
      <c r="I405" s="9" t="s">
        <v>2497</v>
      </c>
      <c r="J405" s="9">
        <v>977323</v>
      </c>
      <c r="K405" s="9">
        <v>28</v>
      </c>
      <c r="L405" s="9">
        <v>47309</v>
      </c>
      <c r="M405" s="9">
        <v>930014</v>
      </c>
      <c r="N405" s="9" t="s">
        <v>97</v>
      </c>
      <c r="O405" s="9" t="s">
        <v>98</v>
      </c>
      <c r="P405" s="9">
        <v>101.43</v>
      </c>
      <c r="Q405" s="9">
        <v>1.0900000000000001</v>
      </c>
      <c r="R405" s="9" t="s">
        <v>2519</v>
      </c>
      <c r="S405" s="9">
        <v>0.25</v>
      </c>
      <c r="T405" s="9" t="s">
        <v>1321</v>
      </c>
      <c r="U405" s="9" t="s">
        <v>1321</v>
      </c>
      <c r="V405" s="9">
        <v>1.1000000000000001</v>
      </c>
      <c r="W405" s="9" t="s">
        <v>2520</v>
      </c>
      <c r="X405" s="9">
        <v>0.34</v>
      </c>
      <c r="Y405" s="9">
        <v>0.79</v>
      </c>
      <c r="Z405" s="9" t="s">
        <v>2521</v>
      </c>
      <c r="AA405" s="9">
        <v>0.65</v>
      </c>
      <c r="AB405" s="9" t="s">
        <v>140</v>
      </c>
      <c r="AC405" s="9" t="s">
        <v>1689</v>
      </c>
    </row>
    <row r="406" spans="1:29" ht="13.9">
      <c r="A406" s="9" t="s">
        <v>52</v>
      </c>
      <c r="B406" s="9" t="s">
        <v>87</v>
      </c>
      <c r="C406" s="9" t="s">
        <v>74</v>
      </c>
      <c r="D406" s="9" t="s">
        <v>622</v>
      </c>
      <c r="E406" s="9" t="s">
        <v>2420</v>
      </c>
      <c r="F406" s="9" t="s">
        <v>215</v>
      </c>
      <c r="G406" s="9" t="s">
        <v>79</v>
      </c>
      <c r="H406" s="9" t="s">
        <v>2755</v>
      </c>
      <c r="I406" s="9" t="s">
        <v>834</v>
      </c>
      <c r="J406" s="9">
        <v>1030836</v>
      </c>
      <c r="K406" s="9">
        <v>28</v>
      </c>
      <c r="L406" s="9">
        <v>60662</v>
      </c>
      <c r="M406" s="9">
        <v>970174</v>
      </c>
      <c r="N406" s="9" t="s">
        <v>97</v>
      </c>
      <c r="O406" s="9" t="s">
        <v>98</v>
      </c>
      <c r="P406" s="9">
        <v>101.43</v>
      </c>
      <c r="Q406" s="9">
        <v>1.03</v>
      </c>
      <c r="R406" s="9" t="s">
        <v>2524</v>
      </c>
      <c r="S406" s="9">
        <v>0.78</v>
      </c>
      <c r="T406" s="9" t="s">
        <v>1321</v>
      </c>
      <c r="U406" s="9" t="s">
        <v>1321</v>
      </c>
      <c r="V406" s="9">
        <v>1.26</v>
      </c>
      <c r="W406" s="9" t="s">
        <v>2525</v>
      </c>
      <c r="X406" s="9">
        <v>0.04</v>
      </c>
      <c r="Y406" s="9">
        <v>0.76</v>
      </c>
      <c r="Z406" s="9" t="s">
        <v>2526</v>
      </c>
      <c r="AA406" s="9">
        <v>0.72</v>
      </c>
      <c r="AB406" s="9" t="s">
        <v>140</v>
      </c>
      <c r="AC406" s="9" t="s">
        <v>1689</v>
      </c>
    </row>
    <row r="407" spans="1:29" ht="13.9">
      <c r="A407" s="5" t="s">
        <v>70</v>
      </c>
      <c r="B407" s="5" t="s">
        <v>177</v>
      </c>
      <c r="C407" s="5" t="s">
        <v>74</v>
      </c>
      <c r="D407" s="5" t="s">
        <v>246</v>
      </c>
      <c r="E407" s="5" t="s">
        <v>2056</v>
      </c>
      <c r="F407" s="5" t="s">
        <v>248</v>
      </c>
      <c r="G407" s="5" t="s">
        <v>2058</v>
      </c>
      <c r="H407" s="5" t="s">
        <v>133</v>
      </c>
      <c r="I407" s="5" t="s">
        <v>2059</v>
      </c>
      <c r="J407" s="5" t="s">
        <v>79</v>
      </c>
      <c r="K407" s="5" t="s">
        <v>79</v>
      </c>
      <c r="L407" s="5">
        <v>3751</v>
      </c>
      <c r="M407" s="5">
        <v>372016</v>
      </c>
      <c r="N407" s="5" t="s">
        <v>97</v>
      </c>
      <c r="O407" s="5" t="s">
        <v>98</v>
      </c>
      <c r="P407" s="5" t="s">
        <v>79</v>
      </c>
      <c r="Q407" s="5">
        <v>1.0009999999999999</v>
      </c>
      <c r="R407" s="5" t="s">
        <v>2527</v>
      </c>
      <c r="S407" s="5">
        <v>0.82899999999999996</v>
      </c>
      <c r="T407" s="5" t="s">
        <v>79</v>
      </c>
      <c r="U407" s="5" t="s">
        <v>79</v>
      </c>
      <c r="V407" s="3" t="s">
        <v>2756</v>
      </c>
      <c r="W407" s="3" t="s">
        <v>2757</v>
      </c>
      <c r="X407" s="3">
        <v>0.73591176199999997</v>
      </c>
      <c r="Y407" s="3">
        <v>-1.9011318999999999E-2</v>
      </c>
      <c r="Z407" s="3" t="s">
        <v>2758</v>
      </c>
      <c r="AA407" s="3">
        <v>0.78200278099999998</v>
      </c>
      <c r="AB407" s="5" t="s">
        <v>140</v>
      </c>
      <c r="AC407" s="5" t="s">
        <v>204</v>
      </c>
    </row>
    <row r="408" spans="1:29" ht="13.9">
      <c r="A408" s="5" t="s">
        <v>70</v>
      </c>
      <c r="B408" s="5" t="s">
        <v>177</v>
      </c>
      <c r="C408" s="5" t="s">
        <v>74</v>
      </c>
      <c r="D408" s="5" t="s">
        <v>459</v>
      </c>
      <c r="E408" s="5" t="s">
        <v>2056</v>
      </c>
      <c r="F408" s="5" t="s">
        <v>2528</v>
      </c>
      <c r="G408" s="5" t="s">
        <v>2058</v>
      </c>
      <c r="H408" s="5" t="s">
        <v>133</v>
      </c>
      <c r="I408" s="5" t="s">
        <v>2059</v>
      </c>
      <c r="J408" s="5" t="s">
        <v>79</v>
      </c>
      <c r="K408" s="5" t="s">
        <v>79</v>
      </c>
      <c r="L408" s="5">
        <v>3751</v>
      </c>
      <c r="M408" s="5">
        <v>372016</v>
      </c>
      <c r="N408" s="5" t="s">
        <v>97</v>
      </c>
      <c r="O408" s="5" t="s">
        <v>98</v>
      </c>
      <c r="P408" s="5" t="s">
        <v>79</v>
      </c>
      <c r="Q408" s="5">
        <v>0.996</v>
      </c>
      <c r="R408" s="5" t="s">
        <v>2529</v>
      </c>
      <c r="S408" s="5">
        <v>0.53500000000000003</v>
      </c>
      <c r="T408" s="5" t="s">
        <v>79</v>
      </c>
      <c r="U408" s="5" t="s">
        <v>79</v>
      </c>
      <c r="V408" s="3" t="s">
        <v>2759</v>
      </c>
      <c r="W408" s="3" t="s">
        <v>2760</v>
      </c>
      <c r="X408" s="3">
        <v>0.263494907</v>
      </c>
      <c r="Y408" s="3">
        <v>-8.1910920000000005E-3</v>
      </c>
      <c r="Z408" s="3" t="s">
        <v>2761</v>
      </c>
      <c r="AA408" s="3">
        <v>0.79308852600000002</v>
      </c>
      <c r="AB408" s="5" t="s">
        <v>140</v>
      </c>
      <c r="AC408" s="5" t="s">
        <v>204</v>
      </c>
    </row>
    <row r="409" spans="1:29" ht="13.9">
      <c r="A409" s="5" t="s">
        <v>70</v>
      </c>
      <c r="B409" s="5" t="s">
        <v>177</v>
      </c>
      <c r="C409" s="5" t="s">
        <v>74</v>
      </c>
      <c r="D409" s="5" t="s">
        <v>75</v>
      </c>
      <c r="E409" s="5" t="s">
        <v>2056</v>
      </c>
      <c r="F409" s="5" t="s">
        <v>2057</v>
      </c>
      <c r="G409" s="5" t="s">
        <v>2058</v>
      </c>
      <c r="H409" s="5" t="s">
        <v>133</v>
      </c>
      <c r="I409" s="5" t="s">
        <v>2059</v>
      </c>
      <c r="J409" s="5" t="s">
        <v>79</v>
      </c>
      <c r="K409" s="5" t="s">
        <v>79</v>
      </c>
      <c r="L409" s="5">
        <v>3751</v>
      </c>
      <c r="M409" s="5">
        <v>372016</v>
      </c>
      <c r="N409" s="5" t="s">
        <v>97</v>
      </c>
      <c r="O409" s="5" t="s">
        <v>98</v>
      </c>
      <c r="P409" s="5" t="s">
        <v>79</v>
      </c>
      <c r="Q409" s="5">
        <v>1.004</v>
      </c>
      <c r="R409" s="5" t="s">
        <v>2060</v>
      </c>
      <c r="S409" s="5">
        <v>0.3</v>
      </c>
      <c r="T409" s="5" t="s">
        <v>79</v>
      </c>
      <c r="U409" s="5" t="s">
        <v>79</v>
      </c>
      <c r="V409" s="3" t="s">
        <v>2762</v>
      </c>
      <c r="W409" s="3" t="s">
        <v>2763</v>
      </c>
      <c r="X409" s="3">
        <v>0.88055416900000005</v>
      </c>
      <c r="Y409" s="3">
        <v>-1.9489053999999999E-2</v>
      </c>
      <c r="Z409" s="3" t="s">
        <v>2764</v>
      </c>
      <c r="AA409" s="3">
        <v>0.156360163</v>
      </c>
      <c r="AB409" s="5" t="s">
        <v>140</v>
      </c>
      <c r="AC409" s="5" t="s">
        <v>204</v>
      </c>
    </row>
    <row r="410" spans="1:29" ht="13.9">
      <c r="A410" s="5" t="s">
        <v>70</v>
      </c>
      <c r="B410" s="5" t="s">
        <v>177</v>
      </c>
      <c r="C410" s="5" t="s">
        <v>74</v>
      </c>
      <c r="D410" s="5" t="s">
        <v>164</v>
      </c>
      <c r="E410" s="5" t="s">
        <v>2056</v>
      </c>
      <c r="F410" s="5" t="s">
        <v>2530</v>
      </c>
      <c r="G410" s="5" t="s">
        <v>2058</v>
      </c>
      <c r="H410" s="5" t="s">
        <v>133</v>
      </c>
      <c r="I410" s="5" t="s">
        <v>2059</v>
      </c>
      <c r="J410" s="5" t="s">
        <v>79</v>
      </c>
      <c r="K410" s="5" t="s">
        <v>79</v>
      </c>
      <c r="L410" s="5">
        <v>3751</v>
      </c>
      <c r="M410" s="5">
        <v>372016</v>
      </c>
      <c r="N410" s="5" t="s">
        <v>97</v>
      </c>
      <c r="O410" s="5" t="s">
        <v>98</v>
      </c>
      <c r="P410" s="5" t="s">
        <v>79</v>
      </c>
      <c r="Q410" s="5">
        <v>1.0049999999999999</v>
      </c>
      <c r="R410" s="5" t="s">
        <v>2531</v>
      </c>
      <c r="S410" s="5">
        <v>0.13</v>
      </c>
      <c r="T410" s="5" t="s">
        <v>79</v>
      </c>
      <c r="U410" s="5" t="s">
        <v>79</v>
      </c>
      <c r="V410" s="3" t="s">
        <v>2765</v>
      </c>
      <c r="W410" s="3" t="s">
        <v>2766</v>
      </c>
      <c r="X410" s="3">
        <v>0.483511843</v>
      </c>
      <c r="Y410" s="3">
        <v>-8.3661740000000005E-3</v>
      </c>
      <c r="Z410" s="3" t="s">
        <v>2767</v>
      </c>
      <c r="AA410" s="3">
        <v>0.58555412500000004</v>
      </c>
      <c r="AB410" s="5" t="s">
        <v>140</v>
      </c>
      <c r="AC410" s="5" t="s">
        <v>204</v>
      </c>
    </row>
    <row r="411" spans="1:29" ht="13.9">
      <c r="A411" s="5" t="s">
        <v>70</v>
      </c>
      <c r="B411" s="5" t="s">
        <v>177</v>
      </c>
      <c r="C411" s="5" t="s">
        <v>74</v>
      </c>
      <c r="D411" s="5" t="s">
        <v>246</v>
      </c>
      <c r="E411" s="5" t="s">
        <v>2296</v>
      </c>
      <c r="F411" s="5" t="s">
        <v>248</v>
      </c>
      <c r="G411" s="5" t="s">
        <v>2297</v>
      </c>
      <c r="H411" s="5" t="s">
        <v>133</v>
      </c>
      <c r="I411" s="5" t="s">
        <v>2059</v>
      </c>
      <c r="J411" s="5" t="s">
        <v>79</v>
      </c>
      <c r="K411" s="5" t="s">
        <v>79</v>
      </c>
      <c r="L411" s="5">
        <v>23694</v>
      </c>
      <c r="M411" s="5">
        <v>372016</v>
      </c>
      <c r="N411" s="5" t="s">
        <v>97</v>
      </c>
      <c r="O411" s="5" t="s">
        <v>98</v>
      </c>
      <c r="P411" s="5" t="s">
        <v>79</v>
      </c>
      <c r="Q411" s="5">
        <v>1.002</v>
      </c>
      <c r="R411" s="5" t="s">
        <v>2532</v>
      </c>
      <c r="S411" s="5">
        <v>0.91</v>
      </c>
      <c r="T411" s="5" t="s">
        <v>79</v>
      </c>
      <c r="U411" s="5" t="s">
        <v>79</v>
      </c>
      <c r="V411" s="3" t="s">
        <v>2768</v>
      </c>
      <c r="W411" s="3" t="s">
        <v>2769</v>
      </c>
      <c r="X411" s="3">
        <v>0.67011446299999999</v>
      </c>
      <c r="Y411" s="3">
        <v>0.113575777</v>
      </c>
      <c r="Z411" s="3" t="s">
        <v>2770</v>
      </c>
      <c r="AA411" s="3">
        <v>0.65813845500000001</v>
      </c>
      <c r="AB411" s="5" t="s">
        <v>140</v>
      </c>
      <c r="AC411" s="5" t="s">
        <v>204</v>
      </c>
    </row>
    <row r="412" spans="1:29" ht="13.9">
      <c r="A412" s="5" t="s">
        <v>70</v>
      </c>
      <c r="B412" s="5" t="s">
        <v>177</v>
      </c>
      <c r="C412" s="5" t="s">
        <v>74</v>
      </c>
      <c r="D412" s="5" t="s">
        <v>459</v>
      </c>
      <c r="E412" s="5" t="s">
        <v>2296</v>
      </c>
      <c r="F412" s="5" t="s">
        <v>2528</v>
      </c>
      <c r="G412" s="5" t="s">
        <v>2297</v>
      </c>
      <c r="H412" s="5" t="s">
        <v>133</v>
      </c>
      <c r="I412" s="5" t="s">
        <v>2059</v>
      </c>
      <c r="J412" s="5" t="s">
        <v>79</v>
      </c>
      <c r="K412" s="5" t="s">
        <v>79</v>
      </c>
      <c r="L412" s="5">
        <v>23694</v>
      </c>
      <c r="M412" s="5">
        <v>372016</v>
      </c>
      <c r="N412" s="5" t="s">
        <v>97</v>
      </c>
      <c r="O412" s="5" t="s">
        <v>98</v>
      </c>
      <c r="P412" s="5" t="s">
        <v>79</v>
      </c>
      <c r="Q412" s="5">
        <v>0.95199999999999996</v>
      </c>
      <c r="R412" s="5" t="s">
        <v>2533</v>
      </c>
      <c r="S412" s="5">
        <v>7.0000000000000001E-3</v>
      </c>
      <c r="T412" s="5" t="s">
        <v>79</v>
      </c>
      <c r="U412" s="5" t="s">
        <v>79</v>
      </c>
      <c r="V412" s="3" t="s">
        <v>2771</v>
      </c>
      <c r="W412" s="3" t="s">
        <v>2772</v>
      </c>
      <c r="X412" s="3">
        <v>1.6882218000000001E-2</v>
      </c>
      <c r="Y412" s="3">
        <v>-7.3646708000000005E-2</v>
      </c>
      <c r="Z412" s="3" t="s">
        <v>2773</v>
      </c>
      <c r="AA412" s="3">
        <v>0.42118525600000001</v>
      </c>
      <c r="AB412" s="5" t="s">
        <v>140</v>
      </c>
      <c r="AC412" s="5" t="s">
        <v>204</v>
      </c>
    </row>
    <row r="413" spans="1:29" ht="13.9">
      <c r="A413" s="5" t="s">
        <v>70</v>
      </c>
      <c r="B413" s="5" t="s">
        <v>177</v>
      </c>
      <c r="C413" s="5" t="s">
        <v>74</v>
      </c>
      <c r="D413" s="5" t="s">
        <v>75</v>
      </c>
      <c r="E413" s="5" t="s">
        <v>2296</v>
      </c>
      <c r="F413" s="5" t="s">
        <v>2057</v>
      </c>
      <c r="G413" s="5" t="s">
        <v>2297</v>
      </c>
      <c r="H413" s="5" t="s">
        <v>133</v>
      </c>
      <c r="I413" s="5" t="s">
        <v>2059</v>
      </c>
      <c r="J413" s="5" t="s">
        <v>79</v>
      </c>
      <c r="K413" s="5" t="s">
        <v>79</v>
      </c>
      <c r="L413" s="5">
        <v>23694</v>
      </c>
      <c r="M413" s="5">
        <v>372016</v>
      </c>
      <c r="N413" s="5" t="s">
        <v>97</v>
      </c>
      <c r="O413" s="5" t="s">
        <v>98</v>
      </c>
      <c r="P413" s="5" t="s">
        <v>79</v>
      </c>
      <c r="Q413" s="5">
        <v>1.0009999999999999</v>
      </c>
      <c r="R413" s="5" t="s">
        <v>2298</v>
      </c>
      <c r="S413" s="5">
        <v>0.92400000000000004</v>
      </c>
      <c r="T413" s="5" t="s">
        <v>79</v>
      </c>
      <c r="U413" s="5" t="s">
        <v>79</v>
      </c>
      <c r="V413" s="3" t="s">
        <v>2774</v>
      </c>
      <c r="W413" s="3" t="s">
        <v>2775</v>
      </c>
      <c r="X413" s="3">
        <v>0.91663574299999995</v>
      </c>
      <c r="Y413" s="3">
        <v>-6.5011616999999994E-2</v>
      </c>
      <c r="Z413" s="3" t="s">
        <v>2776</v>
      </c>
      <c r="AA413" s="3">
        <v>0.12087113300000001</v>
      </c>
      <c r="AB413" s="5" t="s">
        <v>140</v>
      </c>
      <c r="AC413" s="5" t="s">
        <v>204</v>
      </c>
    </row>
    <row r="414" spans="1:29" ht="13.9">
      <c r="A414" s="5" t="s">
        <v>70</v>
      </c>
      <c r="B414" s="5" t="s">
        <v>177</v>
      </c>
      <c r="C414" s="5" t="s">
        <v>74</v>
      </c>
      <c r="D414" s="5" t="s">
        <v>164</v>
      </c>
      <c r="E414" s="5" t="s">
        <v>2296</v>
      </c>
      <c r="F414" s="5" t="s">
        <v>2530</v>
      </c>
      <c r="G414" s="5" t="s">
        <v>2297</v>
      </c>
      <c r="H414" s="5" t="s">
        <v>133</v>
      </c>
      <c r="I414" s="5" t="s">
        <v>2059</v>
      </c>
      <c r="J414" s="5" t="s">
        <v>79</v>
      </c>
      <c r="K414" s="5" t="s">
        <v>79</v>
      </c>
      <c r="L414" s="5">
        <v>23694</v>
      </c>
      <c r="M414" s="5">
        <v>372016</v>
      </c>
      <c r="N414" s="5" t="s">
        <v>97</v>
      </c>
      <c r="O414" s="5" t="s">
        <v>98</v>
      </c>
      <c r="P414" s="5" t="s">
        <v>79</v>
      </c>
      <c r="Q414" s="5">
        <v>1.0109999999999999</v>
      </c>
      <c r="R414" s="5" t="s">
        <v>2534</v>
      </c>
      <c r="S414" s="5">
        <v>0.26700000000000002</v>
      </c>
      <c r="T414" s="5" t="s">
        <v>79</v>
      </c>
      <c r="U414" s="5" t="s">
        <v>79</v>
      </c>
      <c r="V414" s="3" t="s">
        <v>2777</v>
      </c>
      <c r="W414" s="3" t="s">
        <v>2778</v>
      </c>
      <c r="X414" s="3">
        <v>0.33731993100000002</v>
      </c>
      <c r="Y414" s="3">
        <v>-5.4171433999999997E-2</v>
      </c>
      <c r="Z414" s="3" t="s">
        <v>2779</v>
      </c>
      <c r="AA414" s="3">
        <v>0.19820965600000001</v>
      </c>
      <c r="AB414" s="5" t="s">
        <v>140</v>
      </c>
      <c r="AC414" s="5" t="s">
        <v>204</v>
      </c>
    </row>
    <row r="415" spans="1:29" ht="13.9">
      <c r="A415" s="9" t="s">
        <v>70</v>
      </c>
      <c r="B415" s="9" t="s">
        <v>186</v>
      </c>
      <c r="C415" s="9" t="s">
        <v>74</v>
      </c>
      <c r="D415" s="9" t="s">
        <v>75</v>
      </c>
      <c r="E415" s="9" t="s">
        <v>652</v>
      </c>
      <c r="F415" s="9" t="s">
        <v>79</v>
      </c>
      <c r="G415" s="9" t="s">
        <v>79</v>
      </c>
      <c r="H415" s="9" t="s">
        <v>133</v>
      </c>
      <c r="I415" s="9" t="s">
        <v>218</v>
      </c>
      <c r="J415" s="3">
        <f t="shared" ref="J415:J433" si="15">SUM(L415:M415)</f>
        <v>213302</v>
      </c>
      <c r="K415" s="9" t="s">
        <v>79</v>
      </c>
      <c r="L415" s="9">
        <v>350</v>
      </c>
      <c r="M415" s="9">
        <v>212952</v>
      </c>
      <c r="N415" s="9" t="s">
        <v>79</v>
      </c>
      <c r="O415" s="9" t="s">
        <v>98</v>
      </c>
      <c r="P415" s="9" t="s">
        <v>79</v>
      </c>
      <c r="Q415" s="9">
        <v>1.96</v>
      </c>
      <c r="R415" s="9" t="s">
        <v>2536</v>
      </c>
      <c r="S415" s="9">
        <v>0.59599999999999997</v>
      </c>
      <c r="T415" s="9" t="s">
        <v>79</v>
      </c>
      <c r="U415" s="9" t="s">
        <v>79</v>
      </c>
      <c r="V415" s="9" t="s">
        <v>79</v>
      </c>
      <c r="W415" s="9" t="s">
        <v>79</v>
      </c>
      <c r="X415" s="9" t="s">
        <v>79</v>
      </c>
      <c r="Y415" s="9" t="s">
        <v>79</v>
      </c>
      <c r="Z415" s="9" t="s">
        <v>79</v>
      </c>
      <c r="AA415" s="9" t="s">
        <v>79</v>
      </c>
      <c r="AB415" s="9" t="s">
        <v>1754</v>
      </c>
      <c r="AC415" s="9" t="s">
        <v>145</v>
      </c>
    </row>
    <row r="416" spans="1:29" ht="13.9">
      <c r="A416" s="9" t="s">
        <v>70</v>
      </c>
      <c r="B416" s="9" t="s">
        <v>186</v>
      </c>
      <c r="C416" s="9" t="s">
        <v>74</v>
      </c>
      <c r="D416" s="9" t="s">
        <v>622</v>
      </c>
      <c r="E416" s="9" t="s">
        <v>652</v>
      </c>
      <c r="F416" s="9" t="s">
        <v>79</v>
      </c>
      <c r="G416" s="9" t="s">
        <v>79</v>
      </c>
      <c r="H416" s="9" t="s">
        <v>133</v>
      </c>
      <c r="I416" s="9" t="s">
        <v>218</v>
      </c>
      <c r="J416" s="3">
        <f t="shared" si="15"/>
        <v>213302</v>
      </c>
      <c r="K416" s="9" t="s">
        <v>79</v>
      </c>
      <c r="L416" s="9">
        <v>350</v>
      </c>
      <c r="M416" s="9">
        <v>212952</v>
      </c>
      <c r="N416" s="9" t="s">
        <v>79</v>
      </c>
      <c r="O416" s="9" t="s">
        <v>98</v>
      </c>
      <c r="P416" s="9" t="s">
        <v>79</v>
      </c>
      <c r="Q416" s="9">
        <v>7.73</v>
      </c>
      <c r="R416" s="9" t="s">
        <v>2537</v>
      </c>
      <c r="S416" s="9">
        <v>0.36799999999999999</v>
      </c>
      <c r="T416" s="9" t="s">
        <v>79</v>
      </c>
      <c r="U416" s="9" t="s">
        <v>79</v>
      </c>
      <c r="V416" s="9" t="s">
        <v>79</v>
      </c>
      <c r="W416" s="9" t="s">
        <v>79</v>
      </c>
      <c r="X416" s="9" t="s">
        <v>79</v>
      </c>
      <c r="Y416" s="9" t="s">
        <v>79</v>
      </c>
      <c r="Z416" s="9" t="s">
        <v>79</v>
      </c>
      <c r="AA416" s="9" t="s">
        <v>79</v>
      </c>
      <c r="AB416" s="9" t="s">
        <v>1754</v>
      </c>
      <c r="AC416" s="9" t="s">
        <v>145</v>
      </c>
    </row>
    <row r="417" spans="1:29" ht="13.9">
      <c r="A417" s="9" t="s">
        <v>70</v>
      </c>
      <c r="B417" s="9" t="s">
        <v>186</v>
      </c>
      <c r="C417" s="9" t="s">
        <v>74</v>
      </c>
      <c r="D417" s="9" t="s">
        <v>246</v>
      </c>
      <c r="E417" s="9" t="s">
        <v>652</v>
      </c>
      <c r="F417" s="9" t="s">
        <v>79</v>
      </c>
      <c r="G417" s="9" t="s">
        <v>79</v>
      </c>
      <c r="H417" s="9" t="s">
        <v>133</v>
      </c>
      <c r="I417" s="9" t="s">
        <v>218</v>
      </c>
      <c r="J417" s="3">
        <f t="shared" si="15"/>
        <v>213302</v>
      </c>
      <c r="K417" s="9" t="s">
        <v>79</v>
      </c>
      <c r="L417" s="9">
        <v>350</v>
      </c>
      <c r="M417" s="9">
        <v>212952</v>
      </c>
      <c r="N417" s="9" t="s">
        <v>79</v>
      </c>
      <c r="O417" s="9" t="s">
        <v>98</v>
      </c>
      <c r="P417" s="9" t="s">
        <v>79</v>
      </c>
      <c r="Q417" s="9">
        <v>95.12</v>
      </c>
      <c r="R417" s="9" t="s">
        <v>2538</v>
      </c>
      <c r="S417" s="9">
        <v>1.9E-2</v>
      </c>
      <c r="T417" s="9" t="s">
        <v>79</v>
      </c>
      <c r="U417" s="9" t="s">
        <v>79</v>
      </c>
      <c r="V417" s="9" t="s">
        <v>79</v>
      </c>
      <c r="W417" s="9" t="s">
        <v>79</v>
      </c>
      <c r="X417" s="9" t="s">
        <v>79</v>
      </c>
      <c r="Y417" s="9" t="s">
        <v>79</v>
      </c>
      <c r="Z417" s="9" t="s">
        <v>79</v>
      </c>
      <c r="AA417" s="9" t="s">
        <v>79</v>
      </c>
      <c r="AB417" s="9" t="s">
        <v>1754</v>
      </c>
      <c r="AC417" s="9" t="s">
        <v>145</v>
      </c>
    </row>
    <row r="418" spans="1:29" ht="13.9">
      <c r="A418" s="5" t="s">
        <v>70</v>
      </c>
      <c r="B418" s="5" t="s">
        <v>196</v>
      </c>
      <c r="C418" s="5" t="s">
        <v>74</v>
      </c>
      <c r="D418" s="5" t="s">
        <v>246</v>
      </c>
      <c r="E418" s="5" t="s">
        <v>1781</v>
      </c>
      <c r="F418" s="5" t="s">
        <v>248</v>
      </c>
      <c r="G418" s="5" t="s">
        <v>2780</v>
      </c>
      <c r="H418" s="5" t="s">
        <v>133</v>
      </c>
      <c r="I418" s="3" t="s">
        <v>256</v>
      </c>
      <c r="J418" s="3">
        <f t="shared" si="15"/>
        <v>487553</v>
      </c>
      <c r="K418" s="5">
        <v>9</v>
      </c>
      <c r="L418" s="5">
        <v>26122</v>
      </c>
      <c r="M418" s="5">
        <v>461431</v>
      </c>
      <c r="N418" s="5" t="s">
        <v>97</v>
      </c>
      <c r="O418" s="5" t="s">
        <v>98</v>
      </c>
      <c r="P418" s="5" t="s">
        <v>79</v>
      </c>
      <c r="Q418" s="5">
        <v>0.84</v>
      </c>
      <c r="R418" s="5" t="s">
        <v>2781</v>
      </c>
      <c r="S418" s="5">
        <v>0.57899999999999996</v>
      </c>
      <c r="T418" s="5" t="s">
        <v>79</v>
      </c>
      <c r="U418" s="5" t="s">
        <v>79</v>
      </c>
      <c r="V418" s="5">
        <v>0.73099999999999998</v>
      </c>
      <c r="W418" s="5" t="s">
        <v>2540</v>
      </c>
      <c r="X418" s="5">
        <v>0.43099999999999999</v>
      </c>
      <c r="Y418" s="5">
        <v>3.0000000000000001E-3</v>
      </c>
      <c r="Z418" s="5" t="s">
        <v>2541</v>
      </c>
      <c r="AA418" s="5">
        <v>0.14899999999999999</v>
      </c>
      <c r="AB418" s="5" t="s">
        <v>109</v>
      </c>
      <c r="AC418" s="5" t="s">
        <v>385</v>
      </c>
    </row>
    <row r="419" spans="1:29" ht="13.9">
      <c r="A419" s="5" t="s">
        <v>70</v>
      </c>
      <c r="B419" s="5" t="s">
        <v>196</v>
      </c>
      <c r="C419" s="5" t="s">
        <v>74</v>
      </c>
      <c r="D419" s="5" t="s">
        <v>459</v>
      </c>
      <c r="E419" s="5" t="s">
        <v>1781</v>
      </c>
      <c r="F419" s="5" t="s">
        <v>215</v>
      </c>
      <c r="G419" s="5" t="s">
        <v>2780</v>
      </c>
      <c r="H419" s="5" t="s">
        <v>133</v>
      </c>
      <c r="I419" s="3" t="s">
        <v>256</v>
      </c>
      <c r="J419" s="3">
        <f t="shared" si="15"/>
        <v>487553</v>
      </c>
      <c r="K419" s="5">
        <v>15</v>
      </c>
      <c r="L419" s="5">
        <v>26122</v>
      </c>
      <c r="M419" s="5">
        <v>461431</v>
      </c>
      <c r="N419" s="5" t="s">
        <v>97</v>
      </c>
      <c r="O419" s="5" t="s">
        <v>98</v>
      </c>
      <c r="P419" s="5" t="s">
        <v>79</v>
      </c>
      <c r="Q419" s="5">
        <v>1.26</v>
      </c>
      <c r="R419" s="5" t="s">
        <v>2542</v>
      </c>
      <c r="S419" s="5">
        <v>0.42099999999999999</v>
      </c>
      <c r="T419" s="5" t="s">
        <v>79</v>
      </c>
      <c r="U419" s="5" t="s">
        <v>79</v>
      </c>
      <c r="V419" s="5">
        <v>1.87</v>
      </c>
      <c r="W419" s="5" t="s">
        <v>2543</v>
      </c>
      <c r="X419" s="5">
        <v>0.112</v>
      </c>
      <c r="Y419" s="5">
        <v>0.91400000000000003</v>
      </c>
      <c r="Z419" s="5" t="s">
        <v>2544</v>
      </c>
      <c r="AA419" s="5">
        <v>0.94699999999999995</v>
      </c>
      <c r="AB419" s="5" t="s">
        <v>109</v>
      </c>
      <c r="AC419" s="5" t="s">
        <v>385</v>
      </c>
    </row>
    <row r="420" spans="1:29" ht="13.9">
      <c r="A420" s="5" t="s">
        <v>70</v>
      </c>
      <c r="B420" s="5" t="s">
        <v>196</v>
      </c>
      <c r="C420" s="5" t="s">
        <v>74</v>
      </c>
      <c r="D420" s="5" t="s">
        <v>75</v>
      </c>
      <c r="E420" s="5" t="s">
        <v>1781</v>
      </c>
      <c r="F420" s="5" t="s">
        <v>113</v>
      </c>
      <c r="G420" s="5" t="s">
        <v>2780</v>
      </c>
      <c r="H420" s="5" t="s">
        <v>133</v>
      </c>
      <c r="I420" s="3" t="s">
        <v>256</v>
      </c>
      <c r="J420" s="3">
        <f t="shared" si="15"/>
        <v>487553</v>
      </c>
      <c r="K420" s="5">
        <v>41</v>
      </c>
      <c r="L420" s="5">
        <v>26122</v>
      </c>
      <c r="M420" s="5">
        <v>461431</v>
      </c>
      <c r="N420" s="5" t="s">
        <v>97</v>
      </c>
      <c r="O420" s="5" t="s">
        <v>98</v>
      </c>
      <c r="P420" s="5" t="s">
        <v>79</v>
      </c>
      <c r="Q420" s="5">
        <v>0.73</v>
      </c>
      <c r="R420" s="5" t="s">
        <v>2782</v>
      </c>
      <c r="S420" s="5">
        <v>5.5E-2</v>
      </c>
      <c r="T420" s="5" t="s">
        <v>79</v>
      </c>
      <c r="U420" s="5" t="s">
        <v>79</v>
      </c>
      <c r="V420" s="5">
        <v>0.70299999999999996</v>
      </c>
      <c r="W420" s="5" t="s">
        <v>1784</v>
      </c>
      <c r="X420" s="5">
        <v>0.16500000000000001</v>
      </c>
      <c r="Y420" s="5">
        <v>0.46100000000000002</v>
      </c>
      <c r="Z420" s="5" t="s">
        <v>1785</v>
      </c>
      <c r="AA420" s="5">
        <v>0.217</v>
      </c>
      <c r="AB420" s="5" t="s">
        <v>109</v>
      </c>
      <c r="AC420" s="5" t="s">
        <v>385</v>
      </c>
    </row>
    <row r="421" spans="1:29" ht="13.9">
      <c r="A421" s="5" t="s">
        <v>70</v>
      </c>
      <c r="B421" s="5" t="s">
        <v>196</v>
      </c>
      <c r="C421" s="5" t="s">
        <v>74</v>
      </c>
      <c r="D421" s="5" t="s">
        <v>164</v>
      </c>
      <c r="E421" s="5" t="s">
        <v>1781</v>
      </c>
      <c r="F421" s="5" t="s">
        <v>165</v>
      </c>
      <c r="G421" s="5" t="s">
        <v>2780</v>
      </c>
      <c r="H421" s="5" t="s">
        <v>133</v>
      </c>
      <c r="I421" s="3" t="s">
        <v>256</v>
      </c>
      <c r="J421" s="3">
        <f t="shared" si="15"/>
        <v>487553</v>
      </c>
      <c r="K421" s="5">
        <v>32</v>
      </c>
      <c r="L421" s="5">
        <v>26122</v>
      </c>
      <c r="M421" s="5">
        <v>461431</v>
      </c>
      <c r="N421" s="5" t="s">
        <v>97</v>
      </c>
      <c r="O421" s="5" t="s">
        <v>98</v>
      </c>
      <c r="P421" s="5" t="s">
        <v>79</v>
      </c>
      <c r="Q421" s="5">
        <v>0.56999999999999995</v>
      </c>
      <c r="R421" s="5" t="s">
        <v>2546</v>
      </c>
      <c r="S421" s="5">
        <v>2E-3</v>
      </c>
      <c r="T421" s="5">
        <v>42.722999999999999</v>
      </c>
      <c r="U421" s="5">
        <v>7.8E-2</v>
      </c>
      <c r="V421" s="5">
        <v>0.59499999999999997</v>
      </c>
      <c r="W421" s="5" t="s">
        <v>2547</v>
      </c>
      <c r="X421" s="5">
        <v>1.6E-2</v>
      </c>
      <c r="Y421" s="5">
        <v>0.25800000000000001</v>
      </c>
      <c r="Z421" s="5" t="s">
        <v>2548</v>
      </c>
      <c r="AA421" s="5">
        <v>0.13</v>
      </c>
      <c r="AB421" s="5" t="s">
        <v>109</v>
      </c>
      <c r="AC421" s="5" t="s">
        <v>385</v>
      </c>
    </row>
    <row r="422" spans="1:29" ht="13.9">
      <c r="A422" s="9" t="s">
        <v>70</v>
      </c>
      <c r="B422" s="9" t="s">
        <v>199</v>
      </c>
      <c r="C422" s="9" t="s">
        <v>74</v>
      </c>
      <c r="D422" s="9" t="s">
        <v>246</v>
      </c>
      <c r="E422" s="9" t="s">
        <v>2549</v>
      </c>
      <c r="F422" s="9" t="s">
        <v>248</v>
      </c>
      <c r="G422" s="9" t="s">
        <v>2550</v>
      </c>
      <c r="H422" s="9" t="s">
        <v>133</v>
      </c>
      <c r="I422" s="9" t="s">
        <v>218</v>
      </c>
      <c r="J422" s="3">
        <f t="shared" si="15"/>
        <v>194781</v>
      </c>
      <c r="K422" s="9">
        <v>17</v>
      </c>
      <c r="L422" s="3">
        <v>4224</v>
      </c>
      <c r="M422" s="3">
        <v>190557</v>
      </c>
      <c r="N422" s="9" t="s">
        <v>97</v>
      </c>
      <c r="O422" s="9" t="s">
        <v>98</v>
      </c>
      <c r="P422" s="9">
        <v>20.818000000000001</v>
      </c>
      <c r="Q422" s="9">
        <v>2.3929999999999998</v>
      </c>
      <c r="R422" s="9" t="s">
        <v>2551</v>
      </c>
      <c r="S422" s="9">
        <v>0.13800000000000001</v>
      </c>
      <c r="T422" s="9">
        <v>15.641999999999999</v>
      </c>
      <c r="U422" s="9">
        <v>0.47799999999999998</v>
      </c>
      <c r="V422" s="9">
        <v>5.0380000000000003</v>
      </c>
      <c r="W422" s="9" t="s">
        <v>2552</v>
      </c>
      <c r="X422" s="9">
        <v>4.7E-2</v>
      </c>
      <c r="Y422" s="9">
        <v>7.0699999999999995E-4</v>
      </c>
      <c r="Z422" s="9" t="s">
        <v>2553</v>
      </c>
      <c r="AA422" s="9">
        <v>0.27900000000000003</v>
      </c>
      <c r="AB422" s="9" t="s">
        <v>109</v>
      </c>
      <c r="AC422" s="9" t="s">
        <v>145</v>
      </c>
    </row>
    <row r="423" spans="1:29" ht="13.9">
      <c r="A423" s="9" t="s">
        <v>70</v>
      </c>
      <c r="B423" s="9" t="s">
        <v>199</v>
      </c>
      <c r="C423" s="9" t="s">
        <v>74</v>
      </c>
      <c r="D423" s="9" t="s">
        <v>75</v>
      </c>
      <c r="E423" s="9" t="s">
        <v>2549</v>
      </c>
      <c r="F423" s="9" t="s">
        <v>113</v>
      </c>
      <c r="G423" s="9" t="s">
        <v>2550</v>
      </c>
      <c r="H423" s="9" t="s">
        <v>133</v>
      </c>
      <c r="I423" s="9" t="s">
        <v>218</v>
      </c>
      <c r="J423" s="3">
        <f t="shared" si="15"/>
        <v>194781</v>
      </c>
      <c r="K423" s="9">
        <v>52</v>
      </c>
      <c r="L423" s="3">
        <v>4224</v>
      </c>
      <c r="M423" s="3">
        <v>190557</v>
      </c>
      <c r="N423" s="9" t="s">
        <v>97</v>
      </c>
      <c r="O423" s="9" t="s">
        <v>98</v>
      </c>
      <c r="P423" s="9">
        <v>15.502000000000001</v>
      </c>
      <c r="Q423" s="9">
        <v>0.79500000000000004</v>
      </c>
      <c r="R423" s="9" t="s">
        <v>2554</v>
      </c>
      <c r="S423" s="9">
        <v>0.56899999999999995</v>
      </c>
      <c r="T423" s="9">
        <v>55.030999999999999</v>
      </c>
      <c r="U423" s="9">
        <v>0.32500000000000001</v>
      </c>
      <c r="V423" s="9">
        <v>0.49</v>
      </c>
      <c r="W423" s="9" t="s">
        <v>2555</v>
      </c>
      <c r="X423" s="9">
        <v>0.252</v>
      </c>
      <c r="Y423" s="9">
        <v>4.2000000000000003E-2</v>
      </c>
      <c r="Z423" s="9" t="s">
        <v>2556</v>
      </c>
      <c r="AA423" s="9">
        <v>2.01E-2</v>
      </c>
      <c r="AB423" s="9" t="s">
        <v>109</v>
      </c>
      <c r="AC423" s="9" t="s">
        <v>145</v>
      </c>
    </row>
    <row r="424" spans="1:29" ht="13.9">
      <c r="A424" s="9" t="s">
        <v>70</v>
      </c>
      <c r="B424" s="9" t="s">
        <v>199</v>
      </c>
      <c r="C424" s="9" t="s">
        <v>74</v>
      </c>
      <c r="D424" s="9" t="s">
        <v>459</v>
      </c>
      <c r="E424" s="9" t="s">
        <v>2549</v>
      </c>
      <c r="F424" s="9" t="s">
        <v>215</v>
      </c>
      <c r="G424" s="9" t="s">
        <v>2550</v>
      </c>
      <c r="H424" s="9" t="s">
        <v>133</v>
      </c>
      <c r="I424" s="9" t="s">
        <v>218</v>
      </c>
      <c r="J424" s="3">
        <f t="shared" si="15"/>
        <v>194781</v>
      </c>
      <c r="K424" s="9">
        <v>18</v>
      </c>
      <c r="L424" s="3">
        <v>4224</v>
      </c>
      <c r="M424" s="3">
        <v>190557</v>
      </c>
      <c r="N424" s="9" t="s">
        <v>97</v>
      </c>
      <c r="O424" s="9" t="s">
        <v>98</v>
      </c>
      <c r="P424" s="9">
        <v>17.571000000000002</v>
      </c>
      <c r="Q424" s="9">
        <v>0.98499999999999999</v>
      </c>
      <c r="R424" s="9" t="s">
        <v>2557</v>
      </c>
      <c r="S424" s="9">
        <v>0.82199999999999995</v>
      </c>
      <c r="T424" s="9">
        <v>34.191000000000003</v>
      </c>
      <c r="U424" s="9">
        <v>7.9299999999999995E-3</v>
      </c>
      <c r="V424" s="9">
        <v>0.79700000000000004</v>
      </c>
      <c r="W424" s="9" t="s">
        <v>2557</v>
      </c>
      <c r="X424" s="9">
        <v>0.82199999999999995</v>
      </c>
      <c r="Y424" s="9">
        <v>1.746</v>
      </c>
      <c r="Z424" s="9" t="s">
        <v>2558</v>
      </c>
      <c r="AA424" s="9">
        <v>0.90300000000000002</v>
      </c>
      <c r="AB424" s="9" t="s">
        <v>109</v>
      </c>
      <c r="AC424" s="9" t="s">
        <v>145</v>
      </c>
    </row>
    <row r="425" spans="1:29" ht="13.9">
      <c r="A425" s="9" t="s">
        <v>70</v>
      </c>
      <c r="B425" s="9" t="s">
        <v>199</v>
      </c>
      <c r="C425" s="9" t="s">
        <v>74</v>
      </c>
      <c r="D425" s="9" t="s">
        <v>164</v>
      </c>
      <c r="E425" s="9" t="s">
        <v>2549</v>
      </c>
      <c r="F425" s="9" t="s">
        <v>165</v>
      </c>
      <c r="G425" s="9" t="s">
        <v>2550</v>
      </c>
      <c r="H425" s="9" t="s">
        <v>133</v>
      </c>
      <c r="I425" s="9" t="s">
        <v>218</v>
      </c>
      <c r="J425" s="3">
        <f t="shared" si="15"/>
        <v>194781</v>
      </c>
      <c r="K425" s="9">
        <v>39</v>
      </c>
      <c r="L425" s="3">
        <v>4224</v>
      </c>
      <c r="M425" s="3">
        <v>190557</v>
      </c>
      <c r="N425" s="9" t="s">
        <v>97</v>
      </c>
      <c r="O425" s="9" t="s">
        <v>98</v>
      </c>
      <c r="P425" s="9">
        <v>24.760999999999999</v>
      </c>
      <c r="Q425" s="9">
        <v>0.84599999999999997</v>
      </c>
      <c r="R425" s="9" t="s">
        <v>2559</v>
      </c>
      <c r="S425" s="9">
        <v>0.71299999999999997</v>
      </c>
      <c r="T425" s="9">
        <v>71.358000000000004</v>
      </c>
      <c r="U425" s="9">
        <v>8.4400000000000002E-4</v>
      </c>
      <c r="V425" s="9">
        <v>1.218</v>
      </c>
      <c r="W425" s="9" t="s">
        <v>2560</v>
      </c>
      <c r="X425" s="9">
        <v>0.71799999999999997</v>
      </c>
      <c r="Y425" s="9">
        <v>7.9399999999999991E-3</v>
      </c>
      <c r="Z425" s="9" t="s">
        <v>2561</v>
      </c>
      <c r="AA425" s="9">
        <v>1.47E-2</v>
      </c>
      <c r="AB425" s="9" t="s">
        <v>109</v>
      </c>
      <c r="AC425" s="9" t="s">
        <v>145</v>
      </c>
    </row>
    <row r="426" spans="1:29" ht="13.9">
      <c r="A426" s="9" t="s">
        <v>70</v>
      </c>
      <c r="B426" s="9" t="s">
        <v>199</v>
      </c>
      <c r="C426" s="9" t="s">
        <v>74</v>
      </c>
      <c r="D426" s="9" t="s">
        <v>246</v>
      </c>
      <c r="E426" s="9" t="s">
        <v>2562</v>
      </c>
      <c r="F426" s="9" t="s">
        <v>248</v>
      </c>
      <c r="G426" s="9" t="s">
        <v>2563</v>
      </c>
      <c r="H426" s="9" t="s">
        <v>133</v>
      </c>
      <c r="I426" s="9" t="s">
        <v>218</v>
      </c>
      <c r="J426" s="3">
        <f t="shared" si="15"/>
        <v>194294</v>
      </c>
      <c r="K426" s="9">
        <v>17</v>
      </c>
      <c r="L426" s="3">
        <v>3737</v>
      </c>
      <c r="M426" s="3">
        <v>190557</v>
      </c>
      <c r="N426" s="9" t="s">
        <v>97</v>
      </c>
      <c r="O426" s="9" t="s">
        <v>98</v>
      </c>
      <c r="P426" s="9">
        <v>20.818000000000001</v>
      </c>
      <c r="Q426" s="9">
        <v>4.4749999999999996</v>
      </c>
      <c r="R426" s="9" t="s">
        <v>2565</v>
      </c>
      <c r="S426" s="9">
        <v>3.7999999999999999E-2</v>
      </c>
      <c r="T426" s="9">
        <v>21.599</v>
      </c>
      <c r="U426" s="9">
        <v>0.157</v>
      </c>
      <c r="V426" s="9">
        <v>5.5540000000000003</v>
      </c>
      <c r="W426" s="9" t="s">
        <v>2566</v>
      </c>
      <c r="X426" s="9">
        <v>4.2700000000000002E-2</v>
      </c>
      <c r="Y426" s="9">
        <v>66.84</v>
      </c>
      <c r="Z426" s="9" t="s">
        <v>2567</v>
      </c>
      <c r="AA426" s="9">
        <v>0.61399999999999999</v>
      </c>
      <c r="AB426" s="9" t="s">
        <v>109</v>
      </c>
      <c r="AC426" s="9" t="s">
        <v>145</v>
      </c>
    </row>
    <row r="427" spans="1:29" ht="13.9">
      <c r="A427" s="9" t="s">
        <v>70</v>
      </c>
      <c r="B427" s="9" t="s">
        <v>199</v>
      </c>
      <c r="C427" s="9" t="s">
        <v>74</v>
      </c>
      <c r="D427" s="9" t="s">
        <v>75</v>
      </c>
      <c r="E427" s="9" t="s">
        <v>2562</v>
      </c>
      <c r="F427" s="9" t="s">
        <v>113</v>
      </c>
      <c r="G427" s="9" t="s">
        <v>2563</v>
      </c>
      <c r="H427" s="9" t="s">
        <v>133</v>
      </c>
      <c r="I427" s="9" t="s">
        <v>218</v>
      </c>
      <c r="J427" s="3">
        <f t="shared" si="15"/>
        <v>194294</v>
      </c>
      <c r="K427" s="9">
        <v>52</v>
      </c>
      <c r="L427" s="3">
        <v>3737</v>
      </c>
      <c r="M427" s="3">
        <v>190557</v>
      </c>
      <c r="N427" s="9" t="s">
        <v>97</v>
      </c>
      <c r="O427" s="9" t="s">
        <v>98</v>
      </c>
      <c r="P427" s="9">
        <v>15.502000000000001</v>
      </c>
      <c r="Q427" s="9">
        <v>0.67900000000000005</v>
      </c>
      <c r="R427" s="9" t="s">
        <v>2570</v>
      </c>
      <c r="S427" s="9">
        <v>0.34499999999999997</v>
      </c>
      <c r="T427" s="9">
        <v>49.747999999999998</v>
      </c>
      <c r="U427" s="9">
        <v>0.52300000000000002</v>
      </c>
      <c r="V427" s="9">
        <v>0.95899999999999996</v>
      </c>
      <c r="W427" s="9" t="s">
        <v>2571</v>
      </c>
      <c r="X427" s="9">
        <v>0.94499999999999995</v>
      </c>
      <c r="Y427" s="9">
        <v>1.7330000000000001</v>
      </c>
      <c r="Z427" s="9" t="s">
        <v>2572</v>
      </c>
      <c r="AA427" s="9">
        <v>0.69499999999999995</v>
      </c>
      <c r="AB427" s="9" t="s">
        <v>109</v>
      </c>
      <c r="AC427" s="9" t="s">
        <v>145</v>
      </c>
    </row>
    <row r="428" spans="1:29" ht="13.9">
      <c r="A428" s="9" t="s">
        <v>70</v>
      </c>
      <c r="B428" s="9" t="s">
        <v>199</v>
      </c>
      <c r="C428" s="9" t="s">
        <v>74</v>
      </c>
      <c r="D428" s="9" t="s">
        <v>459</v>
      </c>
      <c r="E428" s="9" t="s">
        <v>2562</v>
      </c>
      <c r="F428" s="9" t="s">
        <v>215</v>
      </c>
      <c r="G428" s="9" t="s">
        <v>2563</v>
      </c>
      <c r="H428" s="9" t="s">
        <v>133</v>
      </c>
      <c r="I428" s="9" t="s">
        <v>218</v>
      </c>
      <c r="J428" s="3">
        <f t="shared" si="15"/>
        <v>194294</v>
      </c>
      <c r="K428" s="9">
        <v>18</v>
      </c>
      <c r="L428" s="3">
        <v>3737</v>
      </c>
      <c r="M428" s="3">
        <v>190557</v>
      </c>
      <c r="N428" s="9" t="s">
        <v>97</v>
      </c>
      <c r="O428" s="9" t="s">
        <v>98</v>
      </c>
      <c r="P428" s="9">
        <v>17.585000000000001</v>
      </c>
      <c r="Q428" s="9">
        <v>0.89200000000000002</v>
      </c>
      <c r="R428" s="9" t="s">
        <v>2574</v>
      </c>
      <c r="S428" s="9">
        <v>0.91400000000000003</v>
      </c>
      <c r="T428" s="9">
        <v>37.994</v>
      </c>
      <c r="U428" s="9">
        <v>2.4599999999999999E-3</v>
      </c>
      <c r="V428" s="9">
        <v>0.29399999999999998</v>
      </c>
      <c r="W428" s="9" t="s">
        <v>2576</v>
      </c>
      <c r="X428" s="9">
        <v>0.246</v>
      </c>
      <c r="Y428" s="9">
        <v>18.076000000000001</v>
      </c>
      <c r="Z428" s="9" t="s">
        <v>2577</v>
      </c>
      <c r="AA428" s="9">
        <v>0.56799999999999995</v>
      </c>
      <c r="AB428" s="9" t="s">
        <v>109</v>
      </c>
      <c r="AC428" s="9" t="s">
        <v>145</v>
      </c>
    </row>
    <row r="429" spans="1:29" ht="13.9">
      <c r="A429" s="9" t="s">
        <v>70</v>
      </c>
      <c r="B429" s="9" t="s">
        <v>199</v>
      </c>
      <c r="C429" s="9" t="s">
        <v>74</v>
      </c>
      <c r="D429" s="9" t="s">
        <v>164</v>
      </c>
      <c r="E429" s="9" t="s">
        <v>2562</v>
      </c>
      <c r="F429" s="9" t="s">
        <v>165</v>
      </c>
      <c r="G429" s="9" t="s">
        <v>2563</v>
      </c>
      <c r="H429" s="9" t="s">
        <v>133</v>
      </c>
      <c r="I429" s="9" t="s">
        <v>218</v>
      </c>
      <c r="J429" s="3">
        <f t="shared" si="15"/>
        <v>194294</v>
      </c>
      <c r="K429" s="9">
        <v>39</v>
      </c>
      <c r="L429" s="3">
        <v>3737</v>
      </c>
      <c r="M429" s="3">
        <v>190557</v>
      </c>
      <c r="N429" s="9" t="s">
        <v>97</v>
      </c>
      <c r="O429" s="9" t="s">
        <v>98</v>
      </c>
      <c r="P429" s="9">
        <v>25.209</v>
      </c>
      <c r="Q429" s="9">
        <v>0.32200000000000001</v>
      </c>
      <c r="R429" s="9" t="s">
        <v>2578</v>
      </c>
      <c r="S429" s="9">
        <v>7.1599999999999997E-3</v>
      </c>
      <c r="T429" s="9">
        <v>54.624000000000002</v>
      </c>
      <c r="U429" s="9">
        <v>3.9399999999999998E-2</v>
      </c>
      <c r="V429" s="9">
        <v>0.23899999999999999</v>
      </c>
      <c r="W429" s="9" t="s">
        <v>2579</v>
      </c>
      <c r="X429" s="9">
        <v>1.0699999999999999E-2</v>
      </c>
      <c r="Y429" s="9">
        <v>0.42499999999999999</v>
      </c>
      <c r="Z429" s="9" t="s">
        <v>2582</v>
      </c>
      <c r="AA429" s="9">
        <v>0.65400000000000003</v>
      </c>
      <c r="AB429" s="9" t="s">
        <v>109</v>
      </c>
      <c r="AC429" s="9" t="s">
        <v>145</v>
      </c>
    </row>
    <row r="430" spans="1:29" ht="13.9">
      <c r="A430" s="9" t="s">
        <v>70</v>
      </c>
      <c r="B430" s="9" t="s">
        <v>199</v>
      </c>
      <c r="C430" s="9" t="s">
        <v>74</v>
      </c>
      <c r="D430" s="9" t="s">
        <v>246</v>
      </c>
      <c r="E430" s="9" t="s">
        <v>2783</v>
      </c>
      <c r="F430" s="9" t="s">
        <v>248</v>
      </c>
      <c r="G430" s="9" t="s">
        <v>2255</v>
      </c>
      <c r="H430" s="9" t="s">
        <v>133</v>
      </c>
      <c r="I430" s="9" t="s">
        <v>218</v>
      </c>
      <c r="J430" s="3">
        <f t="shared" si="15"/>
        <v>207653</v>
      </c>
      <c r="K430" s="9">
        <v>17</v>
      </c>
      <c r="L430" s="3">
        <v>17096</v>
      </c>
      <c r="M430" s="3">
        <v>190557</v>
      </c>
      <c r="N430" s="9" t="s">
        <v>97</v>
      </c>
      <c r="O430" s="9" t="s">
        <v>98</v>
      </c>
      <c r="P430" s="9">
        <v>20.222999999999999</v>
      </c>
      <c r="Q430" s="9">
        <v>0.88100000000000001</v>
      </c>
      <c r="R430" s="9" t="s">
        <v>2583</v>
      </c>
      <c r="S430" s="9">
        <v>0.76400000000000001</v>
      </c>
      <c r="T430" s="9">
        <v>26.931000000000001</v>
      </c>
      <c r="U430" s="9">
        <v>4.2299999999999997E-2</v>
      </c>
      <c r="V430" s="9">
        <v>0.69199999999999995</v>
      </c>
      <c r="W430" s="9" t="s">
        <v>2584</v>
      </c>
      <c r="X430" s="9">
        <v>0.46100000000000002</v>
      </c>
      <c r="Y430" s="9">
        <v>36.783999999999999</v>
      </c>
      <c r="Z430" s="9" t="s">
        <v>2585</v>
      </c>
      <c r="AA430" s="9">
        <v>0.45500000000000002</v>
      </c>
      <c r="AB430" s="9" t="s">
        <v>109</v>
      </c>
      <c r="AC430" s="9" t="s">
        <v>145</v>
      </c>
    </row>
    <row r="431" spans="1:29" ht="13.9">
      <c r="A431" s="9" t="s">
        <v>70</v>
      </c>
      <c r="B431" s="9" t="s">
        <v>199</v>
      </c>
      <c r="C431" s="9" t="s">
        <v>74</v>
      </c>
      <c r="D431" s="9" t="s">
        <v>75</v>
      </c>
      <c r="E431" s="9" t="s">
        <v>2783</v>
      </c>
      <c r="F431" s="9" t="s">
        <v>113</v>
      </c>
      <c r="G431" s="9" t="s">
        <v>2255</v>
      </c>
      <c r="H431" s="9" t="s">
        <v>133</v>
      </c>
      <c r="I431" s="9" t="s">
        <v>2256</v>
      </c>
      <c r="J431" s="3">
        <f t="shared" si="15"/>
        <v>207653</v>
      </c>
      <c r="K431" s="9">
        <v>52</v>
      </c>
      <c r="L431" s="3">
        <v>17096</v>
      </c>
      <c r="M431" s="3">
        <v>190557</v>
      </c>
      <c r="N431" s="9" t="s">
        <v>97</v>
      </c>
      <c r="O431" s="9" t="s">
        <v>98</v>
      </c>
      <c r="P431" s="9">
        <v>15.502000000000001</v>
      </c>
      <c r="Q431" s="9">
        <v>0.65800000000000003</v>
      </c>
      <c r="R431" s="9" t="s">
        <v>2257</v>
      </c>
      <c r="S431" s="9">
        <v>6.5699999999999995E-2</v>
      </c>
      <c r="T431" s="9">
        <v>56.793999999999997</v>
      </c>
      <c r="U431" s="9">
        <v>0.26800000000000002</v>
      </c>
      <c r="V431" s="9">
        <v>0.82699999999999996</v>
      </c>
      <c r="W431" s="9" t="s">
        <v>2258</v>
      </c>
      <c r="X431" s="9">
        <v>0.57399999999999995</v>
      </c>
      <c r="Y431" s="9">
        <v>0.26200000000000001</v>
      </c>
      <c r="Z431" s="9" t="s">
        <v>2259</v>
      </c>
      <c r="AA431" s="9">
        <v>8.7300000000000003E-2</v>
      </c>
      <c r="AB431" s="9" t="s">
        <v>109</v>
      </c>
      <c r="AC431" s="9" t="s">
        <v>145</v>
      </c>
    </row>
    <row r="432" spans="1:29" ht="13.9">
      <c r="A432" s="9" t="s">
        <v>70</v>
      </c>
      <c r="B432" s="9" t="s">
        <v>199</v>
      </c>
      <c r="C432" s="9" t="s">
        <v>74</v>
      </c>
      <c r="D432" s="9" t="s">
        <v>459</v>
      </c>
      <c r="E432" s="9" t="s">
        <v>2783</v>
      </c>
      <c r="F432" s="9" t="s">
        <v>215</v>
      </c>
      <c r="G432" s="9" t="s">
        <v>2255</v>
      </c>
      <c r="H432" s="9" t="s">
        <v>133</v>
      </c>
      <c r="I432" s="9" t="s">
        <v>218</v>
      </c>
      <c r="J432" s="3">
        <f t="shared" si="15"/>
        <v>207653</v>
      </c>
      <c r="K432" s="9">
        <v>18</v>
      </c>
      <c r="L432" s="3">
        <v>17096</v>
      </c>
      <c r="M432" s="3">
        <v>190557</v>
      </c>
      <c r="N432" s="9" t="s">
        <v>97</v>
      </c>
      <c r="O432" s="9" t="s">
        <v>98</v>
      </c>
      <c r="P432" s="9">
        <v>17.571000000000002</v>
      </c>
      <c r="Q432" s="9">
        <v>1.4730000000000001</v>
      </c>
      <c r="R432" s="9" t="s">
        <v>2590</v>
      </c>
      <c r="S432" s="9">
        <v>0.4</v>
      </c>
      <c r="T432" s="9">
        <v>26.09</v>
      </c>
      <c r="U432" s="9">
        <v>7.2800000000000004E-2</v>
      </c>
      <c r="V432" s="9">
        <v>0.86499999999999999</v>
      </c>
      <c r="W432" s="9" t="s">
        <v>2591</v>
      </c>
      <c r="X432" s="9">
        <v>0.78100000000000003</v>
      </c>
      <c r="Y432" s="9">
        <v>0.51400000000000001</v>
      </c>
      <c r="Z432" s="9" t="s">
        <v>2592</v>
      </c>
      <c r="AA432" s="9">
        <v>0.76300000000000001</v>
      </c>
      <c r="AB432" s="9" t="s">
        <v>109</v>
      </c>
      <c r="AC432" s="9" t="s">
        <v>145</v>
      </c>
    </row>
    <row r="433" spans="1:29" ht="13.9">
      <c r="A433" s="9" t="s">
        <v>70</v>
      </c>
      <c r="B433" s="9" t="s">
        <v>199</v>
      </c>
      <c r="C433" s="9" t="s">
        <v>74</v>
      </c>
      <c r="D433" s="9" t="s">
        <v>164</v>
      </c>
      <c r="E433" s="9" t="s">
        <v>2783</v>
      </c>
      <c r="F433" s="9" t="s">
        <v>165</v>
      </c>
      <c r="G433" s="9" t="s">
        <v>2255</v>
      </c>
      <c r="H433" s="9" t="s">
        <v>133</v>
      </c>
      <c r="I433" s="9" t="s">
        <v>218</v>
      </c>
      <c r="J433" s="3">
        <f t="shared" si="15"/>
        <v>207653</v>
      </c>
      <c r="K433" s="9">
        <v>39</v>
      </c>
      <c r="L433" s="3">
        <v>17096</v>
      </c>
      <c r="M433" s="3">
        <v>190557</v>
      </c>
      <c r="N433" s="9" t="s">
        <v>97</v>
      </c>
      <c r="O433" s="9" t="s">
        <v>98</v>
      </c>
      <c r="P433" s="9">
        <v>25.209</v>
      </c>
      <c r="Q433" s="9">
        <v>1.1599999999999999</v>
      </c>
      <c r="R433" s="9" t="s">
        <v>2595</v>
      </c>
      <c r="S433" s="9">
        <v>0.53400000000000003</v>
      </c>
      <c r="T433" s="9">
        <v>63.680999999999997</v>
      </c>
      <c r="U433" s="9">
        <v>5.62E-3</v>
      </c>
      <c r="V433" s="9">
        <v>1.0189999999999999</v>
      </c>
      <c r="W433" s="9" t="s">
        <v>2596</v>
      </c>
      <c r="X433" s="9">
        <v>0.95199999999999996</v>
      </c>
      <c r="Y433" s="9">
        <v>2.4289999999999998</v>
      </c>
      <c r="Z433" s="9" t="s">
        <v>2597</v>
      </c>
      <c r="AA433" s="9">
        <v>0.41</v>
      </c>
      <c r="AB433" s="9" t="s">
        <v>109</v>
      </c>
      <c r="AC433" s="9" t="s">
        <v>145</v>
      </c>
    </row>
    <row r="434" spans="1:29" ht="13.9">
      <c r="A434" s="17" t="s">
        <v>70</v>
      </c>
      <c r="B434" s="17" t="s">
        <v>208</v>
      </c>
      <c r="C434" s="17" t="s">
        <v>74</v>
      </c>
      <c r="D434" s="17" t="s">
        <v>2784</v>
      </c>
      <c r="E434" s="17" t="s">
        <v>767</v>
      </c>
      <c r="F434" s="17" t="s">
        <v>113</v>
      </c>
      <c r="G434" s="17" t="s">
        <v>1413</v>
      </c>
      <c r="H434" s="17" t="s">
        <v>133</v>
      </c>
      <c r="I434" s="17" t="s">
        <v>1416</v>
      </c>
      <c r="J434" s="17">
        <f t="shared" ref="J434:J440" si="16">L434+M434</f>
        <v>413.46600000000001</v>
      </c>
      <c r="K434" s="5">
        <v>18</v>
      </c>
      <c r="L434" s="17">
        <v>41.917000000000002</v>
      </c>
      <c r="M434" s="17">
        <v>371.54899999999998</v>
      </c>
      <c r="N434" s="17"/>
      <c r="O434" s="17" t="s">
        <v>129</v>
      </c>
      <c r="P434" s="158">
        <v>36.96</v>
      </c>
      <c r="Q434" s="159">
        <v>0.25703442799999998</v>
      </c>
      <c r="R434" s="2" t="s">
        <v>2785</v>
      </c>
      <c r="S434" s="160">
        <v>0.518624698</v>
      </c>
      <c r="T434" s="160">
        <v>42.380147950000001</v>
      </c>
      <c r="U434" s="160">
        <v>5.9090499999999997E-4</v>
      </c>
      <c r="V434" s="160">
        <v>7.4497369999999993E-2</v>
      </c>
      <c r="W434" s="159" t="s">
        <v>2786</v>
      </c>
      <c r="X434" s="160">
        <v>0.85229725499999998</v>
      </c>
      <c r="Y434" s="160">
        <v>0.72314574600000003</v>
      </c>
      <c r="Z434" s="159" t="s">
        <v>2787</v>
      </c>
      <c r="AA434" s="160">
        <v>0.53342551500000002</v>
      </c>
      <c r="AB434" s="17" t="s">
        <v>109</v>
      </c>
      <c r="AC434" s="17" t="s">
        <v>112</v>
      </c>
    </row>
    <row r="435" spans="1:29" ht="13.9">
      <c r="A435" s="17" t="s">
        <v>70</v>
      </c>
      <c r="B435" s="17" t="s">
        <v>208</v>
      </c>
      <c r="C435" s="17" t="s">
        <v>74</v>
      </c>
      <c r="D435" s="17" t="s">
        <v>2788</v>
      </c>
      <c r="E435" s="17" t="s">
        <v>767</v>
      </c>
      <c r="F435" s="17" t="s">
        <v>165</v>
      </c>
      <c r="G435" s="3" t="s">
        <v>1413</v>
      </c>
      <c r="H435" s="17" t="s">
        <v>133</v>
      </c>
      <c r="I435" s="17" t="s">
        <v>1416</v>
      </c>
      <c r="J435" s="17">
        <f t="shared" si="16"/>
        <v>413.46600000000001</v>
      </c>
      <c r="K435" s="5">
        <v>15</v>
      </c>
      <c r="L435" s="17">
        <v>41.917000000000002</v>
      </c>
      <c r="M435" s="17">
        <v>371.54899999999998</v>
      </c>
      <c r="N435" s="17"/>
      <c r="O435" s="17" t="s">
        <v>129</v>
      </c>
      <c r="P435" s="158">
        <v>36.96</v>
      </c>
      <c r="Q435" s="159">
        <v>0.86331884000000003</v>
      </c>
      <c r="R435" s="2" t="s">
        <v>2789</v>
      </c>
      <c r="S435" s="160">
        <v>1.5181048000000001E-2</v>
      </c>
      <c r="T435" s="160">
        <v>31.117152109999999</v>
      </c>
      <c r="U435" s="160">
        <v>5.3379040000000001E-3</v>
      </c>
      <c r="V435" s="160">
        <v>0.44703080000000001</v>
      </c>
      <c r="W435" s="159" t="s">
        <v>2790</v>
      </c>
      <c r="X435" s="160">
        <v>0.20443434799999999</v>
      </c>
      <c r="Y435" s="160">
        <v>-0.342110052</v>
      </c>
      <c r="Z435" s="159" t="s">
        <v>2791</v>
      </c>
      <c r="AA435" s="160">
        <v>0.81929687699999998</v>
      </c>
      <c r="AB435" s="17" t="s">
        <v>109</v>
      </c>
      <c r="AC435" s="17" t="s">
        <v>112</v>
      </c>
    </row>
    <row r="436" spans="1:29" ht="13.9">
      <c r="A436" s="17" t="s">
        <v>70</v>
      </c>
      <c r="B436" s="66" t="s">
        <v>208</v>
      </c>
      <c r="C436" s="66" t="s">
        <v>74</v>
      </c>
      <c r="D436" s="66" t="s">
        <v>2792</v>
      </c>
      <c r="E436" s="66" t="s">
        <v>767</v>
      </c>
      <c r="F436" s="66" t="s">
        <v>2793</v>
      </c>
      <c r="G436" s="66" t="s">
        <v>2794</v>
      </c>
      <c r="H436" s="66" t="s">
        <v>1414</v>
      </c>
      <c r="I436" s="66" t="s">
        <v>2795</v>
      </c>
      <c r="J436" s="66">
        <f t="shared" si="16"/>
        <v>413.46600000000001</v>
      </c>
      <c r="K436" s="66">
        <v>22</v>
      </c>
      <c r="L436" s="66">
        <v>41.917000000000002</v>
      </c>
      <c r="M436" s="66">
        <v>371.54899999999998</v>
      </c>
      <c r="N436" s="66"/>
      <c r="O436" s="66" t="s">
        <v>129</v>
      </c>
      <c r="P436" s="161">
        <v>22.71</v>
      </c>
      <c r="Q436" s="162">
        <v>0.19418058902708399</v>
      </c>
      <c r="R436" s="66">
        <v>8.7332643038009403E-2</v>
      </c>
      <c r="S436" s="162">
        <v>2.61848358874813E-2</v>
      </c>
      <c r="T436" s="162">
        <v>28.657161940000002</v>
      </c>
      <c r="U436" s="162">
        <v>0.122478644</v>
      </c>
      <c r="V436" s="162">
        <v>0.12989026530363701</v>
      </c>
      <c r="W436" s="162">
        <v>0.109410735086462</v>
      </c>
      <c r="X436" s="162">
        <v>0.23515652412031399</v>
      </c>
      <c r="Y436" s="162">
        <v>0.21695975888251201</v>
      </c>
      <c r="Z436" s="162">
        <v>0.24905405587111401</v>
      </c>
      <c r="AA436" s="162">
        <v>0.39401722744609902</v>
      </c>
      <c r="AB436" s="66" t="s">
        <v>109</v>
      </c>
      <c r="AC436" s="66" t="s">
        <v>112</v>
      </c>
    </row>
    <row r="437" spans="1:29" ht="13.9">
      <c r="A437" s="17" t="s">
        <v>70</v>
      </c>
      <c r="B437" s="66" t="s">
        <v>208</v>
      </c>
      <c r="C437" s="66" t="s">
        <v>74</v>
      </c>
      <c r="D437" s="66" t="s">
        <v>2796</v>
      </c>
      <c r="E437" s="66" t="s">
        <v>767</v>
      </c>
      <c r="F437" s="66" t="s">
        <v>2797</v>
      </c>
      <c r="G437" s="66" t="s">
        <v>2798</v>
      </c>
      <c r="H437" s="66" t="s">
        <v>1414</v>
      </c>
      <c r="I437" s="66" t="s">
        <v>2795</v>
      </c>
      <c r="J437" s="66">
        <f t="shared" si="16"/>
        <v>413.46600000000001</v>
      </c>
      <c r="K437" s="66">
        <v>14</v>
      </c>
      <c r="L437" s="66">
        <v>41.917000000000002</v>
      </c>
      <c r="M437" s="66">
        <v>371.54899999999998</v>
      </c>
      <c r="N437" s="66"/>
      <c r="O437" s="66" t="s">
        <v>129</v>
      </c>
      <c r="P437" s="161">
        <v>22.39</v>
      </c>
      <c r="Q437" s="162">
        <v>7.545253E-3</v>
      </c>
      <c r="R437" s="66">
        <v>0.121090893</v>
      </c>
      <c r="S437" s="162">
        <v>0.95031544300000004</v>
      </c>
      <c r="T437" s="162">
        <v>22.175012689999999</v>
      </c>
      <c r="U437" s="162">
        <v>5.2708702000000003E-2</v>
      </c>
      <c r="V437" s="162">
        <v>-0.108139901</v>
      </c>
      <c r="W437" s="162">
        <v>0.137402567</v>
      </c>
      <c r="X437" s="162">
        <v>0.43126448000000001</v>
      </c>
      <c r="Y437" s="162">
        <v>0.44492915799999999</v>
      </c>
      <c r="Z437" s="162">
        <v>0.37590496000000001</v>
      </c>
      <c r="AA437" s="162">
        <v>0.25948033100000001</v>
      </c>
      <c r="AB437" s="66" t="s">
        <v>109</v>
      </c>
      <c r="AC437" s="66" t="s">
        <v>112</v>
      </c>
    </row>
    <row r="438" spans="1:29" ht="13.9">
      <c r="A438" s="17" t="s">
        <v>70</v>
      </c>
      <c r="B438" s="66" t="s">
        <v>208</v>
      </c>
      <c r="C438" s="66" t="s">
        <v>74</v>
      </c>
      <c r="D438" s="66" t="s">
        <v>2799</v>
      </c>
      <c r="E438" s="66" t="s">
        <v>767</v>
      </c>
      <c r="F438" s="66" t="s">
        <v>2800</v>
      </c>
      <c r="G438" s="66" t="s">
        <v>2801</v>
      </c>
      <c r="H438" s="66" t="s">
        <v>1414</v>
      </c>
      <c r="I438" s="66" t="s">
        <v>2795</v>
      </c>
      <c r="J438" s="66">
        <f t="shared" si="16"/>
        <v>413.46600000000001</v>
      </c>
      <c r="K438" s="66">
        <v>17</v>
      </c>
      <c r="L438" s="66">
        <v>41.917000000000002</v>
      </c>
      <c r="M438" s="66">
        <v>371.54899999999998</v>
      </c>
      <c r="N438" s="66"/>
      <c r="O438" s="66" t="s">
        <v>129</v>
      </c>
      <c r="P438" s="161">
        <v>21.43</v>
      </c>
      <c r="Q438" s="162">
        <v>0.23704296246716999</v>
      </c>
      <c r="R438" s="66">
        <v>0.12521486135964799</v>
      </c>
      <c r="S438" s="162">
        <v>5.8345943662922499E-2</v>
      </c>
      <c r="T438" s="162">
        <v>18.538981239999998</v>
      </c>
      <c r="U438" s="162">
        <v>0.29329282099999998</v>
      </c>
      <c r="V438" s="162">
        <v>3.0714208432834799E-2</v>
      </c>
      <c r="W438" s="162">
        <v>0.162209805321953</v>
      </c>
      <c r="X438" s="162">
        <v>0.84981956395667502</v>
      </c>
      <c r="Y438" s="162">
        <v>6.1503275308791003E-2</v>
      </c>
      <c r="Z438" s="162">
        <v>0.28123492099430802</v>
      </c>
      <c r="AA438" s="162">
        <v>0.82983913371955897</v>
      </c>
      <c r="AB438" s="66" t="s">
        <v>109</v>
      </c>
      <c r="AC438" s="66" t="s">
        <v>112</v>
      </c>
    </row>
    <row r="439" spans="1:29" ht="13.9">
      <c r="A439" s="17" t="s">
        <v>70</v>
      </c>
      <c r="B439" s="17" t="s">
        <v>208</v>
      </c>
      <c r="C439" s="17" t="s">
        <v>74</v>
      </c>
      <c r="D439" s="17" t="s">
        <v>2802</v>
      </c>
      <c r="E439" s="17" t="s">
        <v>767</v>
      </c>
      <c r="F439" s="17" t="s">
        <v>248</v>
      </c>
      <c r="G439" s="3" t="s">
        <v>1413</v>
      </c>
      <c r="H439" s="17" t="s">
        <v>133</v>
      </c>
      <c r="I439" s="17" t="s">
        <v>1416</v>
      </c>
      <c r="J439" s="17">
        <f t="shared" si="16"/>
        <v>413.46600000000001</v>
      </c>
      <c r="K439" s="5">
        <v>6</v>
      </c>
      <c r="L439" s="17">
        <v>41.917000000000002</v>
      </c>
      <c r="M439" s="17">
        <v>371.54899999999998</v>
      </c>
      <c r="N439" s="17"/>
      <c r="O439" s="17" t="s">
        <v>129</v>
      </c>
      <c r="P439" s="158">
        <v>32.21</v>
      </c>
      <c r="Q439" s="159">
        <v>1.07008748502794</v>
      </c>
      <c r="R439" s="2" t="s">
        <v>2803</v>
      </c>
      <c r="S439" s="160">
        <v>2.8454101223271001E-2</v>
      </c>
      <c r="T439" s="160">
        <v>6.1837316211013196</v>
      </c>
      <c r="U439" s="160">
        <v>0.288749397355204</v>
      </c>
      <c r="V439" s="160">
        <v>0.94373685400044904</v>
      </c>
      <c r="W439" s="159" t="s">
        <v>2804</v>
      </c>
      <c r="X439" s="160">
        <v>0.110282428490959</v>
      </c>
      <c r="Y439" s="160">
        <v>3.3684426031626602</v>
      </c>
      <c r="Z439" s="159" t="s">
        <v>2805</v>
      </c>
      <c r="AA439" s="160">
        <v>0.62294795916765</v>
      </c>
      <c r="AB439" s="17" t="s">
        <v>109</v>
      </c>
      <c r="AC439" s="17" t="s">
        <v>112</v>
      </c>
    </row>
    <row r="440" spans="1:29" ht="13.9">
      <c r="A440" s="17" t="s">
        <v>70</v>
      </c>
      <c r="B440" s="17" t="s">
        <v>208</v>
      </c>
      <c r="C440" s="17" t="s">
        <v>74</v>
      </c>
      <c r="D440" s="17" t="s">
        <v>2806</v>
      </c>
      <c r="E440" s="17" t="s">
        <v>767</v>
      </c>
      <c r="F440" s="17" t="s">
        <v>215</v>
      </c>
      <c r="G440" s="3" t="s">
        <v>1413</v>
      </c>
      <c r="H440" s="17" t="s">
        <v>133</v>
      </c>
      <c r="I440" s="17" t="s">
        <v>1416</v>
      </c>
      <c r="J440" s="17">
        <f t="shared" si="16"/>
        <v>413.46600000000001</v>
      </c>
      <c r="K440" s="5">
        <v>6</v>
      </c>
      <c r="L440" s="17">
        <v>41.917000000000002</v>
      </c>
      <c r="M440" s="17">
        <v>371.54899999999998</v>
      </c>
      <c r="N440" s="17"/>
      <c r="O440" s="17" t="s">
        <v>129</v>
      </c>
      <c r="P440" s="158">
        <v>34.14</v>
      </c>
      <c r="Q440" s="159">
        <v>0.341801352</v>
      </c>
      <c r="R440" s="2" t="s">
        <v>2807</v>
      </c>
      <c r="S440" s="160">
        <v>0.75835862799999998</v>
      </c>
      <c r="T440" s="160">
        <v>27.213581309999999</v>
      </c>
      <c r="U440" s="160">
        <v>5.1799999999999999E-5</v>
      </c>
      <c r="V440" s="160">
        <v>-0.101898693</v>
      </c>
      <c r="W440" s="159" t="s">
        <v>2808</v>
      </c>
      <c r="X440" s="160">
        <v>0.88085861300000001</v>
      </c>
      <c r="Y440" s="160">
        <v>5.8786329650000004</v>
      </c>
      <c r="Z440" s="159" t="s">
        <v>2809</v>
      </c>
      <c r="AA440" s="160">
        <v>0.245627808</v>
      </c>
      <c r="AB440" s="17" t="s">
        <v>109</v>
      </c>
      <c r="AC440" s="17" t="s">
        <v>112</v>
      </c>
    </row>
    <row r="441" spans="1:29" ht="13.9">
      <c r="A441" s="9" t="s">
        <v>70</v>
      </c>
      <c r="B441" s="9" t="s">
        <v>209</v>
      </c>
      <c r="C441" s="9" t="s">
        <v>74</v>
      </c>
      <c r="D441" s="9" t="s">
        <v>778</v>
      </c>
      <c r="E441" s="9" t="s">
        <v>780</v>
      </c>
      <c r="F441" s="9" t="s">
        <v>165</v>
      </c>
      <c r="G441" s="9" t="s">
        <v>2613</v>
      </c>
      <c r="H441" s="9" t="s">
        <v>133</v>
      </c>
      <c r="I441" s="9" t="s">
        <v>256</v>
      </c>
      <c r="J441" s="9">
        <v>484.59800000000001</v>
      </c>
      <c r="K441" s="9">
        <v>41</v>
      </c>
      <c r="L441" s="9">
        <v>39.515000000000001</v>
      </c>
      <c r="M441" s="9">
        <v>445.08300000000003</v>
      </c>
      <c r="N441" s="9" t="s">
        <v>97</v>
      </c>
      <c r="O441" s="9" t="s">
        <v>98</v>
      </c>
      <c r="P441" s="9" t="s">
        <v>79</v>
      </c>
      <c r="Q441" s="163">
        <v>0.98099999999999998</v>
      </c>
      <c r="R441" s="9" t="s">
        <v>2614</v>
      </c>
      <c r="S441" s="163">
        <v>3.9E-2</v>
      </c>
      <c r="T441" s="9" t="s">
        <v>2615</v>
      </c>
      <c r="U441" s="164">
        <v>0.34</v>
      </c>
      <c r="V441" s="163">
        <v>0.97399999999999998</v>
      </c>
      <c r="W441" s="9" t="s">
        <v>2616</v>
      </c>
      <c r="X441" s="165">
        <v>2.5000000000000001E-2</v>
      </c>
      <c r="Y441" s="9" t="s">
        <v>2617</v>
      </c>
      <c r="Z441" s="9" t="s">
        <v>2618</v>
      </c>
      <c r="AA441" s="9" t="s">
        <v>2619</v>
      </c>
      <c r="AB441" s="9" t="s">
        <v>140</v>
      </c>
      <c r="AC441" s="9" t="s">
        <v>155</v>
      </c>
    </row>
    <row r="442" spans="1:29" ht="13.9">
      <c r="A442" s="17" t="s">
        <v>70</v>
      </c>
      <c r="B442" s="5" t="s">
        <v>166</v>
      </c>
      <c r="C442" s="5" t="s">
        <v>74</v>
      </c>
      <c r="D442" s="5" t="s">
        <v>246</v>
      </c>
      <c r="E442" s="5" t="s">
        <v>170</v>
      </c>
      <c r="F442" s="5" t="s">
        <v>248</v>
      </c>
      <c r="G442" s="5" t="s">
        <v>628</v>
      </c>
      <c r="H442" s="5" t="s">
        <v>133</v>
      </c>
      <c r="I442" s="5" t="s">
        <v>218</v>
      </c>
      <c r="J442" s="3">
        <f t="shared" ref="J442:J445" si="17">SUM(L442:M442)</f>
        <v>156078</v>
      </c>
      <c r="K442" s="5">
        <v>17</v>
      </c>
      <c r="L442" s="5">
        <v>20629</v>
      </c>
      <c r="M442" s="5">
        <v>135449</v>
      </c>
      <c r="N442" s="5" t="s">
        <v>97</v>
      </c>
      <c r="O442" s="5" t="s">
        <v>98</v>
      </c>
      <c r="P442" s="89">
        <v>20679</v>
      </c>
      <c r="Q442" s="166">
        <v>1.23</v>
      </c>
      <c r="R442" s="166" t="s">
        <v>2810</v>
      </c>
      <c r="S442" s="167">
        <v>0.60699999999999998</v>
      </c>
      <c r="T442" s="167">
        <v>29.263000000000002</v>
      </c>
      <c r="U442" s="167">
        <v>2.1999999999999999E-2</v>
      </c>
      <c r="V442" s="167">
        <v>0.98699999999999999</v>
      </c>
      <c r="W442" s="5" t="s">
        <v>2811</v>
      </c>
      <c r="X442" s="167">
        <v>0.97699999999999998</v>
      </c>
      <c r="Y442" s="167">
        <v>4.7370000000000001</v>
      </c>
      <c r="Z442" s="5" t="s">
        <v>2812</v>
      </c>
      <c r="AA442" s="167">
        <v>0.73799999999999999</v>
      </c>
      <c r="AB442" s="5" t="s">
        <v>140</v>
      </c>
      <c r="AC442" s="5"/>
    </row>
    <row r="443" spans="1:29" ht="13.9">
      <c r="A443" s="17" t="s">
        <v>70</v>
      </c>
      <c r="B443" s="5" t="s">
        <v>166</v>
      </c>
      <c r="C443" s="5" t="s">
        <v>74</v>
      </c>
      <c r="D443" s="5" t="s">
        <v>75</v>
      </c>
      <c r="E443" s="5" t="s">
        <v>170</v>
      </c>
      <c r="F443" s="5" t="s">
        <v>113</v>
      </c>
      <c r="G443" s="5" t="s">
        <v>628</v>
      </c>
      <c r="H443" s="5" t="s">
        <v>133</v>
      </c>
      <c r="I443" s="5" t="s">
        <v>218</v>
      </c>
      <c r="J443" s="3">
        <f t="shared" si="17"/>
        <v>156078</v>
      </c>
      <c r="K443" s="5">
        <v>52</v>
      </c>
      <c r="L443" s="5">
        <v>20629</v>
      </c>
      <c r="M443" s="5">
        <v>135449</v>
      </c>
      <c r="N443" s="5" t="s">
        <v>97</v>
      </c>
      <c r="O443" s="5" t="s">
        <v>98</v>
      </c>
      <c r="P443" s="89">
        <v>15502</v>
      </c>
      <c r="Q443" s="166">
        <v>0.48899999999999999</v>
      </c>
      <c r="R443" s="166" t="s">
        <v>2813</v>
      </c>
      <c r="S443" s="167">
        <v>0</v>
      </c>
      <c r="T443" s="167">
        <v>61.893999999999998</v>
      </c>
      <c r="U443" s="167">
        <v>0.14299999999999999</v>
      </c>
      <c r="V443" s="167">
        <v>0.46200000000000002</v>
      </c>
      <c r="W443" s="5" t="s">
        <v>2814</v>
      </c>
      <c r="X443" s="167">
        <v>1.0999999999999999E-2</v>
      </c>
      <c r="Y443" s="167">
        <v>0.97099999999999997</v>
      </c>
      <c r="Z443" s="5" t="s">
        <v>2815</v>
      </c>
      <c r="AA443" s="167">
        <v>0.96799999999999997</v>
      </c>
      <c r="AB443" s="5" t="s">
        <v>140</v>
      </c>
      <c r="AC443" s="5"/>
    </row>
    <row r="444" spans="1:29" ht="13.9">
      <c r="A444" s="17" t="s">
        <v>70</v>
      </c>
      <c r="B444" s="5" t="s">
        <v>166</v>
      </c>
      <c r="C444" s="5" t="s">
        <v>74</v>
      </c>
      <c r="D444" s="5" t="s">
        <v>212</v>
      </c>
      <c r="E444" s="5" t="s">
        <v>170</v>
      </c>
      <c r="F444" s="5" t="s">
        <v>215</v>
      </c>
      <c r="G444" s="5" t="s">
        <v>628</v>
      </c>
      <c r="H444" s="5" t="s">
        <v>133</v>
      </c>
      <c r="I444" s="5" t="s">
        <v>218</v>
      </c>
      <c r="J444" s="3">
        <f t="shared" si="17"/>
        <v>156078</v>
      </c>
      <c r="K444" s="5">
        <v>18</v>
      </c>
      <c r="L444" s="5">
        <v>20629</v>
      </c>
      <c r="M444" s="5">
        <v>135449</v>
      </c>
      <c r="N444" s="5" t="s">
        <v>97</v>
      </c>
      <c r="O444" s="5" t="s">
        <v>98</v>
      </c>
      <c r="P444" s="89">
        <v>17650</v>
      </c>
      <c r="Q444" s="166">
        <v>0.81</v>
      </c>
      <c r="R444" s="166" t="s">
        <v>2816</v>
      </c>
      <c r="S444" s="167">
        <v>0.69099999999999995</v>
      </c>
      <c r="T444" s="167">
        <v>41.53</v>
      </c>
      <c r="U444" s="167">
        <v>0</v>
      </c>
      <c r="V444" s="167">
        <v>2.2639999999999998</v>
      </c>
      <c r="W444" s="5" t="s">
        <v>2817</v>
      </c>
      <c r="X444" s="167">
        <v>0.13900000000000001</v>
      </c>
      <c r="Y444" s="167">
        <v>16.837</v>
      </c>
      <c r="Z444" s="5" t="s">
        <v>2818</v>
      </c>
      <c r="AA444" s="167">
        <v>0.254</v>
      </c>
      <c r="AB444" s="5" t="s">
        <v>140</v>
      </c>
      <c r="AC444" s="5"/>
    </row>
    <row r="445" spans="1:29" ht="15.75" customHeight="1">
      <c r="A445" s="17" t="s">
        <v>70</v>
      </c>
      <c r="B445" s="5" t="s">
        <v>166</v>
      </c>
      <c r="C445" s="5" t="s">
        <v>74</v>
      </c>
      <c r="D445" s="5" t="s">
        <v>164</v>
      </c>
      <c r="E445" s="5" t="s">
        <v>170</v>
      </c>
      <c r="F445" s="5" t="s">
        <v>165</v>
      </c>
      <c r="G445" s="5" t="s">
        <v>628</v>
      </c>
      <c r="H445" s="5" t="s">
        <v>133</v>
      </c>
      <c r="I445" s="5" t="s">
        <v>218</v>
      </c>
      <c r="J445" s="3">
        <f t="shared" si="17"/>
        <v>156078</v>
      </c>
      <c r="K445" s="5">
        <v>39</v>
      </c>
      <c r="L445" s="5">
        <v>20629</v>
      </c>
      <c r="M445" s="5">
        <v>135449</v>
      </c>
      <c r="N445" s="5" t="s">
        <v>97</v>
      </c>
      <c r="O445" s="5" t="s">
        <v>98</v>
      </c>
      <c r="P445" s="89">
        <v>25412</v>
      </c>
      <c r="Q445" s="166">
        <v>0.52100000000000002</v>
      </c>
      <c r="R445" s="166" t="s">
        <v>2819</v>
      </c>
      <c r="S445" s="167">
        <v>2.8700000000000002E-3</v>
      </c>
      <c r="T445" s="167">
        <v>64.085999999999999</v>
      </c>
      <c r="U445" s="167">
        <v>2.9999999999999997E-4</v>
      </c>
      <c r="V445" s="167">
        <v>0.47799999999999998</v>
      </c>
      <c r="W445" s="5" t="s">
        <v>2820</v>
      </c>
      <c r="X445" s="167">
        <v>4.0000000000000001E-3</v>
      </c>
      <c r="Y445" s="167">
        <v>0.17399999999999999</v>
      </c>
      <c r="Z445" s="5" t="s">
        <v>2821</v>
      </c>
      <c r="AA445" s="167">
        <v>7.0000000000000007E-2</v>
      </c>
      <c r="AB445" s="5" t="s">
        <v>140</v>
      </c>
      <c r="AC445" s="5"/>
    </row>
    <row r="446" spans="1:29" ht="15.75" customHeight="1">
      <c r="A446" s="9" t="s">
        <v>70</v>
      </c>
      <c r="B446" s="9" t="s">
        <v>119</v>
      </c>
      <c r="C446" s="9" t="s">
        <v>74</v>
      </c>
      <c r="D446" s="9" t="s">
        <v>164</v>
      </c>
      <c r="E446" s="9" t="s">
        <v>2632</v>
      </c>
      <c r="F446" s="9" t="s">
        <v>165</v>
      </c>
      <c r="G446" s="9" t="s">
        <v>79</v>
      </c>
      <c r="H446" s="9" t="s">
        <v>133</v>
      </c>
      <c r="I446" s="9" t="s">
        <v>2483</v>
      </c>
      <c r="J446" s="9">
        <v>184.30500000000001</v>
      </c>
      <c r="K446" s="9">
        <v>28</v>
      </c>
      <c r="L446" s="9">
        <v>60.801000000000002</v>
      </c>
      <c r="M446" s="9">
        <v>123.504</v>
      </c>
      <c r="N446" s="3" t="s">
        <v>97</v>
      </c>
      <c r="O446" s="9" t="s">
        <v>98</v>
      </c>
      <c r="P446" s="9" t="s">
        <v>62</v>
      </c>
      <c r="Q446" s="9" t="s">
        <v>2633</v>
      </c>
      <c r="R446" s="9" t="s">
        <v>2634</v>
      </c>
      <c r="S446" s="168">
        <v>8.2600000000000007E-2</v>
      </c>
      <c r="T446" s="9" t="s">
        <v>79</v>
      </c>
      <c r="U446" s="9" t="s">
        <v>79</v>
      </c>
      <c r="V446" s="3" t="s">
        <v>79</v>
      </c>
      <c r="W446" s="9" t="s">
        <v>79</v>
      </c>
      <c r="X446" s="3" t="s">
        <v>79</v>
      </c>
      <c r="Y446" s="3" t="s">
        <v>79</v>
      </c>
      <c r="Z446" s="9" t="s">
        <v>79</v>
      </c>
      <c r="AA446" s="3" t="s">
        <v>79</v>
      </c>
      <c r="AB446" s="9" t="s">
        <v>140</v>
      </c>
      <c r="AC446" s="9" t="s">
        <v>1689</v>
      </c>
    </row>
    <row r="447" spans="1:29" ht="15.75" customHeight="1">
      <c r="A447" s="9" t="s">
        <v>70</v>
      </c>
      <c r="B447" s="9" t="s">
        <v>119</v>
      </c>
      <c r="C447" s="9" t="s">
        <v>74</v>
      </c>
      <c r="D447" s="9" t="s">
        <v>164</v>
      </c>
      <c r="E447" s="9" t="s">
        <v>2637</v>
      </c>
      <c r="F447" s="9" t="s">
        <v>165</v>
      </c>
      <c r="G447" s="9" t="s">
        <v>79</v>
      </c>
      <c r="H447" s="9" t="s">
        <v>133</v>
      </c>
      <c r="I447" s="9" t="s">
        <v>2483</v>
      </c>
      <c r="J447" s="9">
        <v>184.30500000000001</v>
      </c>
      <c r="K447" s="9">
        <v>28</v>
      </c>
      <c r="L447" s="9">
        <v>60.801000000000002</v>
      </c>
      <c r="M447" s="9">
        <v>123.504</v>
      </c>
      <c r="N447" s="3" t="s">
        <v>97</v>
      </c>
      <c r="O447" s="9" t="s">
        <v>98</v>
      </c>
      <c r="P447" s="9" t="s">
        <v>62</v>
      </c>
      <c r="Q447" s="9" t="s">
        <v>2633</v>
      </c>
      <c r="R447" s="9" t="s">
        <v>2638</v>
      </c>
      <c r="S447" s="168">
        <v>0.14630000000000001</v>
      </c>
      <c r="T447" s="9" t="s">
        <v>79</v>
      </c>
      <c r="U447" s="9" t="s">
        <v>79</v>
      </c>
      <c r="V447" s="3" t="s">
        <v>79</v>
      </c>
      <c r="W447" s="9" t="s">
        <v>79</v>
      </c>
      <c r="X447" s="3" t="s">
        <v>79</v>
      </c>
      <c r="Y447" s="3" t="s">
        <v>79</v>
      </c>
      <c r="Z447" s="9" t="s">
        <v>79</v>
      </c>
      <c r="AA447" s="3" t="s">
        <v>79</v>
      </c>
      <c r="AB447" s="9" t="s">
        <v>109</v>
      </c>
      <c r="AC447" s="9" t="s">
        <v>1689</v>
      </c>
    </row>
    <row r="448" spans="1:29" ht="15.75" customHeight="1">
      <c r="A448" s="9" t="s">
        <v>70</v>
      </c>
      <c r="B448" s="9" t="s">
        <v>119</v>
      </c>
      <c r="C448" s="9" t="s">
        <v>74</v>
      </c>
      <c r="D448" s="9" t="s">
        <v>164</v>
      </c>
      <c r="E448" s="9" t="s">
        <v>2416</v>
      </c>
      <c r="F448" s="9" t="s">
        <v>165</v>
      </c>
      <c r="G448" s="9" t="s">
        <v>79</v>
      </c>
      <c r="H448" s="9" t="s">
        <v>133</v>
      </c>
      <c r="I448" s="9" t="s">
        <v>2497</v>
      </c>
      <c r="J448" s="9">
        <v>977.32299999999998</v>
      </c>
      <c r="K448" s="9">
        <v>28</v>
      </c>
      <c r="L448" s="9">
        <v>47.308999999999997</v>
      </c>
      <c r="M448" s="9">
        <v>930.01400000000001</v>
      </c>
      <c r="N448" s="3" t="s">
        <v>97</v>
      </c>
      <c r="O448" s="9" t="s">
        <v>98</v>
      </c>
      <c r="P448" s="9" t="s">
        <v>62</v>
      </c>
      <c r="Q448" s="9" t="s">
        <v>2641</v>
      </c>
      <c r="R448" s="9" t="s">
        <v>2642</v>
      </c>
      <c r="S448" s="168">
        <v>4.3E-3</v>
      </c>
      <c r="T448" s="65">
        <v>38736</v>
      </c>
      <c r="U448" s="165">
        <v>6.7000000000000004E-2</v>
      </c>
      <c r="V448" s="168">
        <v>0.75900000000000001</v>
      </c>
      <c r="W448" s="9" t="s">
        <v>2643</v>
      </c>
      <c r="X448" s="168">
        <v>0.2293</v>
      </c>
      <c r="Y448" s="168">
        <v>0.41310000000000002</v>
      </c>
      <c r="Z448" s="9" t="s">
        <v>2644</v>
      </c>
      <c r="AA448" s="168">
        <v>0.36359999999999998</v>
      </c>
      <c r="AB448" s="9" t="s">
        <v>140</v>
      </c>
      <c r="AC448" s="9" t="s">
        <v>1689</v>
      </c>
    </row>
    <row r="449" spans="1:29" ht="15.75" customHeight="1">
      <c r="A449" s="9" t="s">
        <v>70</v>
      </c>
      <c r="B449" s="9" t="s">
        <v>119</v>
      </c>
      <c r="C449" s="9" t="s">
        <v>74</v>
      </c>
      <c r="D449" s="9" t="s">
        <v>164</v>
      </c>
      <c r="E449" s="9" t="s">
        <v>2745</v>
      </c>
      <c r="F449" s="9" t="s">
        <v>165</v>
      </c>
      <c r="G449" s="9" t="s">
        <v>79</v>
      </c>
      <c r="H449" s="9" t="s">
        <v>133</v>
      </c>
      <c r="I449" s="9" t="s">
        <v>2488</v>
      </c>
      <c r="J449" s="9">
        <v>438.84699999999998</v>
      </c>
      <c r="K449" s="9">
        <v>28</v>
      </c>
      <c r="L449" s="9">
        <v>34.216999999999999</v>
      </c>
      <c r="M449" s="9">
        <v>404.63</v>
      </c>
      <c r="N449" s="3" t="s">
        <v>97</v>
      </c>
      <c r="O449" s="9" t="s">
        <v>98</v>
      </c>
      <c r="P449" s="9" t="s">
        <v>62</v>
      </c>
      <c r="Q449" s="9" t="s">
        <v>2649</v>
      </c>
      <c r="R449" s="9" t="s">
        <v>2650</v>
      </c>
      <c r="S449" s="168">
        <v>4.0000000000000002E-4</v>
      </c>
      <c r="T449" s="65">
        <v>36627</v>
      </c>
      <c r="U449" s="165">
        <v>0.10199999999999999</v>
      </c>
      <c r="V449" s="168">
        <v>0.60199999999999998</v>
      </c>
      <c r="W449" s="9" t="s">
        <v>2651</v>
      </c>
      <c r="X449" s="168">
        <v>8.09E-2</v>
      </c>
      <c r="Y449" s="168">
        <v>0.3347</v>
      </c>
      <c r="Z449" s="9" t="s">
        <v>2652</v>
      </c>
      <c r="AA449" s="168">
        <v>0.36770000000000003</v>
      </c>
      <c r="AB449" s="9" t="s">
        <v>140</v>
      </c>
      <c r="AC449" s="9" t="s">
        <v>1689</v>
      </c>
    </row>
    <row r="450" spans="1:29" ht="15.75" customHeight="1">
      <c r="A450" s="9" t="s">
        <v>70</v>
      </c>
      <c r="B450" s="9" t="s">
        <v>119</v>
      </c>
      <c r="C450" s="9" t="s">
        <v>74</v>
      </c>
      <c r="D450" s="9" t="s">
        <v>164</v>
      </c>
      <c r="E450" s="9" t="s">
        <v>2655</v>
      </c>
      <c r="F450" s="9" t="s">
        <v>165</v>
      </c>
      <c r="G450" s="9" t="s">
        <v>79</v>
      </c>
      <c r="H450" s="9" t="s">
        <v>133</v>
      </c>
      <c r="I450" s="9" t="s">
        <v>2488</v>
      </c>
      <c r="J450" s="9" t="s">
        <v>62</v>
      </c>
      <c r="K450" s="9">
        <v>28</v>
      </c>
      <c r="L450" s="9" t="s">
        <v>62</v>
      </c>
      <c r="M450" s="9" t="s">
        <v>62</v>
      </c>
      <c r="N450" s="3" t="s">
        <v>97</v>
      </c>
      <c r="O450" s="9" t="s">
        <v>98</v>
      </c>
      <c r="P450" s="9" t="s">
        <v>62</v>
      </c>
      <c r="Q450" s="9" t="s">
        <v>2656</v>
      </c>
      <c r="R450" s="9" t="s">
        <v>2657</v>
      </c>
      <c r="S450" s="168">
        <v>6.8400000000000002E-2</v>
      </c>
      <c r="T450" s="9" t="s">
        <v>79</v>
      </c>
      <c r="U450" s="9" t="s">
        <v>79</v>
      </c>
      <c r="V450" s="168" t="s">
        <v>79</v>
      </c>
      <c r="W450" s="9" t="s">
        <v>79</v>
      </c>
      <c r="X450" s="168" t="s">
        <v>79</v>
      </c>
      <c r="Y450" s="168" t="s">
        <v>79</v>
      </c>
      <c r="Z450" s="9" t="s">
        <v>79</v>
      </c>
      <c r="AA450" s="168" t="s">
        <v>79</v>
      </c>
      <c r="AB450" s="9" t="s">
        <v>140</v>
      </c>
      <c r="AC450" s="9" t="s">
        <v>1689</v>
      </c>
    </row>
    <row r="451" spans="1:29" ht="15.75" customHeight="1">
      <c r="A451" s="9" t="s">
        <v>70</v>
      </c>
      <c r="B451" s="9" t="s">
        <v>119</v>
      </c>
      <c r="C451" s="9" t="s">
        <v>74</v>
      </c>
      <c r="D451" s="9" t="s">
        <v>164</v>
      </c>
      <c r="E451" s="9" t="s">
        <v>2658</v>
      </c>
      <c r="F451" s="9" t="s">
        <v>165</v>
      </c>
      <c r="G451" s="9" t="s">
        <v>79</v>
      </c>
      <c r="H451" s="9" t="s">
        <v>133</v>
      </c>
      <c r="I451" s="9" t="s">
        <v>2488</v>
      </c>
      <c r="J451" s="9" t="s">
        <v>62</v>
      </c>
      <c r="K451" s="9">
        <v>28</v>
      </c>
      <c r="L451" s="9" t="s">
        <v>62</v>
      </c>
      <c r="M451" s="9" t="s">
        <v>62</v>
      </c>
      <c r="N451" s="3" t="s">
        <v>97</v>
      </c>
      <c r="O451" s="9" t="s">
        <v>98</v>
      </c>
      <c r="P451" s="9" t="s">
        <v>62</v>
      </c>
      <c r="Q451" s="9" t="s">
        <v>2661</v>
      </c>
      <c r="R451" s="9" t="s">
        <v>2662</v>
      </c>
      <c r="S451" s="168">
        <v>1.7999999999999999E-2</v>
      </c>
      <c r="T451" s="65">
        <v>28023</v>
      </c>
      <c r="U451" s="165">
        <v>0.41</v>
      </c>
      <c r="V451" s="168">
        <v>0.35399999999999998</v>
      </c>
      <c r="W451" s="9" t="s">
        <v>2663</v>
      </c>
      <c r="X451" s="168">
        <v>0.1009</v>
      </c>
      <c r="Y451" s="168">
        <v>8.3000000000000004E-2</v>
      </c>
      <c r="Z451" s="9" t="s">
        <v>2664</v>
      </c>
      <c r="AA451" s="168">
        <v>0.30909999999999999</v>
      </c>
      <c r="AB451" s="9" t="s">
        <v>140</v>
      </c>
      <c r="AC451" s="9" t="s">
        <v>1689</v>
      </c>
    </row>
    <row r="452" spans="1:29" ht="15.75" customHeight="1">
      <c r="A452" s="9" t="s">
        <v>70</v>
      </c>
      <c r="B452" s="9" t="s">
        <v>119</v>
      </c>
      <c r="C452" s="9" t="s">
        <v>74</v>
      </c>
      <c r="D452" s="9" t="s">
        <v>164</v>
      </c>
      <c r="E452" s="9" t="s">
        <v>2665</v>
      </c>
      <c r="F452" s="9" t="s">
        <v>165</v>
      </c>
      <c r="G452" s="9" t="s">
        <v>79</v>
      </c>
      <c r="H452" s="9" t="s">
        <v>133</v>
      </c>
      <c r="I452" s="9" t="s">
        <v>2488</v>
      </c>
      <c r="J452" s="9" t="s">
        <v>62</v>
      </c>
      <c r="K452" s="9">
        <v>28</v>
      </c>
      <c r="L452" s="9" t="s">
        <v>62</v>
      </c>
      <c r="M452" s="9" t="s">
        <v>62</v>
      </c>
      <c r="N452" s="3" t="s">
        <v>97</v>
      </c>
      <c r="O452" s="9" t="s">
        <v>98</v>
      </c>
      <c r="P452" s="9" t="s">
        <v>62</v>
      </c>
      <c r="Q452" s="9" t="s">
        <v>2668</v>
      </c>
      <c r="R452" s="9" t="s">
        <v>2669</v>
      </c>
      <c r="S452" s="168">
        <v>0.64810000000000001</v>
      </c>
      <c r="T452" s="9" t="s">
        <v>79</v>
      </c>
      <c r="U452" s="9" t="s">
        <v>79</v>
      </c>
      <c r="V452" s="168" t="s">
        <v>79</v>
      </c>
      <c r="W452" s="9" t="s">
        <v>79</v>
      </c>
      <c r="X452" s="168" t="s">
        <v>79</v>
      </c>
      <c r="Y452" s="168" t="s">
        <v>79</v>
      </c>
      <c r="Z452" s="9" t="s">
        <v>79</v>
      </c>
      <c r="AA452" s="168" t="s">
        <v>79</v>
      </c>
      <c r="AB452" s="9" t="s">
        <v>140</v>
      </c>
      <c r="AC452" s="9" t="s">
        <v>1689</v>
      </c>
    </row>
    <row r="453" spans="1:29" ht="13.9">
      <c r="A453" s="66" t="s">
        <v>52</v>
      </c>
      <c r="B453" s="66" t="s">
        <v>196</v>
      </c>
      <c r="C453" s="66" t="s">
        <v>74</v>
      </c>
      <c r="D453" s="66" t="s">
        <v>164</v>
      </c>
      <c r="E453" s="66" t="s">
        <v>1781</v>
      </c>
      <c r="F453" s="66" t="s">
        <v>165</v>
      </c>
      <c r="G453" s="66" t="s">
        <v>1779</v>
      </c>
      <c r="H453" s="66" t="s">
        <v>133</v>
      </c>
      <c r="I453" s="66" t="s">
        <v>218</v>
      </c>
      <c r="J453" s="66">
        <f>SUM(L453:M453)</f>
        <v>214167</v>
      </c>
      <c r="K453" s="66" t="s">
        <v>79</v>
      </c>
      <c r="L453" s="66">
        <v>19023</v>
      </c>
      <c r="M453" s="66">
        <v>195144</v>
      </c>
      <c r="N453" s="66" t="s">
        <v>97</v>
      </c>
      <c r="O453" s="66" t="s">
        <v>98</v>
      </c>
      <c r="P453" s="66" t="s">
        <v>79</v>
      </c>
      <c r="Q453" s="66">
        <v>0.68</v>
      </c>
      <c r="R453" s="66" t="s">
        <v>2822</v>
      </c>
      <c r="S453" s="66" t="s">
        <v>79</v>
      </c>
      <c r="T453" s="66" t="s">
        <v>79</v>
      </c>
      <c r="U453" s="66" t="s">
        <v>79</v>
      </c>
      <c r="V453" s="66" t="s">
        <v>79</v>
      </c>
      <c r="W453" s="66" t="s">
        <v>79</v>
      </c>
      <c r="X453" s="66" t="s">
        <v>79</v>
      </c>
      <c r="Y453" s="66" t="s">
        <v>79</v>
      </c>
      <c r="Z453" s="66" t="s">
        <v>79</v>
      </c>
      <c r="AA453" s="66" t="s">
        <v>79</v>
      </c>
      <c r="AB453" s="66" t="s">
        <v>109</v>
      </c>
      <c r="AC453" s="66" t="s">
        <v>385</v>
      </c>
    </row>
    <row r="454" spans="1:29" ht="14.25">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row>
    <row r="455" spans="1:29" ht="14.2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row>
    <row r="456" spans="1:29" ht="14.25">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row>
    <row r="457" spans="1:29" ht="14.25">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row>
    <row r="458" spans="1:29" ht="14.25">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row>
    <row r="459" spans="1:29" ht="14.25">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row>
    <row r="460" spans="1:29" ht="14.25">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row>
    <row r="461" spans="1:29" ht="14.25">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row>
    <row r="462" spans="1:29" ht="14.25">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row>
    <row r="463" spans="1:29" ht="14.25">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row>
    <row r="464" spans="1:29" ht="14.25">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row>
    <row r="465" spans="1:29" ht="14.2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row>
    <row r="466" spans="1:29" ht="14.25">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row>
    <row r="467" spans="1:29" ht="14.25">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row>
    <row r="468" spans="1:29" ht="14.25">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row>
    <row r="469" spans="1:29" ht="14.25">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row>
    <row r="470" spans="1:29" ht="14.25">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row>
    <row r="471" spans="1:29" ht="14.25">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row>
    <row r="472" spans="1:29" ht="14.25">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row>
    <row r="473" spans="1:29" ht="14.25">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row>
    <row r="474" spans="1:29" ht="14.25">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row>
    <row r="475" spans="1:29" ht="14.2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row>
    <row r="476" spans="1:29" ht="14.25">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row>
    <row r="477" spans="1:29" ht="14.25">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row>
    <row r="478" spans="1:29" ht="14.25">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row>
    <row r="479" spans="1:29" ht="14.25">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row>
    <row r="480" spans="1:29" ht="14.25">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row>
    <row r="481" spans="1:29" ht="14.25">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row>
    <row r="482" spans="1:29" ht="14.25">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row>
    <row r="483" spans="1:29" ht="14.25">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row>
    <row r="484" spans="1:29" ht="14.25">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row>
    <row r="485" spans="1:29" ht="14.2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row>
    <row r="486" spans="1:29" ht="14.25">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row>
    <row r="487" spans="1:29" ht="14.25">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row>
    <row r="488" spans="1:29" ht="14.25">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row>
    <row r="489" spans="1:29" ht="14.25">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row>
    <row r="490" spans="1:29" ht="14.25">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row>
    <row r="491" spans="1:29" ht="14.25">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row>
    <row r="492" spans="1:29" ht="14.25">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row>
    <row r="493" spans="1:29" ht="14.25">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row>
    <row r="494" spans="1:29" ht="14.25">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row>
    <row r="495" spans="1:29" ht="14.2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row>
    <row r="496" spans="1:29" ht="14.25">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row>
    <row r="497" spans="1:29" ht="14.25">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row>
    <row r="498" spans="1:29" ht="14.25">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row>
    <row r="499" spans="1:29" ht="14.25">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row>
    <row r="500" spans="1:29" ht="14.25">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row>
    <row r="501" spans="1:29" ht="14.25">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row>
    <row r="502" spans="1:29" ht="14.25">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row>
    <row r="503" spans="1:29" ht="14.25">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row>
    <row r="504" spans="1:29" ht="14.25">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row>
    <row r="505" spans="1:29" ht="14.2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row>
    <row r="506" spans="1:29" ht="14.25">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row>
    <row r="507" spans="1:29" ht="14.25">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row>
    <row r="508" spans="1:29" ht="14.25">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row>
    <row r="509" spans="1:29" ht="14.25">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row>
    <row r="510" spans="1:29" ht="14.25">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row>
    <row r="511" spans="1:29" ht="14.25">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row>
    <row r="512" spans="1:29" ht="14.25">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row>
    <row r="513" spans="1:29" ht="14.25">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row>
    <row r="514" spans="1:29" ht="14.25">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row>
    <row r="515" spans="1:29" ht="14.2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row>
    <row r="516" spans="1:29" ht="14.25">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row>
    <row r="517" spans="1:29" ht="14.25">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row>
    <row r="518" spans="1:29" ht="14.25">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row>
    <row r="519" spans="1:29" ht="14.25">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row>
    <row r="520" spans="1:29" ht="14.25">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row>
    <row r="521" spans="1:29" ht="14.25">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row>
    <row r="522" spans="1:29" ht="14.25">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row>
    <row r="523" spans="1:29" ht="14.25">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row>
    <row r="524" spans="1:29" ht="14.25">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row>
    <row r="525" spans="1:29" ht="14.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row>
    <row r="526" spans="1:29" ht="14.25">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row>
    <row r="527" spans="1:29" ht="14.25">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row>
    <row r="528" spans="1:29" ht="14.25">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row>
    <row r="529" spans="1:29" ht="14.25">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row>
    <row r="530" spans="1:29" ht="14.25">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row>
    <row r="531" spans="1:29" ht="14.25">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row>
    <row r="532" spans="1:29" ht="14.25">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row>
    <row r="533" spans="1:29" ht="14.25">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row>
    <row r="534" spans="1:29" ht="14.25">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row>
    <row r="535" spans="1:29" ht="14.2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row>
    <row r="536" spans="1:29" ht="14.25">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row>
    <row r="537" spans="1:29" ht="14.25">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row>
    <row r="538" spans="1:29" ht="14.25">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row>
    <row r="539" spans="1:29" ht="14.25">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row>
    <row r="540" spans="1:29" ht="14.25">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row>
    <row r="541" spans="1:29" ht="14.25">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row>
    <row r="542" spans="1:29" ht="14.25">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row>
    <row r="543" spans="1:29" ht="14.25">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row>
    <row r="544" spans="1:29" ht="14.25">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row>
    <row r="545" spans="1:29" ht="14.2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row>
    <row r="546" spans="1:29" ht="14.25">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row>
    <row r="547" spans="1:29" ht="14.25">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row>
    <row r="548" spans="1:29" ht="14.25">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row>
    <row r="549" spans="1:29" ht="14.25">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row>
    <row r="550" spans="1:29" ht="14.25">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row>
    <row r="551" spans="1:29" ht="14.25">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row>
    <row r="552" spans="1:29" ht="14.25">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row>
    <row r="553" spans="1:29" ht="14.25">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row>
    <row r="554" spans="1:29" ht="14.25">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row>
    <row r="555" spans="1:29" ht="14.2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row>
    <row r="556" spans="1:29" ht="14.25">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row>
    <row r="557" spans="1:29" ht="14.25">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row>
    <row r="558" spans="1:29" ht="14.25">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row>
    <row r="559" spans="1:29" ht="14.25">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row>
    <row r="560" spans="1:29" ht="14.25">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row>
    <row r="561" spans="1:29" ht="14.25">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row>
    <row r="562" spans="1:29" ht="14.25">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row>
    <row r="563" spans="1:29" ht="14.25">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row>
    <row r="564" spans="1:29" ht="14.25">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row>
    <row r="565" spans="1:29" ht="14.2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row>
    <row r="566" spans="1:29" ht="14.25">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row>
    <row r="567" spans="1:29" ht="14.25">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row>
    <row r="568" spans="1:29" ht="14.25">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row>
    <row r="569" spans="1:29" ht="14.25">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row>
    <row r="570" spans="1:29" ht="14.25">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row>
    <row r="571" spans="1:29" ht="14.25">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row>
    <row r="572" spans="1:29" ht="14.25">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row>
    <row r="573" spans="1:29" ht="14.25">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row>
    <row r="574" spans="1:29" ht="14.25">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row>
    <row r="575" spans="1:29" ht="14.2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row>
    <row r="576" spans="1:29" ht="14.25">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row>
    <row r="577" spans="1:29" ht="14.25">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row>
    <row r="578" spans="1:29" ht="14.25">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row>
    <row r="579" spans="1:29" ht="14.25">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row>
    <row r="580" spans="1:29" ht="14.25">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row>
    <row r="581" spans="1:29" ht="14.25">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row>
    <row r="582" spans="1:29" ht="14.25">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row>
    <row r="583" spans="1:29" ht="14.25">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row>
    <row r="584" spans="1:29" ht="14.25">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row>
    <row r="585" spans="1:29" ht="14.2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row>
    <row r="586" spans="1:29" ht="14.25">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row>
    <row r="587" spans="1:29" ht="14.25">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row>
    <row r="588" spans="1:29" ht="14.25">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row>
    <row r="589" spans="1:29" ht="14.25">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row>
    <row r="590" spans="1:29" ht="14.25">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row>
    <row r="591" spans="1:29" ht="14.25">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row>
    <row r="592" spans="1:29" ht="14.25">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row>
    <row r="593" spans="1:29" ht="14.25">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row>
    <row r="594" spans="1:29" ht="14.25">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row>
    <row r="595" spans="1:29" ht="14.2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row>
    <row r="596" spans="1:29" ht="14.25">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row>
    <row r="597" spans="1:29" ht="14.25">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row>
    <row r="598" spans="1:29" ht="14.25">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row>
    <row r="599" spans="1:29" ht="14.25">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row>
    <row r="600" spans="1:29" ht="14.25">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row>
    <row r="601" spans="1:29" ht="14.25">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row>
    <row r="602" spans="1:29" ht="14.25">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row>
    <row r="603" spans="1:29" ht="14.25">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row>
    <row r="604" spans="1:29" ht="14.25">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row>
    <row r="605" spans="1:29" ht="14.2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row>
    <row r="606" spans="1:29" ht="14.25">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row>
    <row r="607" spans="1:29" ht="14.25">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row>
    <row r="608" spans="1:29" ht="14.25">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row>
    <row r="609" spans="1:29" ht="14.25">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row>
    <row r="610" spans="1:29" ht="14.25">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row>
    <row r="611" spans="1:29" ht="14.25">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row>
    <row r="612" spans="1:29" ht="14.25">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row>
    <row r="613" spans="1:29" ht="14.25">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row>
    <row r="614" spans="1:29" ht="14.25">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row>
    <row r="615" spans="1:29" ht="14.2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row>
    <row r="616" spans="1:29" ht="14.25">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row>
    <row r="617" spans="1:29" ht="14.25">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row>
    <row r="618" spans="1:29" ht="14.25">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row>
    <row r="619" spans="1:29" ht="14.25">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row>
    <row r="620" spans="1:29" ht="14.25">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row>
    <row r="621" spans="1:29" ht="14.25">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row>
    <row r="622" spans="1:29" ht="14.25">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row>
    <row r="623" spans="1:29" ht="14.25">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row>
    <row r="624" spans="1:29" ht="14.25">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row>
    <row r="625" spans="1:29" ht="14.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row>
    <row r="626" spans="1:29" ht="14.25">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row>
    <row r="627" spans="1:29" ht="14.25">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row>
    <row r="628" spans="1:29" ht="14.25">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row>
    <row r="629" spans="1:29" ht="14.25">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row>
    <row r="630" spans="1:29" ht="14.25">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row>
    <row r="631" spans="1:29" ht="14.25">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row>
    <row r="632" spans="1:29" ht="14.25">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row>
    <row r="633" spans="1:29" ht="14.25">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row>
    <row r="634" spans="1:29" ht="14.25">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row>
    <row r="635" spans="1:29" ht="14.2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row>
    <row r="636" spans="1:29" ht="14.25">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row>
    <row r="637" spans="1:29" ht="14.25">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row>
    <row r="638" spans="1:29" ht="14.25">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row>
    <row r="639" spans="1:29" ht="14.25">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row>
    <row r="640" spans="1:29" ht="14.25">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row>
    <row r="641" spans="1:29" ht="14.25">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row>
    <row r="642" spans="1:29" ht="14.25">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row>
    <row r="643" spans="1:29" ht="14.25">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row>
    <row r="644" spans="1:29" ht="14.25">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row>
    <row r="645" spans="1:29" ht="14.2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row>
    <row r="646" spans="1:29" ht="14.25">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row>
    <row r="647" spans="1:29" ht="14.25">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row>
    <row r="648" spans="1:29" ht="14.25">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row>
    <row r="649" spans="1:29" ht="14.25">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row>
    <row r="650" spans="1:29" ht="14.25">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row>
    <row r="651" spans="1:29" ht="14.25">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row>
    <row r="652" spans="1:29" ht="14.25">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row>
    <row r="653" spans="1:29" ht="14.25">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row>
    <row r="654" spans="1:29" ht="14.25">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row>
    <row r="655" spans="1:29" ht="14.2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row>
    <row r="656" spans="1:29" ht="14.25">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row>
    <row r="657" spans="1:29" ht="14.25">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row>
    <row r="658" spans="1:29" ht="14.25">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row>
    <row r="659" spans="1:29" ht="14.25">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row>
    <row r="660" spans="1:29" ht="14.25">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row>
    <row r="661" spans="1:29" ht="14.25">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row>
    <row r="662" spans="1:29" ht="14.25">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row>
    <row r="663" spans="1:29" ht="14.25">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row>
    <row r="664" spans="1:29" ht="14.25">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row>
    <row r="665" spans="1:29" ht="14.2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row>
    <row r="666" spans="1:29" ht="14.25">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row>
    <row r="667" spans="1:29" ht="14.25">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row>
    <row r="668" spans="1:29" ht="14.25">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row>
    <row r="669" spans="1:29" ht="14.25">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row>
    <row r="670" spans="1:29" ht="14.25">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row>
    <row r="671" spans="1:29" ht="14.25">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row>
    <row r="672" spans="1:29" ht="14.25">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row>
    <row r="673" spans="1:29" ht="14.25">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row>
    <row r="674" spans="1:29" ht="14.25">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row>
    <row r="675" spans="1:29" ht="14.2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row>
    <row r="676" spans="1:29" ht="14.25">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row>
    <row r="677" spans="1:29" ht="14.25">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row>
    <row r="678" spans="1:29" ht="14.25">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row>
    <row r="679" spans="1:29" ht="14.25">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row>
    <row r="680" spans="1:29" ht="14.25">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row>
    <row r="681" spans="1:29" ht="14.25">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row>
    <row r="682" spans="1:29" ht="14.25">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row>
    <row r="683" spans="1:29" ht="14.25">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row>
    <row r="684" spans="1:29" ht="14.25">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row>
    <row r="685" spans="1:29" ht="14.2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row>
    <row r="686" spans="1:29" ht="14.25">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row>
    <row r="687" spans="1:29" ht="14.25">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row>
    <row r="688" spans="1:29" ht="14.25">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row>
    <row r="689" spans="1:29" ht="14.25">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row>
    <row r="690" spans="1:29" ht="14.25">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row>
    <row r="691" spans="1:29" ht="14.25">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row>
    <row r="692" spans="1:29" ht="14.25">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row>
    <row r="693" spans="1:29" ht="14.25">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row>
    <row r="694" spans="1:29" ht="14.25">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row>
    <row r="695" spans="1:29" ht="14.2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row>
    <row r="696" spans="1:29" ht="14.25">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row>
    <row r="697" spans="1:29" ht="14.25">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row>
    <row r="698" spans="1:29" ht="14.25">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row>
    <row r="699" spans="1:29" ht="14.25">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row>
    <row r="700" spans="1:29" ht="14.25">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row>
    <row r="701" spans="1:29" ht="14.25">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row>
    <row r="702" spans="1:29" ht="14.25">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row>
    <row r="703" spans="1:29" ht="14.25">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row>
    <row r="704" spans="1:29" ht="14.25">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row>
    <row r="705" spans="1:29" ht="14.2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row>
    <row r="706" spans="1:29" ht="14.25">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row>
    <row r="707" spans="1:29" ht="14.25">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row>
    <row r="708" spans="1:29" ht="14.25">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row>
    <row r="709" spans="1:29" ht="14.25">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row>
    <row r="710" spans="1:29" ht="14.25">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row>
    <row r="711" spans="1:29" ht="14.25">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row>
    <row r="712" spans="1:29" ht="14.25">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row>
    <row r="713" spans="1:29" ht="14.25">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row>
    <row r="714" spans="1:29" ht="14.25">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row>
    <row r="715" spans="1:29" ht="14.2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row>
    <row r="716" spans="1:29" ht="14.25">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row>
    <row r="717" spans="1:29" ht="14.25">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row>
    <row r="718" spans="1:29" ht="14.25">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row>
    <row r="719" spans="1:29" ht="14.25">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row>
    <row r="720" spans="1:29" ht="14.25">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row>
    <row r="721" spans="1:29" ht="14.25">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row>
    <row r="722" spans="1:29" ht="14.25">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row>
    <row r="723" spans="1:29" ht="14.25">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row>
    <row r="724" spans="1:29" ht="14.25">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row>
    <row r="725" spans="1:29" ht="14.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row>
    <row r="726" spans="1:29" ht="14.25">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row>
    <row r="727" spans="1:29" ht="14.25">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row>
    <row r="728" spans="1:29" ht="14.25">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row>
    <row r="729" spans="1:29" ht="14.25">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row>
    <row r="730" spans="1:29" ht="14.25">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row>
    <row r="731" spans="1:29" ht="14.25">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row>
    <row r="732" spans="1:29" ht="14.25">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row>
    <row r="733" spans="1:29" ht="14.25">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row>
    <row r="734" spans="1:29" ht="14.25">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row>
    <row r="735" spans="1:29" ht="14.2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row>
    <row r="736" spans="1:29" ht="14.25">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row>
    <row r="737" spans="1:29" ht="14.25">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row>
    <row r="738" spans="1:29" ht="14.25">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row>
    <row r="739" spans="1:29" ht="14.25">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row>
    <row r="740" spans="1:29" ht="14.25">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row>
    <row r="741" spans="1:29" ht="14.25">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row>
    <row r="742" spans="1:29" ht="14.25">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row>
    <row r="743" spans="1:29" ht="14.25">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row>
    <row r="744" spans="1:29" ht="14.25">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row>
    <row r="745" spans="1:29" ht="14.2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row>
    <row r="746" spans="1:29" ht="14.25">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row>
    <row r="747" spans="1:29" ht="14.25">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row>
    <row r="748" spans="1:29" ht="14.25">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row>
    <row r="749" spans="1:29" ht="14.25">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row>
    <row r="750" spans="1:29" ht="14.25">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row>
    <row r="751" spans="1:29" ht="14.25">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row>
    <row r="752" spans="1:29" ht="14.25">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row>
    <row r="753" spans="1:29" ht="14.25">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row>
    <row r="754" spans="1:29" ht="14.25">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row>
    <row r="755" spans="1:29" ht="14.2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row>
    <row r="756" spans="1:29" ht="14.25">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row>
    <row r="757" spans="1:29" ht="14.25">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row>
    <row r="758" spans="1:29" ht="14.25">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row>
    <row r="759" spans="1:29" ht="14.25">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row>
    <row r="760" spans="1:29" ht="14.25">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row>
    <row r="761" spans="1:29" ht="14.25">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row>
    <row r="762" spans="1:29" ht="14.25">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row>
    <row r="763" spans="1:29" ht="14.25">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row>
    <row r="764" spans="1:29" ht="14.25">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row>
    <row r="765" spans="1:29" ht="14.2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row>
    <row r="766" spans="1:29" ht="14.25">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row>
    <row r="767" spans="1:29" ht="14.25">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row>
    <row r="768" spans="1:29" ht="14.25">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row>
    <row r="769" spans="1:29" ht="14.25">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row>
    <row r="770" spans="1:29" ht="14.25">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row>
    <row r="771" spans="1:29" ht="14.25">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row>
    <row r="772" spans="1:29" ht="14.25">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row>
    <row r="773" spans="1:29" ht="14.25">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row>
    <row r="774" spans="1:29" ht="14.25">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row>
    <row r="775" spans="1:29" ht="14.2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row>
    <row r="776" spans="1:29" ht="14.25">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row>
    <row r="777" spans="1:29" ht="14.25">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row>
    <row r="778" spans="1:29" ht="14.25">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row>
    <row r="779" spans="1:29" ht="14.25">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row>
    <row r="780" spans="1:29" ht="14.25">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row>
    <row r="781" spans="1:29" ht="14.25">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row>
    <row r="782" spans="1:29" ht="14.25">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row>
    <row r="783" spans="1:29" ht="14.25">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row>
    <row r="784" spans="1:29" ht="14.25">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row>
    <row r="785" spans="1:29" ht="14.2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row>
    <row r="786" spans="1:29" ht="14.25">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row>
    <row r="787" spans="1:29" ht="14.25">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row>
    <row r="788" spans="1:29" ht="14.25">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row>
    <row r="789" spans="1:29" ht="14.25">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row>
    <row r="790" spans="1:29" ht="14.25">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row>
    <row r="791" spans="1:29" ht="14.25">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row>
    <row r="792" spans="1:29" ht="14.25">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row>
    <row r="793" spans="1:29" ht="14.25">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row>
    <row r="794" spans="1:29" ht="14.25">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row>
    <row r="795" spans="1:29" ht="14.2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row>
    <row r="796" spans="1:29" ht="14.25">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row>
    <row r="797" spans="1:29" ht="14.25">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row>
    <row r="798" spans="1:29" ht="14.25">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row>
    <row r="799" spans="1:29" ht="14.25">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row>
    <row r="800" spans="1:29" ht="14.25">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row>
    <row r="801" spans="1:29" ht="14.25">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row>
    <row r="802" spans="1:29" ht="14.25">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row>
    <row r="803" spans="1:29" ht="14.25">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row>
    <row r="804" spans="1:29" ht="14.25">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row>
    <row r="805" spans="1:29" ht="14.2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row>
    <row r="806" spans="1:29" ht="14.25">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row>
    <row r="807" spans="1:29" ht="14.25">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row>
    <row r="808" spans="1:29" ht="14.25">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row>
    <row r="809" spans="1:29" ht="14.25">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row>
    <row r="810" spans="1:29" ht="14.25">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row>
    <row r="811" spans="1:29" ht="14.25">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row>
    <row r="812" spans="1:29" ht="14.25">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row>
    <row r="813" spans="1:29" ht="14.25">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row>
    <row r="814" spans="1:29" ht="14.25">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row>
    <row r="815" spans="1:29" ht="14.2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row>
    <row r="816" spans="1:29" ht="14.25">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row>
    <row r="817" spans="1:29" ht="14.25">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row>
    <row r="818" spans="1:29" ht="14.25">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row>
    <row r="819" spans="1:29" ht="14.25">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row>
    <row r="820" spans="1:29" ht="14.25">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row>
    <row r="821" spans="1:29" ht="14.25">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row>
    <row r="822" spans="1:29" ht="14.25">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row>
    <row r="823" spans="1:29" ht="14.25">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row>
    <row r="824" spans="1:29" ht="14.25">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row>
    <row r="825" spans="1:29" ht="14.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row>
    <row r="826" spans="1:29" ht="14.25">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row>
    <row r="827" spans="1:29" ht="14.25">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row>
    <row r="828" spans="1:29" ht="14.25">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row>
    <row r="829" spans="1:29" ht="14.25">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row>
    <row r="830" spans="1:29" ht="14.25">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row>
    <row r="831" spans="1:29" ht="14.25">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row>
    <row r="832" spans="1:29" ht="14.25">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row>
    <row r="833" spans="1:29" ht="14.25">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row>
    <row r="834" spans="1:29" ht="14.25">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row>
    <row r="835" spans="1:29" ht="14.2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row>
    <row r="836" spans="1:29" ht="14.25">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row>
    <row r="837" spans="1:29" ht="14.25">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row>
    <row r="838" spans="1:29" ht="14.25">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row>
    <row r="839" spans="1:29" ht="14.25">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row>
    <row r="840" spans="1:29" ht="14.25">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row>
    <row r="841" spans="1:29" ht="14.25">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row>
    <row r="842" spans="1:29" ht="14.25">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row>
    <row r="843" spans="1:29" ht="14.25">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row>
    <row r="844" spans="1:29" ht="14.25">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row>
    <row r="845" spans="1:29" ht="14.2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row>
    <row r="846" spans="1:29" ht="14.25">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row>
    <row r="847" spans="1:29" ht="14.25">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row>
    <row r="848" spans="1:29" ht="14.25">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row>
    <row r="849" spans="1:29" ht="14.25">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row>
    <row r="850" spans="1:29" ht="14.25">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row>
    <row r="851" spans="1:29" ht="14.25">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row>
    <row r="852" spans="1:29" ht="14.25">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row>
    <row r="853" spans="1:29" ht="14.25">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row>
    <row r="854" spans="1:29" ht="14.25">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row>
    <row r="855" spans="1:29" ht="14.2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row>
    <row r="856" spans="1:29" ht="14.25">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row>
    <row r="857" spans="1:29" ht="14.25">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row>
    <row r="858" spans="1:29" ht="14.25">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row>
    <row r="859" spans="1:29" ht="14.25">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row>
    <row r="860" spans="1:29" ht="14.25">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row>
    <row r="861" spans="1:29" ht="14.25">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row>
    <row r="862" spans="1:29" ht="14.25">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row>
    <row r="863" spans="1:29" ht="14.25">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row>
    <row r="864" spans="1:29" ht="14.25">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row>
    <row r="865" spans="1:29" ht="14.2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row>
    <row r="866" spans="1:29" ht="14.25">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row>
    <row r="867" spans="1:29" ht="14.25">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row>
    <row r="868" spans="1:29" ht="14.25">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row>
    <row r="869" spans="1:29" ht="14.25">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row>
    <row r="870" spans="1:29" ht="14.25">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row>
    <row r="871" spans="1:29" ht="14.25">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row>
    <row r="872" spans="1:29" ht="14.25">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row>
    <row r="873" spans="1:29" ht="14.25">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row>
    <row r="874" spans="1:29" ht="14.25">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row>
    <row r="875" spans="1:29" ht="14.2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row>
    <row r="876" spans="1:29" ht="14.25">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row>
    <row r="877" spans="1:29" ht="14.25">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row>
    <row r="878" spans="1:29" ht="14.25">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row>
    <row r="879" spans="1:29" ht="14.25">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row>
    <row r="880" spans="1:29" ht="14.25">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row>
    <row r="881" spans="1:29" ht="14.25">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row>
    <row r="882" spans="1:29" ht="14.25">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row>
    <row r="883" spans="1:29" ht="14.25">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row>
    <row r="884" spans="1:29" ht="14.25">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row>
    <row r="885" spans="1:29" ht="14.2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row>
    <row r="886" spans="1:29" ht="14.25">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row>
    <row r="887" spans="1:29" ht="14.25">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row>
    <row r="888" spans="1:29" ht="14.25">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row>
    <row r="889" spans="1:29" ht="14.25">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row>
    <row r="890" spans="1:29" ht="14.25">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row>
    <row r="891" spans="1:29" ht="14.25">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row>
    <row r="892" spans="1:29" ht="14.25">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row>
    <row r="893" spans="1:29" ht="14.25">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row>
    <row r="894" spans="1:29" ht="14.25">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row>
    <row r="895" spans="1:29" ht="14.2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row>
    <row r="896" spans="1:29" ht="14.25">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row>
    <row r="897" spans="1:29" ht="14.25">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row>
    <row r="898" spans="1:29" ht="14.25">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row>
    <row r="899" spans="1:29" ht="14.25">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row>
    <row r="900" spans="1:29" ht="14.25">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row>
    <row r="901" spans="1:29" ht="14.25">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row>
    <row r="902" spans="1:29" ht="14.25">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row>
    <row r="903" spans="1:29" ht="14.25">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row>
    <row r="904" spans="1:29" ht="14.25">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row>
    <row r="905" spans="1:29" ht="14.2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row>
    <row r="906" spans="1:29" ht="14.25">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row>
    <row r="907" spans="1:29" ht="14.25">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row>
    <row r="908" spans="1:29" ht="14.25">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row>
    <row r="909" spans="1:29" ht="14.25">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row>
    <row r="910" spans="1:29" ht="14.25">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row>
    <row r="911" spans="1:29" ht="14.25">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row>
    <row r="912" spans="1:29" ht="14.25">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row>
    <row r="913" spans="1:29" ht="14.25">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row>
    <row r="914" spans="1:29" ht="14.25">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row>
    <row r="915" spans="1:29" ht="14.2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row>
    <row r="916" spans="1:29" ht="14.25">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row>
    <row r="917" spans="1:29" ht="14.25">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row>
    <row r="918" spans="1:29" ht="14.25">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row>
    <row r="919" spans="1:29" ht="14.25">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row>
    <row r="920" spans="1:29" ht="14.25">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row>
    <row r="921" spans="1:29" ht="14.25">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row>
    <row r="922" spans="1:29" ht="14.25">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row>
    <row r="923" spans="1:29" ht="14.25">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row>
    <row r="924" spans="1:29" ht="14.25">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row>
    <row r="925" spans="1:29" ht="14.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row>
    <row r="926" spans="1:29" ht="14.25">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row>
    <row r="927" spans="1:29" ht="14.25">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row>
    <row r="928" spans="1:29" ht="14.25">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row>
    <row r="929" spans="1:29" ht="14.25">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row>
    <row r="930" spans="1:29" ht="14.25">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row>
    <row r="931" spans="1:29" ht="14.25">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row>
    <row r="932" spans="1:29" ht="14.25">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row>
    <row r="933" spans="1:29" ht="14.25">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row>
    <row r="934" spans="1:29" ht="14.25">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row>
    <row r="935" spans="1:29" ht="14.2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row>
    <row r="936" spans="1:29" ht="14.25">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row>
    <row r="937" spans="1:29" ht="14.25">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row>
    <row r="938" spans="1:29" ht="14.25">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row>
    <row r="939" spans="1:29" ht="14.25">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row>
    <row r="940" spans="1:29" ht="14.25">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row>
    <row r="941" spans="1:29" ht="14.25">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row>
    <row r="942" spans="1:29" ht="14.25">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row>
    <row r="943" spans="1:29" ht="14.25">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row>
    <row r="944" spans="1:29" ht="14.25">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row>
    <row r="945" spans="1:29" ht="14.2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row>
    <row r="946" spans="1:29" ht="14.25">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row>
    <row r="947" spans="1:29" ht="14.25">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row>
    <row r="948" spans="1:29" ht="14.25">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row>
    <row r="949" spans="1:29" ht="14.25">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row>
    <row r="950" spans="1:29" ht="14.25">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row>
    <row r="951" spans="1:29" ht="14.25">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row>
    <row r="952" spans="1:29" ht="14.25">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row>
    <row r="953" spans="1:29" ht="14.25">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row>
    <row r="954" spans="1:29" ht="14.25">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row>
    <row r="955" spans="1:29" ht="14.2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row>
    <row r="956" spans="1:29" ht="14.25">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row>
    <row r="957" spans="1:29" ht="14.25">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row>
    <row r="958" spans="1:29" ht="14.25">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row>
    <row r="959" spans="1:29" ht="14.25">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row>
    <row r="960" spans="1:29" ht="14.25">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row>
    <row r="961" spans="1:29" ht="14.25">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row>
    <row r="962" spans="1:29" ht="14.25">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row>
    <row r="963" spans="1:29" ht="14.25">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row>
    <row r="964" spans="1:29" ht="14.25">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row>
    <row r="965" spans="1:29" ht="14.2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row>
    <row r="966" spans="1:29" ht="14.25">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row>
    <row r="967" spans="1:29" ht="14.25">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row>
    <row r="968" spans="1:29" ht="14.25">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row>
    <row r="969" spans="1:29" ht="14.25">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row>
    <row r="970" spans="1:29" ht="14.25">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row>
    <row r="971" spans="1:29" ht="14.25">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row>
    <row r="972" spans="1:29" ht="14.25">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row>
    <row r="973" spans="1:29" ht="14.25">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row>
    <row r="974" spans="1:29" ht="14.25">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row>
    <row r="975" spans="1:29" ht="14.2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row>
    <row r="976" spans="1:29" ht="14.25">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row>
    <row r="977" spans="1:29" ht="14.25">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row>
    <row r="978" spans="1:29" ht="14.25">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row>
    <row r="979" spans="1:29" ht="14.25">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row>
    <row r="980" spans="1:29" ht="14.25">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row>
    <row r="981" spans="1:29" ht="14.25">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row>
    <row r="982" spans="1:29" ht="14.25">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row>
    <row r="983" spans="1:29" ht="14.25">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row>
    <row r="984" spans="1:29" ht="14.25">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row>
    <row r="985" spans="1:29" ht="14.25">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row>
    <row r="986" spans="1:29" ht="14.25">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row>
    <row r="987" spans="1:29" ht="14.25">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row>
    <row r="988" spans="1:29" ht="14.25">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row>
    <row r="989" spans="1:29" ht="14.25">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row>
    <row r="990" spans="1:29" ht="14.25">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row>
    <row r="991" spans="1:29" ht="14.25">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row>
    <row r="992" spans="1:29" ht="14.25">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row>
    <row r="993" spans="1:29" ht="14.25">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row>
  </sheetData>
  <autoFilter ref="A3:AC453" xr:uid="{00000000-0009-0000-0000-000001000000}"/>
  <customSheetViews>
    <customSheetView guid="{64194213-366E-4200-B62A-79C273700EBA}" filter="1" showAutoFilter="1">
      <pageMargins left="0.7" right="0.7" top="0.75" bottom="0.75" header="0.3" footer="0.3"/>
      <autoFilter ref="A1:AX454" xr:uid="{E7F639A8-CAF2-4D34-BE7D-0F143ABA6D8A}"/>
    </customSheetView>
  </customSheetViews>
  <mergeCells count="6">
    <mergeCell ref="A1:AC1"/>
    <mergeCell ref="B2:P2"/>
    <mergeCell ref="Q2:U2"/>
    <mergeCell ref="V2:X2"/>
    <mergeCell ref="Y2:AA2"/>
    <mergeCell ref="AB2:AC2"/>
  </mergeCells>
  <conditionalFormatting sqref="A156:AC159">
    <cfRule type="containsBlanks" dxfId="2" priority="1">
      <formula>LEN(TRIM(A156))=0</formula>
    </cfRule>
  </conditionalFormatting>
  <dataValidations count="1">
    <dataValidation type="list" allowBlank="1" showErrorMessage="1" sqref="P310:P313 C4:C993 AB4:AC993 O4:O993" xr:uid="{00000000-0002-0000-0100-000001000000}">
      <formula1>#REF!</formula1>
    </dataValidation>
  </dataValidations>
  <hyperlinks>
    <hyperlink ref="G4" r:id="rId1" xr:uid="{00000000-0004-0000-0100-000000000000}"/>
    <hyperlink ref="G5" r:id="rId2" xr:uid="{00000000-0004-0000-0100-000001000000}"/>
    <hyperlink ref="G6" r:id="rId3" xr:uid="{00000000-0004-0000-0100-000002000000}"/>
    <hyperlink ref="G7" r:id="rId4" xr:uid="{00000000-0004-0000-0100-000003000000}"/>
    <hyperlink ref="G8" r:id="rId5" xr:uid="{00000000-0004-0000-0100-000004000000}"/>
    <hyperlink ref="G9" r:id="rId6" xr:uid="{00000000-0004-0000-0100-000005000000}"/>
    <hyperlink ref="G10" r:id="rId7" xr:uid="{00000000-0004-0000-0100-000006000000}"/>
    <hyperlink ref="G11" r:id="rId8" xr:uid="{00000000-0004-0000-0100-000007000000}"/>
    <hyperlink ref="G12" r:id="rId9" xr:uid="{00000000-0004-0000-0100-000008000000}"/>
    <hyperlink ref="G13" r:id="rId10" xr:uid="{00000000-0004-0000-0100-000009000000}"/>
    <hyperlink ref="G14" r:id="rId11" xr:uid="{00000000-0004-0000-0100-00000A000000}"/>
    <hyperlink ref="G15" r:id="rId12" xr:uid="{00000000-0004-0000-0100-00000B000000}"/>
    <hyperlink ref="G16" r:id="rId13" xr:uid="{00000000-0004-0000-0100-00000C000000}"/>
    <hyperlink ref="G17" r:id="rId14" xr:uid="{00000000-0004-0000-0100-00000D000000}"/>
    <hyperlink ref="G18" r:id="rId15" xr:uid="{00000000-0004-0000-0100-00000E000000}"/>
    <hyperlink ref="G19" r:id="rId16" xr:uid="{00000000-0004-0000-0100-00000F000000}"/>
    <hyperlink ref="G20" r:id="rId17" xr:uid="{00000000-0004-0000-0100-000010000000}"/>
    <hyperlink ref="G21" r:id="rId18" xr:uid="{00000000-0004-0000-0100-000011000000}"/>
    <hyperlink ref="G22" r:id="rId19" xr:uid="{00000000-0004-0000-0100-000012000000}"/>
    <hyperlink ref="G23" r:id="rId20" xr:uid="{00000000-0004-0000-0100-000013000000}"/>
    <hyperlink ref="G24" r:id="rId21" xr:uid="{00000000-0004-0000-0100-000014000000}"/>
    <hyperlink ref="G25" r:id="rId22" xr:uid="{00000000-0004-0000-0100-000015000000}"/>
    <hyperlink ref="G26" r:id="rId23" xr:uid="{00000000-0004-0000-0100-000016000000}"/>
    <hyperlink ref="G27" r:id="rId24" xr:uid="{00000000-0004-0000-0100-000017000000}"/>
    <hyperlink ref="G28" r:id="rId25" xr:uid="{00000000-0004-0000-0100-000018000000}"/>
    <hyperlink ref="F102" r:id="rId26" location="Sec15" xr:uid="{00000000-0004-0000-0100-000019000000}"/>
    <hyperlink ref="G102" r:id="rId27" xr:uid="{00000000-0004-0000-0100-00001A000000}"/>
    <hyperlink ref="G103" r:id="rId28" xr:uid="{00000000-0004-0000-0100-00001B000000}"/>
    <hyperlink ref="G104" r:id="rId29" xr:uid="{00000000-0004-0000-0100-00001C000000}"/>
    <hyperlink ref="G105" r:id="rId30" xr:uid="{00000000-0004-0000-0100-00001D000000}"/>
    <hyperlink ref="G106" r:id="rId31" xr:uid="{00000000-0004-0000-0100-00001E000000}"/>
    <hyperlink ref="G107" r:id="rId32" xr:uid="{00000000-0004-0000-0100-00001F000000}"/>
    <hyperlink ref="G108" r:id="rId33" xr:uid="{00000000-0004-0000-0100-000020000000}"/>
    <hyperlink ref="G109" r:id="rId34" xr:uid="{00000000-0004-0000-0100-000021000000}"/>
    <hyperlink ref="G110" r:id="rId35" xr:uid="{00000000-0004-0000-0100-000022000000}"/>
    <hyperlink ref="G111" r:id="rId36" xr:uid="{00000000-0004-0000-0100-000023000000}"/>
    <hyperlink ref="G112" r:id="rId37" xr:uid="{00000000-0004-0000-0100-000024000000}"/>
    <hyperlink ref="G113" r:id="rId38" xr:uid="{00000000-0004-0000-0100-000025000000}"/>
    <hyperlink ref="G114" r:id="rId39" xr:uid="{00000000-0004-0000-0100-000026000000}"/>
    <hyperlink ref="G115" r:id="rId40" xr:uid="{00000000-0004-0000-0100-000027000000}"/>
    <hyperlink ref="G116" r:id="rId41" xr:uid="{00000000-0004-0000-0100-000028000000}"/>
    <hyperlink ref="G117" r:id="rId42" xr:uid="{00000000-0004-0000-0100-000029000000}"/>
    <hyperlink ref="G118" r:id="rId43" xr:uid="{00000000-0004-0000-0100-00002A000000}"/>
    <hyperlink ref="G183" r:id="rId44" xr:uid="{00000000-0004-0000-0100-00002B000000}"/>
    <hyperlink ref="G184" r:id="rId45" xr:uid="{00000000-0004-0000-0100-00002C000000}"/>
    <hyperlink ref="G185" r:id="rId46" xr:uid="{00000000-0004-0000-0100-00002D000000}"/>
    <hyperlink ref="G186" r:id="rId47" xr:uid="{00000000-0004-0000-0100-00002E000000}"/>
    <hyperlink ref="G211" r:id="rId48" xr:uid="{00000000-0004-0000-0100-00002F000000}"/>
    <hyperlink ref="F271" r:id="rId49" xr:uid="{00000000-0004-0000-0100-000030000000}"/>
    <hyperlink ref="F273" r:id="rId50" xr:uid="{00000000-0004-0000-0100-000031000000}"/>
  </hyperlinks>
  <pageMargins left="0.7" right="0.7" top="0.75" bottom="0.75" header="0" footer="0"/>
  <pageSetup orientation="landscape"/>
  <legacyDrawing r:id="rId5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AD919"/>
  <sheetViews>
    <sheetView topLeftCell="D1" workbookViewId="0">
      <pane ySplit="3" topLeftCell="A76" activePane="bottomLeft" state="frozen"/>
      <selection pane="bottomLeft" activeCell="E387" sqref="E387"/>
    </sheetView>
  </sheetViews>
  <sheetFormatPr defaultColWidth="14.42578125" defaultRowHeight="15.75" customHeight="1"/>
  <cols>
    <col min="1" max="2" width="13.28515625" customWidth="1"/>
    <col min="3" max="3" width="8.85546875" customWidth="1"/>
    <col min="4" max="4" width="33.7109375" customWidth="1"/>
    <col min="5" max="5" width="28.140625" customWidth="1"/>
    <col min="6" max="7" width="16.28515625" customWidth="1"/>
    <col min="8" max="8" width="19.85546875" customWidth="1"/>
    <col min="9" max="9" width="12.140625" customWidth="1"/>
    <col min="10" max="10" width="11" customWidth="1"/>
    <col min="11" max="11" width="14" customWidth="1"/>
    <col min="12" max="12" width="15" customWidth="1"/>
    <col min="13" max="13" width="10.42578125" customWidth="1"/>
    <col min="14" max="14" width="13.7109375" customWidth="1"/>
    <col min="15" max="15" width="8.7109375" customWidth="1"/>
    <col min="16" max="16" width="14.28515625" customWidth="1"/>
    <col min="17" max="17" width="10.42578125" customWidth="1"/>
    <col min="18" max="25" width="14.140625" customWidth="1"/>
    <col min="26" max="26" width="11" customWidth="1"/>
    <col min="27" max="27" width="19.140625" customWidth="1"/>
    <col min="28" max="28" width="19" customWidth="1"/>
    <col min="29" max="29" width="10.42578125" customWidth="1"/>
    <col min="30" max="30" width="13.7109375" customWidth="1"/>
  </cols>
  <sheetData>
    <row r="1" spans="1:30" ht="14.25">
      <c r="A1" s="175" t="s">
        <v>1</v>
      </c>
      <c r="B1" s="169"/>
      <c r="C1" s="169"/>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169"/>
      <c r="AD1" s="169"/>
    </row>
    <row r="2" spans="1:30" ht="14.25">
      <c r="A2" s="8"/>
      <c r="B2" s="176" t="s">
        <v>14</v>
      </c>
      <c r="C2" s="169"/>
      <c r="D2" s="169"/>
      <c r="E2" s="169"/>
      <c r="F2" s="169"/>
      <c r="G2" s="169"/>
      <c r="H2" s="169"/>
      <c r="I2" s="169"/>
      <c r="J2" s="169"/>
      <c r="K2" s="169"/>
      <c r="L2" s="169"/>
      <c r="M2" s="169"/>
      <c r="N2" s="169"/>
      <c r="O2" s="169"/>
      <c r="P2" s="169"/>
      <c r="Q2" s="169"/>
      <c r="R2" s="177" t="s">
        <v>15</v>
      </c>
      <c r="S2" s="169"/>
      <c r="T2" s="169"/>
      <c r="U2" s="169"/>
      <c r="V2" s="169"/>
      <c r="W2" s="176" t="s">
        <v>16</v>
      </c>
      <c r="X2" s="169"/>
      <c r="Y2" s="169"/>
      <c r="Z2" s="178" t="s">
        <v>17</v>
      </c>
      <c r="AA2" s="169"/>
      <c r="AB2" s="169"/>
      <c r="AC2" s="179" t="s">
        <v>18</v>
      </c>
      <c r="AD2" s="169"/>
    </row>
    <row r="3" spans="1:30" ht="14.25">
      <c r="A3" s="10" t="s">
        <v>23</v>
      </c>
      <c r="B3" s="10" t="s">
        <v>0</v>
      </c>
      <c r="C3" s="10" t="s">
        <v>28</v>
      </c>
      <c r="D3" s="10" t="s">
        <v>29</v>
      </c>
      <c r="E3" s="10" t="s">
        <v>31</v>
      </c>
      <c r="F3" s="10"/>
      <c r="G3" s="10" t="s">
        <v>34</v>
      </c>
      <c r="H3" s="10" t="s">
        <v>36</v>
      </c>
      <c r="I3" s="10" t="s">
        <v>37</v>
      </c>
      <c r="J3" s="10" t="s">
        <v>38</v>
      </c>
      <c r="K3" s="10" t="s">
        <v>39</v>
      </c>
      <c r="L3" s="10" t="s">
        <v>41</v>
      </c>
      <c r="M3" s="10" t="s">
        <v>42</v>
      </c>
      <c r="N3" s="10" t="s">
        <v>43</v>
      </c>
      <c r="O3" s="10" t="s">
        <v>44</v>
      </c>
      <c r="P3" s="10" t="s">
        <v>45</v>
      </c>
      <c r="Q3" s="10" t="s">
        <v>46</v>
      </c>
      <c r="R3" s="10" t="s">
        <v>47</v>
      </c>
      <c r="S3" s="10" t="s">
        <v>49</v>
      </c>
      <c r="T3" s="10" t="s">
        <v>50</v>
      </c>
      <c r="U3" s="10" t="s">
        <v>51</v>
      </c>
      <c r="V3" s="10" t="s">
        <v>53</v>
      </c>
      <c r="W3" s="10" t="s">
        <v>47</v>
      </c>
      <c r="X3" s="10" t="s">
        <v>49</v>
      </c>
      <c r="Y3" s="10" t="s">
        <v>50</v>
      </c>
      <c r="Z3" s="10" t="s">
        <v>47</v>
      </c>
      <c r="AA3" s="10" t="s">
        <v>49</v>
      </c>
      <c r="AB3" s="10" t="s">
        <v>50</v>
      </c>
      <c r="AC3" s="10" t="s">
        <v>59</v>
      </c>
      <c r="AD3" s="10" t="s">
        <v>60</v>
      </c>
    </row>
    <row r="4" spans="1:30" ht="14.25" hidden="1">
      <c r="A4" s="14" t="s">
        <v>52</v>
      </c>
      <c r="B4" s="14" t="s">
        <v>20</v>
      </c>
      <c r="C4" s="14" t="s">
        <v>74</v>
      </c>
      <c r="D4" s="14" t="s">
        <v>75</v>
      </c>
      <c r="E4" s="14" t="s">
        <v>111</v>
      </c>
      <c r="F4" s="14"/>
      <c r="G4" s="14" t="s">
        <v>113</v>
      </c>
      <c r="H4" s="14" t="s">
        <v>114</v>
      </c>
      <c r="I4" s="14" t="s">
        <v>116</v>
      </c>
      <c r="J4" s="14" t="s">
        <v>117</v>
      </c>
      <c r="K4" s="19">
        <f>M4+N4</f>
        <v>97889</v>
      </c>
      <c r="L4" s="14">
        <v>39</v>
      </c>
      <c r="M4" s="19">
        <v>76910</v>
      </c>
      <c r="N4" s="19">
        <v>20979</v>
      </c>
      <c r="O4" s="14" t="s">
        <v>97</v>
      </c>
      <c r="P4" s="14" t="s">
        <v>129</v>
      </c>
      <c r="Q4" s="14" t="s">
        <v>79</v>
      </c>
      <c r="R4" s="14">
        <v>0</v>
      </c>
      <c r="S4" s="14" t="s">
        <v>131</v>
      </c>
      <c r="T4" s="14">
        <v>0.999</v>
      </c>
      <c r="U4" s="14">
        <v>51.615000000000002</v>
      </c>
      <c r="V4" s="14">
        <v>6.9000000000000006E-2</v>
      </c>
      <c r="W4" s="14">
        <v>0</v>
      </c>
      <c r="X4" s="14" t="s">
        <v>134</v>
      </c>
      <c r="Y4" s="14">
        <v>0.99399999999999999</v>
      </c>
      <c r="Z4" s="14" t="s">
        <v>62</v>
      </c>
      <c r="AA4" s="14" t="s">
        <v>62</v>
      </c>
      <c r="AB4" s="14" t="s">
        <v>62</v>
      </c>
      <c r="AC4" s="14" t="s">
        <v>140</v>
      </c>
      <c r="AD4" s="14" t="s">
        <v>145</v>
      </c>
    </row>
    <row r="5" spans="1:30" ht="14.25" hidden="1">
      <c r="A5" s="23" t="s">
        <v>70</v>
      </c>
      <c r="B5" s="23" t="s">
        <v>162</v>
      </c>
      <c r="C5" s="23" t="s">
        <v>74</v>
      </c>
      <c r="D5" s="23" t="s">
        <v>127</v>
      </c>
      <c r="E5" s="23" t="s">
        <v>128</v>
      </c>
      <c r="F5" s="23"/>
      <c r="G5" s="23" t="s">
        <v>79</v>
      </c>
      <c r="H5" s="23" t="s">
        <v>79</v>
      </c>
      <c r="I5" s="23" t="s">
        <v>91</v>
      </c>
      <c r="J5" s="23" t="s">
        <v>169</v>
      </c>
      <c r="K5" s="25" t="s">
        <v>171</v>
      </c>
      <c r="L5" s="23">
        <v>13</v>
      </c>
      <c r="M5" s="23" t="s">
        <v>174</v>
      </c>
      <c r="N5" s="25" t="s">
        <v>176</v>
      </c>
      <c r="O5" s="23" t="s">
        <v>79</v>
      </c>
      <c r="P5" s="23" t="s">
        <v>98</v>
      </c>
      <c r="Q5" s="23" t="s">
        <v>178</v>
      </c>
      <c r="R5" s="23" t="s">
        <v>180</v>
      </c>
      <c r="S5" s="23" t="s">
        <v>182</v>
      </c>
      <c r="T5" s="23" t="s">
        <v>184</v>
      </c>
      <c r="U5" s="23" t="s">
        <v>185</v>
      </c>
      <c r="V5" s="23" t="s">
        <v>187</v>
      </c>
      <c r="W5" s="23" t="s">
        <v>189</v>
      </c>
      <c r="X5" s="23" t="s">
        <v>191</v>
      </c>
      <c r="Y5" s="23" t="s">
        <v>193</v>
      </c>
      <c r="Z5" s="23" t="s">
        <v>195</v>
      </c>
      <c r="AA5" s="23" t="s">
        <v>200</v>
      </c>
      <c r="AB5" s="23" t="s">
        <v>201</v>
      </c>
      <c r="AC5" s="23" t="s">
        <v>109</v>
      </c>
      <c r="AD5" s="23" t="s">
        <v>204</v>
      </c>
    </row>
    <row r="6" spans="1:30" ht="18.75" hidden="1" customHeight="1">
      <c r="A6" s="29" t="s">
        <v>70</v>
      </c>
      <c r="B6" s="30" t="s">
        <v>210</v>
      </c>
      <c r="C6" s="30" t="s">
        <v>74</v>
      </c>
      <c r="D6" s="30" t="s">
        <v>213</v>
      </c>
      <c r="E6" s="30" t="s">
        <v>214</v>
      </c>
      <c r="F6" s="30"/>
      <c r="G6" s="30" t="s">
        <v>216</v>
      </c>
      <c r="H6" s="30" t="s">
        <v>217</v>
      </c>
      <c r="I6" s="30"/>
      <c r="J6" s="30" t="s">
        <v>133</v>
      </c>
      <c r="K6" s="30" t="s">
        <v>218</v>
      </c>
      <c r="L6" s="30">
        <v>23809</v>
      </c>
      <c r="M6" s="30" t="s">
        <v>220</v>
      </c>
      <c r="N6" s="30" t="s">
        <v>221</v>
      </c>
      <c r="O6" s="30"/>
      <c r="P6" s="30" t="s">
        <v>98</v>
      </c>
      <c r="Q6" s="30" t="s">
        <v>224</v>
      </c>
      <c r="R6" s="31" t="s">
        <v>226</v>
      </c>
      <c r="S6" s="30" t="s">
        <v>235</v>
      </c>
      <c r="T6" s="30" t="s">
        <v>237</v>
      </c>
      <c r="U6" s="31"/>
      <c r="V6" s="30"/>
      <c r="W6" s="30" t="s">
        <v>239</v>
      </c>
      <c r="X6" s="31" t="s">
        <v>240</v>
      </c>
      <c r="Y6" s="30" t="s">
        <v>241</v>
      </c>
      <c r="Z6" s="30" t="s">
        <v>242</v>
      </c>
      <c r="AA6" s="30" t="s">
        <v>243</v>
      </c>
      <c r="AB6" s="30" t="s">
        <v>244</v>
      </c>
      <c r="AC6" s="30" t="s">
        <v>109</v>
      </c>
      <c r="AD6" s="30" t="s">
        <v>145</v>
      </c>
    </row>
    <row r="7" spans="1:30" ht="18.75" hidden="1" customHeight="1">
      <c r="A7" s="10" t="s">
        <v>52</v>
      </c>
      <c r="B7" s="10" t="s">
        <v>55</v>
      </c>
      <c r="C7" s="10" t="s">
        <v>74</v>
      </c>
      <c r="D7" s="33" t="s">
        <v>249</v>
      </c>
      <c r="E7" s="10" t="s">
        <v>251</v>
      </c>
      <c r="F7" s="33"/>
      <c r="G7" s="33" t="s">
        <v>252</v>
      </c>
      <c r="H7" s="10" t="s">
        <v>254</v>
      </c>
      <c r="I7" s="10" t="s">
        <v>256</v>
      </c>
      <c r="J7" s="10" t="s">
        <v>256</v>
      </c>
      <c r="K7" s="34">
        <f t="shared" ref="K7:K8" si="0">M7+N7</f>
        <v>916</v>
      </c>
      <c r="L7" s="10">
        <v>6</v>
      </c>
      <c r="M7" s="35">
        <v>132</v>
      </c>
      <c r="N7" s="35">
        <v>784</v>
      </c>
      <c r="O7" s="10" t="s">
        <v>79</v>
      </c>
      <c r="P7" s="10" t="s">
        <v>98</v>
      </c>
      <c r="Q7" s="10" t="s">
        <v>267</v>
      </c>
      <c r="R7" s="36" t="s">
        <v>269</v>
      </c>
      <c r="S7" s="37" t="s">
        <v>271</v>
      </c>
      <c r="T7" s="36" t="s">
        <v>272</v>
      </c>
      <c r="U7" s="10">
        <v>5.6074215509999998</v>
      </c>
      <c r="V7" s="10">
        <v>0.34631043500000003</v>
      </c>
      <c r="W7" s="36" t="s">
        <v>273</v>
      </c>
      <c r="X7" s="36" t="s">
        <v>274</v>
      </c>
      <c r="Y7" s="36" t="s">
        <v>276</v>
      </c>
      <c r="Z7" s="36" t="s">
        <v>277</v>
      </c>
      <c r="AA7" s="37" t="s">
        <v>278</v>
      </c>
      <c r="AB7" s="36" t="s">
        <v>280</v>
      </c>
      <c r="AC7" s="10" t="s">
        <v>140</v>
      </c>
      <c r="AD7" s="10" t="s">
        <v>145</v>
      </c>
    </row>
    <row r="8" spans="1:30" ht="18.75" hidden="1" customHeight="1">
      <c r="A8" s="10" t="s">
        <v>52</v>
      </c>
      <c r="B8" s="10" t="s">
        <v>55</v>
      </c>
      <c r="C8" s="10" t="s">
        <v>74</v>
      </c>
      <c r="D8" s="33" t="s">
        <v>294</v>
      </c>
      <c r="E8" s="10" t="s">
        <v>295</v>
      </c>
      <c r="F8" s="33"/>
      <c r="G8" s="33" t="s">
        <v>296</v>
      </c>
      <c r="H8" s="10" t="s">
        <v>254</v>
      </c>
      <c r="I8" s="10" t="s">
        <v>256</v>
      </c>
      <c r="J8" s="10" t="s">
        <v>256</v>
      </c>
      <c r="K8" s="34">
        <f t="shared" si="0"/>
        <v>916</v>
      </c>
      <c r="L8" s="10">
        <v>41</v>
      </c>
      <c r="M8" s="35">
        <v>132</v>
      </c>
      <c r="N8" s="35">
        <v>784</v>
      </c>
      <c r="O8" s="10" t="s">
        <v>79</v>
      </c>
      <c r="P8" s="10" t="s">
        <v>98</v>
      </c>
      <c r="Q8" s="10" t="s">
        <v>302</v>
      </c>
      <c r="R8" s="36" t="s">
        <v>303</v>
      </c>
      <c r="S8" s="37" t="s">
        <v>304</v>
      </c>
      <c r="T8" s="36" t="s">
        <v>305</v>
      </c>
      <c r="U8" s="10">
        <v>40.979549370000001</v>
      </c>
      <c r="V8" s="10">
        <v>0.42735600000000001</v>
      </c>
      <c r="W8" s="36" t="s">
        <v>306</v>
      </c>
      <c r="X8" s="36" t="s">
        <v>307</v>
      </c>
      <c r="Y8" s="36" t="s">
        <v>308</v>
      </c>
      <c r="Z8" s="36" t="s">
        <v>310</v>
      </c>
      <c r="AA8" s="37" t="s">
        <v>311</v>
      </c>
      <c r="AB8" s="36" t="s">
        <v>312</v>
      </c>
      <c r="AC8" s="10" t="s">
        <v>140</v>
      </c>
      <c r="AD8" s="10" t="s">
        <v>145</v>
      </c>
    </row>
    <row r="9" spans="1:30" ht="14.25" hidden="1">
      <c r="A9" s="14" t="s">
        <v>52</v>
      </c>
      <c r="B9" s="14" t="s">
        <v>71</v>
      </c>
      <c r="C9" s="14" t="s">
        <v>74</v>
      </c>
      <c r="D9" s="14" t="s">
        <v>75</v>
      </c>
      <c r="E9" s="14" t="s">
        <v>324</v>
      </c>
      <c r="F9" s="14"/>
      <c r="G9" s="14" t="s">
        <v>113</v>
      </c>
      <c r="H9" s="14" t="s">
        <v>325</v>
      </c>
      <c r="I9" s="14" t="s">
        <v>133</v>
      </c>
      <c r="J9" s="14" t="s">
        <v>218</v>
      </c>
      <c r="K9" s="19">
        <v>195544</v>
      </c>
      <c r="L9" s="14">
        <v>55</v>
      </c>
      <c r="M9" s="14" t="s">
        <v>79</v>
      </c>
      <c r="N9" s="14" t="s">
        <v>79</v>
      </c>
      <c r="O9" s="14" t="s">
        <v>97</v>
      </c>
      <c r="P9" s="14" t="s">
        <v>98</v>
      </c>
      <c r="Q9" s="14" t="s">
        <v>79</v>
      </c>
      <c r="R9" s="14">
        <v>0.53</v>
      </c>
      <c r="S9" s="14" t="s">
        <v>326</v>
      </c>
      <c r="T9" s="14">
        <v>0.75</v>
      </c>
      <c r="U9" s="14" t="s">
        <v>62</v>
      </c>
      <c r="V9" s="14" t="s">
        <v>62</v>
      </c>
      <c r="W9" s="14" t="s">
        <v>62</v>
      </c>
      <c r="X9" s="14" t="s">
        <v>62</v>
      </c>
      <c r="Y9" s="14" t="s">
        <v>62</v>
      </c>
      <c r="Z9" s="14" t="s">
        <v>62</v>
      </c>
      <c r="AA9" s="14" t="s">
        <v>62</v>
      </c>
      <c r="AB9" s="14" t="s">
        <v>62</v>
      </c>
      <c r="AC9" s="14" t="s">
        <v>109</v>
      </c>
      <c r="AD9" s="14" t="s">
        <v>145</v>
      </c>
    </row>
    <row r="10" spans="1:30" ht="14.25" hidden="1">
      <c r="A10" s="10" t="s">
        <v>52</v>
      </c>
      <c r="B10" s="10" t="s">
        <v>55</v>
      </c>
      <c r="C10" s="10" t="s">
        <v>74</v>
      </c>
      <c r="D10" s="33" t="s">
        <v>342</v>
      </c>
      <c r="E10" s="10" t="s">
        <v>343</v>
      </c>
      <c r="F10" s="33"/>
      <c r="G10" s="33" t="s">
        <v>344</v>
      </c>
      <c r="H10" s="10" t="s">
        <v>254</v>
      </c>
      <c r="I10" s="10" t="s">
        <v>256</v>
      </c>
      <c r="J10" s="10" t="s">
        <v>256</v>
      </c>
      <c r="K10" s="34">
        <f>M10+N10</f>
        <v>916</v>
      </c>
      <c r="L10" s="10">
        <v>23</v>
      </c>
      <c r="M10" s="35">
        <v>132</v>
      </c>
      <c r="N10" s="35">
        <v>784</v>
      </c>
      <c r="O10" s="10" t="s">
        <v>79</v>
      </c>
      <c r="P10" s="10" t="s">
        <v>98</v>
      </c>
      <c r="Q10" s="10" t="s">
        <v>346</v>
      </c>
      <c r="R10" s="36" t="s">
        <v>347</v>
      </c>
      <c r="S10" s="37" t="s">
        <v>348</v>
      </c>
      <c r="T10" s="36" t="s">
        <v>350</v>
      </c>
      <c r="U10" s="10">
        <v>30.016255869999998</v>
      </c>
      <c r="V10" s="10">
        <v>0.11806999999999999</v>
      </c>
      <c r="W10" s="36" t="s">
        <v>352</v>
      </c>
      <c r="X10" s="36" t="s">
        <v>353</v>
      </c>
      <c r="Y10" s="36" t="s">
        <v>355</v>
      </c>
      <c r="Z10" s="36" t="s">
        <v>356</v>
      </c>
      <c r="AA10" s="37" t="s">
        <v>358</v>
      </c>
      <c r="AB10" s="36" t="s">
        <v>359</v>
      </c>
      <c r="AC10" s="10" t="s">
        <v>140</v>
      </c>
      <c r="AD10" s="10" t="s">
        <v>145</v>
      </c>
    </row>
    <row r="11" spans="1:30" ht="14.25" hidden="1">
      <c r="A11" s="33" t="s">
        <v>52</v>
      </c>
      <c r="B11" s="33" t="s">
        <v>163</v>
      </c>
      <c r="C11" s="33" t="s">
        <v>74</v>
      </c>
      <c r="D11" s="33" t="s">
        <v>363</v>
      </c>
      <c r="E11" s="33" t="s">
        <v>365</v>
      </c>
      <c r="F11" s="33"/>
      <c r="G11" s="33" t="s">
        <v>113</v>
      </c>
      <c r="H11" s="33" t="s">
        <v>79</v>
      </c>
      <c r="I11" s="33" t="s">
        <v>133</v>
      </c>
      <c r="J11" s="33" t="s">
        <v>218</v>
      </c>
      <c r="K11" s="35">
        <f>N11+M11</f>
        <v>278090</v>
      </c>
      <c r="L11" s="33">
        <v>56</v>
      </c>
      <c r="M11" s="33">
        <v>4648</v>
      </c>
      <c r="N11" s="33">
        <v>273442</v>
      </c>
      <c r="O11" s="33" t="s">
        <v>97</v>
      </c>
      <c r="P11" s="33" t="s">
        <v>98</v>
      </c>
      <c r="Q11" s="35">
        <v>45242</v>
      </c>
      <c r="R11" s="39" t="s">
        <v>376</v>
      </c>
      <c r="S11" s="33" t="s">
        <v>377</v>
      </c>
      <c r="T11" s="33">
        <v>3.4000000000000002E-2</v>
      </c>
      <c r="U11" s="33" t="s">
        <v>79</v>
      </c>
      <c r="V11" s="33">
        <v>9.0999999999999998E-2</v>
      </c>
      <c r="W11" s="33" t="s">
        <v>379</v>
      </c>
      <c r="X11" s="33" t="s">
        <v>381</v>
      </c>
      <c r="Y11" s="33">
        <v>0.20799999999999999</v>
      </c>
      <c r="Z11" s="33">
        <v>13.047000000000001</v>
      </c>
      <c r="AA11" s="33" t="s">
        <v>383</v>
      </c>
      <c r="AB11" s="33">
        <v>4.3999999999999997E-2</v>
      </c>
      <c r="AC11" s="33" t="s">
        <v>109</v>
      </c>
      <c r="AD11" s="33" t="s">
        <v>385</v>
      </c>
    </row>
    <row r="12" spans="1:30" ht="14.25" hidden="1">
      <c r="A12" s="14" t="s">
        <v>52</v>
      </c>
      <c r="B12" s="14" t="s">
        <v>67</v>
      </c>
      <c r="C12" s="14" t="s">
        <v>74</v>
      </c>
      <c r="D12" s="14" t="s">
        <v>164</v>
      </c>
      <c r="E12" s="14" t="s">
        <v>389</v>
      </c>
      <c r="F12" s="14"/>
      <c r="G12" s="14" t="s">
        <v>165</v>
      </c>
      <c r="H12" s="14" t="s">
        <v>390</v>
      </c>
      <c r="I12" s="14" t="s">
        <v>133</v>
      </c>
      <c r="J12" s="14" t="s">
        <v>394</v>
      </c>
      <c r="K12" s="14">
        <f t="shared" ref="K12:K14" si="1">M12+N12</f>
        <v>228951</v>
      </c>
      <c r="L12" s="14">
        <v>38</v>
      </c>
      <c r="M12" s="14">
        <v>122977</v>
      </c>
      <c r="N12" s="14">
        <v>105974</v>
      </c>
      <c r="O12" s="14" t="s">
        <v>97</v>
      </c>
      <c r="P12" s="14" t="s">
        <v>98</v>
      </c>
      <c r="Q12" s="14">
        <v>24.745999999999999</v>
      </c>
      <c r="R12" s="45" t="s">
        <v>407</v>
      </c>
      <c r="S12" s="45" t="s">
        <v>409</v>
      </c>
      <c r="T12" s="45" t="s">
        <v>412</v>
      </c>
      <c r="U12" s="45" t="s">
        <v>414</v>
      </c>
      <c r="V12" s="45" t="s">
        <v>415</v>
      </c>
      <c r="W12" s="45" t="s">
        <v>416</v>
      </c>
      <c r="X12" s="45" t="s">
        <v>417</v>
      </c>
      <c r="Y12" s="45" t="s">
        <v>418</v>
      </c>
      <c r="Z12" s="45" t="s">
        <v>419</v>
      </c>
      <c r="AA12" s="45" t="s">
        <v>420</v>
      </c>
      <c r="AB12" s="45" t="s">
        <v>421</v>
      </c>
      <c r="AC12" s="14" t="s">
        <v>140</v>
      </c>
      <c r="AD12" s="14" t="s">
        <v>204</v>
      </c>
    </row>
    <row r="13" spans="1:30" ht="14.25" hidden="1">
      <c r="A13" s="14" t="s">
        <v>52</v>
      </c>
      <c r="B13" s="14" t="s">
        <v>67</v>
      </c>
      <c r="C13" s="14" t="s">
        <v>74</v>
      </c>
      <c r="D13" s="14" t="s">
        <v>246</v>
      </c>
      <c r="E13" s="14" t="s">
        <v>389</v>
      </c>
      <c r="F13" s="14"/>
      <c r="G13" s="14" t="s">
        <v>248</v>
      </c>
      <c r="H13" s="14" t="s">
        <v>390</v>
      </c>
      <c r="I13" s="14" t="s">
        <v>133</v>
      </c>
      <c r="J13" s="14" t="s">
        <v>394</v>
      </c>
      <c r="K13" s="14">
        <f t="shared" si="1"/>
        <v>228951</v>
      </c>
      <c r="L13" s="14">
        <v>17</v>
      </c>
      <c r="M13" s="14">
        <v>122977</v>
      </c>
      <c r="N13" s="14">
        <v>105974</v>
      </c>
      <c r="O13" s="14" t="s">
        <v>97</v>
      </c>
      <c r="P13" s="14" t="s">
        <v>98</v>
      </c>
      <c r="Q13" s="14">
        <v>20.818000000000001</v>
      </c>
      <c r="R13" s="45" t="s">
        <v>434</v>
      </c>
      <c r="S13" s="45" t="s">
        <v>436</v>
      </c>
      <c r="T13" s="45" t="s">
        <v>437</v>
      </c>
      <c r="U13" s="45" t="s">
        <v>439</v>
      </c>
      <c r="V13" s="45" t="s">
        <v>440</v>
      </c>
      <c r="W13" s="45" t="s">
        <v>441</v>
      </c>
      <c r="X13" s="45" t="s">
        <v>442</v>
      </c>
      <c r="Y13" s="45" t="s">
        <v>444</v>
      </c>
      <c r="Z13" s="45" t="s">
        <v>449</v>
      </c>
      <c r="AA13" s="45" t="s">
        <v>451</v>
      </c>
      <c r="AB13" s="45" t="s">
        <v>454</v>
      </c>
      <c r="AC13" s="14" t="s">
        <v>140</v>
      </c>
      <c r="AD13" s="14" t="s">
        <v>204</v>
      </c>
    </row>
    <row r="14" spans="1:30" ht="14.25" hidden="1">
      <c r="A14" s="14" t="s">
        <v>52</v>
      </c>
      <c r="B14" s="14" t="s">
        <v>67</v>
      </c>
      <c r="C14" s="14" t="s">
        <v>74</v>
      </c>
      <c r="D14" s="14" t="s">
        <v>459</v>
      </c>
      <c r="E14" s="14" t="s">
        <v>389</v>
      </c>
      <c r="F14" s="14"/>
      <c r="G14" s="14" t="s">
        <v>215</v>
      </c>
      <c r="H14" s="14" t="s">
        <v>390</v>
      </c>
      <c r="I14" s="14" t="s">
        <v>133</v>
      </c>
      <c r="J14" s="14" t="s">
        <v>394</v>
      </c>
      <c r="K14" s="14">
        <f t="shared" si="1"/>
        <v>228951</v>
      </c>
      <c r="L14" s="14">
        <v>16</v>
      </c>
      <c r="M14" s="14">
        <v>122977</v>
      </c>
      <c r="N14" s="14">
        <v>105974</v>
      </c>
      <c r="O14" s="14" t="s">
        <v>97</v>
      </c>
      <c r="P14" s="14" t="s">
        <v>98</v>
      </c>
      <c r="Q14" s="14">
        <v>17.041</v>
      </c>
      <c r="R14" s="45" t="s">
        <v>465</v>
      </c>
      <c r="S14" s="45" t="s">
        <v>466</v>
      </c>
      <c r="T14" s="45" t="s">
        <v>467</v>
      </c>
      <c r="U14" s="45" t="s">
        <v>468</v>
      </c>
      <c r="V14" s="45" t="s">
        <v>470</v>
      </c>
      <c r="W14" s="45" t="s">
        <v>472</v>
      </c>
      <c r="X14" s="45" t="s">
        <v>474</v>
      </c>
      <c r="Y14" s="45" t="s">
        <v>476</v>
      </c>
      <c r="Z14" s="45" t="s">
        <v>478</v>
      </c>
      <c r="AA14" s="45" t="s">
        <v>481</v>
      </c>
      <c r="AB14" s="45" t="s">
        <v>484</v>
      </c>
      <c r="AC14" s="14" t="s">
        <v>140</v>
      </c>
      <c r="AD14" s="14" t="s">
        <v>204</v>
      </c>
    </row>
    <row r="15" spans="1:30" ht="14.25" hidden="1">
      <c r="A15" s="23" t="s">
        <v>52</v>
      </c>
      <c r="B15" s="23" t="s">
        <v>71</v>
      </c>
      <c r="C15" s="23" t="s">
        <v>74</v>
      </c>
      <c r="D15" s="23" t="s">
        <v>75</v>
      </c>
      <c r="E15" s="23" t="s">
        <v>492</v>
      </c>
      <c r="F15" s="23"/>
      <c r="G15" s="23" t="s">
        <v>113</v>
      </c>
      <c r="H15" s="23" t="s">
        <v>493</v>
      </c>
      <c r="I15" s="23" t="s">
        <v>133</v>
      </c>
      <c r="J15" s="23" t="s">
        <v>218</v>
      </c>
      <c r="K15" s="23">
        <v>195.762</v>
      </c>
      <c r="L15" s="23">
        <v>55</v>
      </c>
      <c r="M15" s="23" t="s">
        <v>79</v>
      </c>
      <c r="N15" s="23" t="s">
        <v>79</v>
      </c>
      <c r="O15" s="23" t="s">
        <v>97</v>
      </c>
      <c r="P15" s="23" t="s">
        <v>98</v>
      </c>
      <c r="Q15" s="23" t="s">
        <v>79</v>
      </c>
      <c r="R15" s="23" t="s">
        <v>494</v>
      </c>
      <c r="S15" s="23" t="s">
        <v>495</v>
      </c>
      <c r="T15" s="23" t="s">
        <v>350</v>
      </c>
      <c r="U15" s="23" t="s">
        <v>62</v>
      </c>
      <c r="V15" s="23" t="s">
        <v>62</v>
      </c>
      <c r="W15" s="23" t="s">
        <v>62</v>
      </c>
      <c r="X15" s="23" t="s">
        <v>62</v>
      </c>
      <c r="Y15" s="23" t="s">
        <v>62</v>
      </c>
      <c r="Z15" s="23" t="s">
        <v>62</v>
      </c>
      <c r="AA15" s="23" t="s">
        <v>62</v>
      </c>
      <c r="AB15" s="23" t="s">
        <v>62</v>
      </c>
      <c r="AC15" s="23" t="s">
        <v>109</v>
      </c>
      <c r="AD15" s="23" t="s">
        <v>145</v>
      </c>
    </row>
    <row r="16" spans="1:30" ht="14.25" hidden="1">
      <c r="A16" s="14" t="s">
        <v>52</v>
      </c>
      <c r="B16" s="14" t="s">
        <v>67</v>
      </c>
      <c r="C16" s="14" t="s">
        <v>74</v>
      </c>
      <c r="D16" s="14" t="s">
        <v>164</v>
      </c>
      <c r="E16" s="14" t="s">
        <v>515</v>
      </c>
      <c r="F16" s="14"/>
      <c r="G16" s="14" t="s">
        <v>165</v>
      </c>
      <c r="H16" s="14" t="s">
        <v>516</v>
      </c>
      <c r="I16" s="14" t="s">
        <v>133</v>
      </c>
      <c r="J16" s="14" t="s">
        <v>394</v>
      </c>
      <c r="K16" s="14">
        <f t="shared" ref="K16:K18" si="2">M16+N16</f>
        <v>175475</v>
      </c>
      <c r="L16" s="14">
        <v>38</v>
      </c>
      <c r="M16" s="14">
        <v>69501</v>
      </c>
      <c r="N16" s="14">
        <v>105974</v>
      </c>
      <c r="O16" s="14" t="s">
        <v>97</v>
      </c>
      <c r="P16" s="14" t="s">
        <v>98</v>
      </c>
      <c r="Q16" s="14">
        <v>24.745999999999999</v>
      </c>
      <c r="R16" s="45" t="s">
        <v>522</v>
      </c>
      <c r="S16" s="45" t="s">
        <v>523</v>
      </c>
      <c r="T16" s="45" t="s">
        <v>418</v>
      </c>
      <c r="U16" s="45" t="s">
        <v>525</v>
      </c>
      <c r="V16" s="45" t="s">
        <v>528</v>
      </c>
      <c r="W16" s="45" t="s">
        <v>529</v>
      </c>
      <c r="X16" s="45" t="s">
        <v>531</v>
      </c>
      <c r="Y16" s="45" t="s">
        <v>533</v>
      </c>
      <c r="Z16" s="45" t="s">
        <v>535</v>
      </c>
      <c r="AA16" s="45" t="s">
        <v>539</v>
      </c>
      <c r="AB16" s="45" t="s">
        <v>541</v>
      </c>
      <c r="AC16" s="14" t="s">
        <v>140</v>
      </c>
      <c r="AD16" s="14" t="s">
        <v>204</v>
      </c>
    </row>
    <row r="17" spans="1:30" ht="14.25" hidden="1">
      <c r="A17" s="14" t="s">
        <v>52</v>
      </c>
      <c r="B17" s="14" t="s">
        <v>67</v>
      </c>
      <c r="C17" s="14" t="s">
        <v>74</v>
      </c>
      <c r="D17" s="14" t="s">
        <v>246</v>
      </c>
      <c r="E17" s="14" t="s">
        <v>515</v>
      </c>
      <c r="F17" s="14"/>
      <c r="G17" s="14" t="s">
        <v>248</v>
      </c>
      <c r="H17" s="14" t="s">
        <v>516</v>
      </c>
      <c r="I17" s="14" t="s">
        <v>133</v>
      </c>
      <c r="J17" s="14" t="s">
        <v>394</v>
      </c>
      <c r="K17" s="14">
        <f t="shared" si="2"/>
        <v>175475</v>
      </c>
      <c r="L17" s="14">
        <v>17</v>
      </c>
      <c r="M17" s="14">
        <v>69501</v>
      </c>
      <c r="N17" s="14">
        <v>105974</v>
      </c>
      <c r="O17" s="14" t="s">
        <v>97</v>
      </c>
      <c r="P17" s="14" t="s">
        <v>98</v>
      </c>
      <c r="Q17" s="14">
        <v>20.818000000000001</v>
      </c>
      <c r="R17" s="45" t="s">
        <v>565</v>
      </c>
      <c r="S17" s="45" t="s">
        <v>567</v>
      </c>
      <c r="T17" s="45" t="s">
        <v>568</v>
      </c>
      <c r="U17" s="45" t="s">
        <v>570</v>
      </c>
      <c r="V17" s="45" t="s">
        <v>571</v>
      </c>
      <c r="W17" s="45" t="s">
        <v>573</v>
      </c>
      <c r="X17" s="45" t="s">
        <v>575</v>
      </c>
      <c r="Y17" s="45" t="s">
        <v>578</v>
      </c>
      <c r="Z17" s="45" t="s">
        <v>579</v>
      </c>
      <c r="AA17" s="45" t="s">
        <v>581</v>
      </c>
      <c r="AB17" s="45" t="s">
        <v>584</v>
      </c>
      <c r="AC17" s="14" t="s">
        <v>140</v>
      </c>
      <c r="AD17" s="14" t="s">
        <v>204</v>
      </c>
    </row>
    <row r="18" spans="1:30" ht="14.25" hidden="1">
      <c r="A18" s="14" t="s">
        <v>52</v>
      </c>
      <c r="B18" s="14" t="s">
        <v>67</v>
      </c>
      <c r="C18" s="14" t="s">
        <v>74</v>
      </c>
      <c r="D18" s="14" t="s">
        <v>459</v>
      </c>
      <c r="E18" s="14" t="s">
        <v>515</v>
      </c>
      <c r="F18" s="14"/>
      <c r="G18" s="14" t="s">
        <v>215</v>
      </c>
      <c r="H18" s="14" t="s">
        <v>516</v>
      </c>
      <c r="I18" s="14" t="s">
        <v>133</v>
      </c>
      <c r="J18" s="14" t="s">
        <v>394</v>
      </c>
      <c r="K18" s="14">
        <f t="shared" si="2"/>
        <v>175475</v>
      </c>
      <c r="L18" s="14">
        <v>16</v>
      </c>
      <c r="M18" s="14">
        <v>69501</v>
      </c>
      <c r="N18" s="14">
        <v>105974</v>
      </c>
      <c r="O18" s="14" t="s">
        <v>97</v>
      </c>
      <c r="P18" s="14" t="s">
        <v>98</v>
      </c>
      <c r="Q18" s="14">
        <v>17.041</v>
      </c>
      <c r="R18" s="45" t="s">
        <v>606</v>
      </c>
      <c r="S18" s="45" t="s">
        <v>607</v>
      </c>
      <c r="T18" s="45" t="s">
        <v>609</v>
      </c>
      <c r="U18" s="45" t="s">
        <v>611</v>
      </c>
      <c r="V18" s="45" t="s">
        <v>613</v>
      </c>
      <c r="W18" s="45" t="s">
        <v>614</v>
      </c>
      <c r="X18" s="45" t="s">
        <v>616</v>
      </c>
      <c r="Y18" s="45" t="s">
        <v>620</v>
      </c>
      <c r="Z18" s="45" t="s">
        <v>623</v>
      </c>
      <c r="AA18" s="45" t="s">
        <v>625</v>
      </c>
      <c r="AB18" s="45" t="s">
        <v>578</v>
      </c>
      <c r="AC18" s="14" t="s">
        <v>140</v>
      </c>
      <c r="AD18" s="14" t="s">
        <v>204</v>
      </c>
    </row>
    <row r="19" spans="1:30" ht="14.25" hidden="1">
      <c r="A19" s="23" t="s">
        <v>70</v>
      </c>
      <c r="B19" s="23" t="s">
        <v>110</v>
      </c>
      <c r="C19" s="23" t="s">
        <v>74</v>
      </c>
      <c r="D19" s="23" t="s">
        <v>75</v>
      </c>
      <c r="E19" s="23" t="s">
        <v>157</v>
      </c>
      <c r="F19" s="23"/>
      <c r="G19" s="23" t="s">
        <v>113</v>
      </c>
      <c r="H19" s="23" t="s">
        <v>636</v>
      </c>
      <c r="I19" s="23" t="s">
        <v>133</v>
      </c>
      <c r="J19" s="23" t="s">
        <v>218</v>
      </c>
      <c r="K19" s="25">
        <v>170583</v>
      </c>
      <c r="L19" s="23">
        <v>52</v>
      </c>
      <c r="M19" s="23">
        <v>2942</v>
      </c>
      <c r="N19" s="25">
        <v>167641</v>
      </c>
      <c r="O19" s="23" t="s">
        <v>97</v>
      </c>
      <c r="P19" s="23" t="s">
        <v>98</v>
      </c>
      <c r="Q19" s="23">
        <v>15.5016</v>
      </c>
      <c r="R19" s="23">
        <v>1.095</v>
      </c>
      <c r="S19" s="23" t="s">
        <v>639</v>
      </c>
      <c r="T19" s="23">
        <v>0.84199999999999997</v>
      </c>
      <c r="U19" s="23">
        <v>48.396999999999998</v>
      </c>
      <c r="V19" s="23">
        <v>0.57799999999999996</v>
      </c>
      <c r="W19" s="23">
        <v>1.1830000000000001</v>
      </c>
      <c r="X19" s="23" t="s">
        <v>642</v>
      </c>
      <c r="Y19" s="23">
        <v>0.80600000000000005</v>
      </c>
      <c r="Z19" s="23">
        <v>4.13</v>
      </c>
      <c r="AA19" s="23" t="s">
        <v>647</v>
      </c>
      <c r="AB19" s="23">
        <v>0.36499999999999999</v>
      </c>
      <c r="AC19" s="23" t="s">
        <v>109</v>
      </c>
      <c r="AD19" s="23" t="s">
        <v>155</v>
      </c>
    </row>
    <row r="20" spans="1:30" ht="14.25" hidden="1">
      <c r="A20" s="14" t="s">
        <v>52</v>
      </c>
      <c r="B20" s="14" t="s">
        <v>67</v>
      </c>
      <c r="C20" s="14" t="s">
        <v>74</v>
      </c>
      <c r="D20" s="14" t="s">
        <v>164</v>
      </c>
      <c r="E20" s="14" t="s">
        <v>657</v>
      </c>
      <c r="F20" s="14"/>
      <c r="G20" s="14" t="s">
        <v>165</v>
      </c>
      <c r="H20" s="14" t="s">
        <v>659</v>
      </c>
      <c r="I20" s="14" t="s">
        <v>133</v>
      </c>
      <c r="J20" s="14" t="s">
        <v>394</v>
      </c>
      <c r="K20" s="14">
        <f t="shared" ref="K20:K22" si="3">M20+N20</f>
        <v>127442</v>
      </c>
      <c r="L20" s="14">
        <v>39</v>
      </c>
      <c r="M20" s="14">
        <v>21468</v>
      </c>
      <c r="N20" s="14">
        <v>105974</v>
      </c>
      <c r="O20" s="14" t="s">
        <v>97</v>
      </c>
      <c r="P20" s="14" t="s">
        <v>98</v>
      </c>
      <c r="Q20" s="14">
        <v>24.745999999999999</v>
      </c>
      <c r="R20" s="45" t="s">
        <v>673</v>
      </c>
      <c r="S20" s="45" t="s">
        <v>674</v>
      </c>
      <c r="T20" s="45" t="s">
        <v>676</v>
      </c>
      <c r="U20" s="45" t="s">
        <v>677</v>
      </c>
      <c r="V20" s="45" t="s">
        <v>678</v>
      </c>
      <c r="W20" s="45" t="s">
        <v>680</v>
      </c>
      <c r="X20" s="45" t="s">
        <v>681</v>
      </c>
      <c r="Y20" s="45" t="s">
        <v>682</v>
      </c>
      <c r="Z20" s="45" t="s">
        <v>683</v>
      </c>
      <c r="AA20" s="45" t="s">
        <v>684</v>
      </c>
      <c r="AB20" s="45" t="s">
        <v>685</v>
      </c>
      <c r="AC20" s="14" t="s">
        <v>140</v>
      </c>
      <c r="AD20" s="14" t="s">
        <v>204</v>
      </c>
    </row>
    <row r="21" spans="1:30" ht="14.25" hidden="1">
      <c r="A21" s="14" t="s">
        <v>52</v>
      </c>
      <c r="B21" s="14" t="s">
        <v>67</v>
      </c>
      <c r="C21" s="14" t="s">
        <v>74</v>
      </c>
      <c r="D21" s="14" t="s">
        <v>246</v>
      </c>
      <c r="E21" s="14" t="s">
        <v>657</v>
      </c>
      <c r="F21" s="14"/>
      <c r="G21" s="14" t="s">
        <v>248</v>
      </c>
      <c r="H21" s="14" t="s">
        <v>659</v>
      </c>
      <c r="I21" s="14" t="s">
        <v>133</v>
      </c>
      <c r="J21" s="14" t="s">
        <v>394</v>
      </c>
      <c r="K21" s="14">
        <f t="shared" si="3"/>
        <v>127442</v>
      </c>
      <c r="L21" s="14">
        <v>16</v>
      </c>
      <c r="M21" s="14">
        <v>21468</v>
      </c>
      <c r="N21" s="14">
        <v>105974</v>
      </c>
      <c r="O21" s="14" t="s">
        <v>97</v>
      </c>
      <c r="P21" s="14" t="s">
        <v>98</v>
      </c>
      <c r="Q21" s="14">
        <v>20.818000000000001</v>
      </c>
      <c r="R21" s="45" t="s">
        <v>704</v>
      </c>
      <c r="S21" s="45" t="s">
        <v>705</v>
      </c>
      <c r="T21" s="45" t="s">
        <v>706</v>
      </c>
      <c r="U21" s="45" t="s">
        <v>707</v>
      </c>
      <c r="V21" s="45" t="s">
        <v>709</v>
      </c>
      <c r="W21" s="45" t="s">
        <v>711</v>
      </c>
      <c r="X21" s="45" t="s">
        <v>712</v>
      </c>
      <c r="Y21" s="45" t="s">
        <v>714</v>
      </c>
      <c r="Z21" s="45" t="s">
        <v>716</v>
      </c>
      <c r="AA21" s="45" t="s">
        <v>718</v>
      </c>
      <c r="AB21" s="45" t="s">
        <v>720</v>
      </c>
      <c r="AC21" s="14" t="s">
        <v>140</v>
      </c>
      <c r="AD21" s="14" t="s">
        <v>204</v>
      </c>
    </row>
    <row r="22" spans="1:30" ht="14.25" hidden="1">
      <c r="A22" s="14" t="s">
        <v>52</v>
      </c>
      <c r="B22" s="14" t="s">
        <v>67</v>
      </c>
      <c r="C22" s="14" t="s">
        <v>74</v>
      </c>
      <c r="D22" s="14" t="s">
        <v>459</v>
      </c>
      <c r="E22" s="14" t="s">
        <v>657</v>
      </c>
      <c r="F22" s="14"/>
      <c r="G22" s="14" t="s">
        <v>215</v>
      </c>
      <c r="H22" s="14" t="s">
        <v>659</v>
      </c>
      <c r="I22" s="14" t="s">
        <v>133</v>
      </c>
      <c r="J22" s="14" t="s">
        <v>394</v>
      </c>
      <c r="K22" s="14">
        <f t="shared" si="3"/>
        <v>127442</v>
      </c>
      <c r="L22" s="14">
        <v>18</v>
      </c>
      <c r="M22" s="14">
        <v>21468</v>
      </c>
      <c r="N22" s="14">
        <v>105974</v>
      </c>
      <c r="O22" s="14" t="s">
        <v>97</v>
      </c>
      <c r="P22" s="14" t="s">
        <v>98</v>
      </c>
      <c r="Q22" s="14">
        <v>17.041</v>
      </c>
      <c r="R22" s="45" t="s">
        <v>739</v>
      </c>
      <c r="S22" s="45" t="s">
        <v>740</v>
      </c>
      <c r="T22" s="45" t="s">
        <v>742</v>
      </c>
      <c r="U22" s="45" t="s">
        <v>743</v>
      </c>
      <c r="V22" s="45" t="s">
        <v>744</v>
      </c>
      <c r="W22" s="45" t="s">
        <v>746</v>
      </c>
      <c r="X22" s="45" t="s">
        <v>748</v>
      </c>
      <c r="Y22" s="45" t="s">
        <v>749</v>
      </c>
      <c r="Z22" s="45" t="s">
        <v>750</v>
      </c>
      <c r="AA22" s="45" t="s">
        <v>752</v>
      </c>
      <c r="AB22" s="45" t="s">
        <v>753</v>
      </c>
      <c r="AC22" s="14" t="s">
        <v>140</v>
      </c>
      <c r="AD22" s="14" t="s">
        <v>204</v>
      </c>
    </row>
    <row r="23" spans="1:30" ht="14.25" hidden="1">
      <c r="A23" s="58" t="s">
        <v>52</v>
      </c>
      <c r="B23" s="58" t="s">
        <v>88</v>
      </c>
      <c r="C23" s="58" t="s">
        <v>74</v>
      </c>
      <c r="D23" s="58" t="s">
        <v>89</v>
      </c>
      <c r="E23" s="58" t="s">
        <v>90</v>
      </c>
      <c r="F23" s="58"/>
      <c r="G23" s="60" t="s">
        <v>771</v>
      </c>
      <c r="H23" s="60" t="s">
        <v>784</v>
      </c>
      <c r="I23" s="58" t="s">
        <v>133</v>
      </c>
      <c r="J23" s="58" t="s">
        <v>133</v>
      </c>
      <c r="K23" s="61">
        <v>454375</v>
      </c>
      <c r="L23" s="58" t="s">
        <v>79</v>
      </c>
      <c r="M23" s="34">
        <v>9434</v>
      </c>
      <c r="N23" s="34">
        <v>444941</v>
      </c>
      <c r="O23" s="62" t="s">
        <v>97</v>
      </c>
      <c r="P23" s="58" t="s">
        <v>98</v>
      </c>
      <c r="Q23" s="58" t="s">
        <v>79</v>
      </c>
      <c r="R23" s="10">
        <v>0.97799999999999998</v>
      </c>
      <c r="S23" s="10" t="s">
        <v>803</v>
      </c>
      <c r="T23" s="37">
        <v>5.6300000000000002E-4</v>
      </c>
      <c r="U23" s="10" t="s">
        <v>62</v>
      </c>
      <c r="V23" s="10" t="s">
        <v>62</v>
      </c>
      <c r="W23" s="10" t="s">
        <v>79</v>
      </c>
      <c r="X23" s="10" t="s">
        <v>79</v>
      </c>
      <c r="Y23" s="37">
        <v>7.1199999999999996E-4</v>
      </c>
      <c r="Z23" s="10" t="s">
        <v>79</v>
      </c>
      <c r="AA23" s="10" t="s">
        <v>79</v>
      </c>
      <c r="AB23" s="37">
        <v>3.4099999999999998E-3</v>
      </c>
      <c r="AC23" s="58" t="s">
        <v>140</v>
      </c>
      <c r="AD23" s="58" t="s">
        <v>155</v>
      </c>
    </row>
    <row r="24" spans="1:30" ht="14.25" hidden="1">
      <c r="A24" s="38" t="s">
        <v>70</v>
      </c>
      <c r="B24" s="41" t="s">
        <v>93</v>
      </c>
      <c r="C24" s="29" t="s">
        <v>74</v>
      </c>
      <c r="D24" s="41" t="s">
        <v>246</v>
      </c>
      <c r="E24" s="41" t="s">
        <v>820</v>
      </c>
      <c r="F24" s="41"/>
      <c r="G24" s="41" t="s">
        <v>248</v>
      </c>
      <c r="H24" s="63" t="s">
        <v>822</v>
      </c>
      <c r="I24" s="41" t="s">
        <v>133</v>
      </c>
      <c r="J24" s="41" t="s">
        <v>834</v>
      </c>
      <c r="K24" s="64">
        <v>85716</v>
      </c>
      <c r="L24" s="41">
        <v>10</v>
      </c>
      <c r="M24" s="64">
        <v>29266</v>
      </c>
      <c r="N24" s="64">
        <f t="shared" ref="N24:N26" si="4">K24-M24</f>
        <v>56450</v>
      </c>
      <c r="O24" s="41" t="s">
        <v>79</v>
      </c>
      <c r="P24" s="29" t="s">
        <v>98</v>
      </c>
      <c r="Q24" s="41" t="s">
        <v>79</v>
      </c>
      <c r="R24" s="41">
        <v>1.2649999999999999</v>
      </c>
      <c r="S24" s="41" t="s">
        <v>847</v>
      </c>
      <c r="T24" s="41">
        <v>0.55700000000000005</v>
      </c>
      <c r="U24" s="41">
        <v>22.483000000000001</v>
      </c>
      <c r="V24" s="41">
        <v>7.0000000000000001E-3</v>
      </c>
      <c r="W24" s="41">
        <v>1.706</v>
      </c>
      <c r="X24" s="41" t="s">
        <v>848</v>
      </c>
      <c r="Y24" s="41">
        <v>0.36599999999999999</v>
      </c>
      <c r="Z24" s="41">
        <v>1.0999999999999999E-2</v>
      </c>
      <c r="AA24" s="41" t="s">
        <v>849</v>
      </c>
      <c r="AB24" s="41">
        <v>0.53</v>
      </c>
      <c r="AC24" s="41" t="s">
        <v>140</v>
      </c>
      <c r="AD24" s="41" t="s">
        <v>204</v>
      </c>
    </row>
    <row r="25" spans="1:30" ht="14.25" hidden="1">
      <c r="A25" s="38" t="s">
        <v>70</v>
      </c>
      <c r="B25" s="41" t="s">
        <v>93</v>
      </c>
      <c r="C25" s="29" t="s">
        <v>74</v>
      </c>
      <c r="D25" s="41" t="s">
        <v>622</v>
      </c>
      <c r="E25" s="41" t="s">
        <v>820</v>
      </c>
      <c r="F25" s="41"/>
      <c r="G25" s="41" t="s">
        <v>215</v>
      </c>
      <c r="H25" s="63" t="s">
        <v>850</v>
      </c>
      <c r="I25" s="41" t="s">
        <v>133</v>
      </c>
      <c r="J25" s="41" t="s">
        <v>834</v>
      </c>
      <c r="K25" s="64">
        <v>85716</v>
      </c>
      <c r="L25" s="41">
        <v>13</v>
      </c>
      <c r="M25" s="64">
        <v>29266</v>
      </c>
      <c r="N25" s="64">
        <f t="shared" si="4"/>
        <v>56450</v>
      </c>
      <c r="O25" s="41" t="s">
        <v>79</v>
      </c>
      <c r="P25" s="29" t="s">
        <v>98</v>
      </c>
      <c r="Q25" s="41" t="s">
        <v>79</v>
      </c>
      <c r="R25" s="41">
        <v>0.35199999999999998</v>
      </c>
      <c r="S25" s="41" t="s">
        <v>851</v>
      </c>
      <c r="T25" s="41">
        <v>8.9999999999999993E-3</v>
      </c>
      <c r="U25" s="41">
        <v>36.021999999999998</v>
      </c>
      <c r="V25" s="41">
        <v>1E-3</v>
      </c>
      <c r="W25" s="41">
        <v>0.66700000000000004</v>
      </c>
      <c r="X25" s="41" t="s">
        <v>852</v>
      </c>
      <c r="Y25" s="41">
        <v>0.497</v>
      </c>
      <c r="Z25" s="41">
        <v>3.0000000000000001E-3</v>
      </c>
      <c r="AA25" s="41" t="s">
        <v>854</v>
      </c>
      <c r="AB25" s="41">
        <v>0.127</v>
      </c>
      <c r="AC25" s="41" t="s">
        <v>140</v>
      </c>
      <c r="AD25" s="41" t="s">
        <v>204</v>
      </c>
    </row>
    <row r="26" spans="1:30" ht="14.25" hidden="1">
      <c r="A26" s="38" t="s">
        <v>70</v>
      </c>
      <c r="B26" s="41" t="s">
        <v>93</v>
      </c>
      <c r="C26" s="29" t="s">
        <v>74</v>
      </c>
      <c r="D26" s="41" t="s">
        <v>164</v>
      </c>
      <c r="E26" s="41" t="s">
        <v>820</v>
      </c>
      <c r="F26" s="41"/>
      <c r="G26" s="41" t="s">
        <v>165</v>
      </c>
      <c r="H26" s="63" t="s">
        <v>867</v>
      </c>
      <c r="I26" s="41" t="s">
        <v>133</v>
      </c>
      <c r="J26" s="41" t="s">
        <v>834</v>
      </c>
      <c r="K26" s="64">
        <v>85716</v>
      </c>
      <c r="L26" s="41">
        <v>33</v>
      </c>
      <c r="M26" s="64">
        <v>29266</v>
      </c>
      <c r="N26" s="64">
        <f t="shared" si="4"/>
        <v>56450</v>
      </c>
      <c r="O26" s="41" t="s">
        <v>79</v>
      </c>
      <c r="P26" s="29" t="s">
        <v>98</v>
      </c>
      <c r="Q26" s="41" t="s">
        <v>79</v>
      </c>
      <c r="R26" s="41">
        <v>0.26600000000000001</v>
      </c>
      <c r="S26" s="41" t="s">
        <v>869</v>
      </c>
      <c r="T26" s="67">
        <v>4.0500000000000002E-11</v>
      </c>
      <c r="U26" s="41">
        <v>86.817999999999998</v>
      </c>
      <c r="V26" s="68">
        <v>0</v>
      </c>
      <c r="W26" s="41">
        <v>0.27600000000000002</v>
      </c>
      <c r="X26" s="41" t="s">
        <v>871</v>
      </c>
      <c r="Y26" s="67">
        <v>1.292E-4</v>
      </c>
      <c r="Z26" s="41">
        <v>0.307</v>
      </c>
      <c r="AA26" s="41" t="s">
        <v>875</v>
      </c>
      <c r="AB26" s="41">
        <v>0.55200000000000005</v>
      </c>
      <c r="AC26" s="41" t="s">
        <v>140</v>
      </c>
      <c r="AD26" s="41" t="s">
        <v>204</v>
      </c>
    </row>
    <row r="27" spans="1:30" ht="14.25" hidden="1">
      <c r="A27" s="10" t="s">
        <v>52</v>
      </c>
      <c r="B27" s="10" t="s">
        <v>63</v>
      </c>
      <c r="C27" s="10" t="s">
        <v>74</v>
      </c>
      <c r="D27" s="10" t="s">
        <v>75</v>
      </c>
      <c r="E27" s="10" t="s">
        <v>883</v>
      </c>
      <c r="F27" s="10"/>
      <c r="G27" s="10" t="s">
        <v>113</v>
      </c>
      <c r="H27" s="10" t="s">
        <v>884</v>
      </c>
      <c r="I27" s="10" t="s">
        <v>133</v>
      </c>
      <c r="J27" s="10" t="s">
        <v>218</v>
      </c>
      <c r="K27" s="34">
        <v>342499</v>
      </c>
      <c r="L27" s="10">
        <v>38</v>
      </c>
      <c r="M27" s="34">
        <v>7759</v>
      </c>
      <c r="N27" s="34">
        <v>334740</v>
      </c>
      <c r="O27" s="10" t="s">
        <v>79</v>
      </c>
      <c r="P27" s="10" t="s">
        <v>98</v>
      </c>
      <c r="Q27" s="10" t="s">
        <v>79</v>
      </c>
      <c r="R27" s="10">
        <v>0.97</v>
      </c>
      <c r="S27" s="10" t="s">
        <v>885</v>
      </c>
      <c r="T27" s="10">
        <v>0.93899999999999995</v>
      </c>
      <c r="U27" s="10" t="s">
        <v>79</v>
      </c>
      <c r="V27" s="10">
        <v>0.58199999999999996</v>
      </c>
      <c r="W27" s="10">
        <v>0.74</v>
      </c>
      <c r="X27" s="10" t="s">
        <v>887</v>
      </c>
      <c r="Y27" s="10">
        <v>0.55400000000000005</v>
      </c>
      <c r="Z27" s="10">
        <v>0.26</v>
      </c>
      <c r="AA27" s="10" t="s">
        <v>889</v>
      </c>
      <c r="AB27" s="69">
        <v>0.26</v>
      </c>
      <c r="AC27" s="10" t="s">
        <v>140</v>
      </c>
      <c r="AD27" s="10" t="s">
        <v>112</v>
      </c>
    </row>
    <row r="28" spans="1:30" ht="14.25" hidden="1">
      <c r="A28" s="38" t="s">
        <v>70</v>
      </c>
      <c r="B28" s="41" t="s">
        <v>93</v>
      </c>
      <c r="C28" s="29" t="s">
        <v>74</v>
      </c>
      <c r="D28" s="41" t="s">
        <v>246</v>
      </c>
      <c r="E28" s="41" t="s">
        <v>900</v>
      </c>
      <c r="F28" s="41"/>
      <c r="G28" s="41" t="s">
        <v>248</v>
      </c>
      <c r="H28" s="70" t="s">
        <v>901</v>
      </c>
      <c r="I28" s="41" t="s">
        <v>133</v>
      </c>
      <c r="J28" s="41" t="s">
        <v>834</v>
      </c>
      <c r="K28" s="64">
        <v>66756</v>
      </c>
      <c r="L28" s="41">
        <v>9</v>
      </c>
      <c r="M28" s="64">
        <v>11273</v>
      </c>
      <c r="N28" s="64">
        <f t="shared" ref="N28:N30" si="5">K28-M28</f>
        <v>55483</v>
      </c>
      <c r="O28" s="41" t="s">
        <v>79</v>
      </c>
      <c r="P28" s="29" t="s">
        <v>98</v>
      </c>
      <c r="Q28" s="41" t="s">
        <v>79</v>
      </c>
      <c r="R28" s="41">
        <v>1.7509999999999999</v>
      </c>
      <c r="S28" s="41" t="s">
        <v>912</v>
      </c>
      <c r="T28" s="41">
        <v>0.33600000000000002</v>
      </c>
      <c r="U28" s="41">
        <v>9.4339999999999993</v>
      </c>
      <c r="V28" s="41">
        <v>0.307</v>
      </c>
      <c r="W28" s="41">
        <v>1.4550000000000001</v>
      </c>
      <c r="X28" s="41" t="s">
        <v>913</v>
      </c>
      <c r="Y28" s="41">
        <v>0.63100000000000001</v>
      </c>
      <c r="Z28" s="41">
        <v>1E-3</v>
      </c>
      <c r="AA28" s="41" t="s">
        <v>914</v>
      </c>
      <c r="AB28" s="41">
        <v>0.34200000000000003</v>
      </c>
      <c r="AC28" s="41" t="s">
        <v>140</v>
      </c>
      <c r="AD28" s="41" t="s">
        <v>204</v>
      </c>
    </row>
    <row r="29" spans="1:30" ht="14.25" hidden="1">
      <c r="A29" s="38" t="s">
        <v>70</v>
      </c>
      <c r="B29" s="41" t="s">
        <v>93</v>
      </c>
      <c r="C29" s="29" t="s">
        <v>74</v>
      </c>
      <c r="D29" s="41" t="s">
        <v>622</v>
      </c>
      <c r="E29" s="41" t="s">
        <v>900</v>
      </c>
      <c r="F29" s="41"/>
      <c r="G29" s="41" t="s">
        <v>215</v>
      </c>
      <c r="H29" s="70" t="s">
        <v>901</v>
      </c>
      <c r="I29" s="41" t="s">
        <v>133</v>
      </c>
      <c r="J29" s="41" t="s">
        <v>834</v>
      </c>
      <c r="K29" s="64">
        <v>66756</v>
      </c>
      <c r="L29" s="41">
        <v>15</v>
      </c>
      <c r="M29" s="64">
        <v>11273</v>
      </c>
      <c r="N29" s="64">
        <f t="shared" si="5"/>
        <v>55483</v>
      </c>
      <c r="O29" s="41" t="s">
        <v>79</v>
      </c>
      <c r="P29" s="29" t="s">
        <v>98</v>
      </c>
      <c r="Q29" s="41" t="s">
        <v>79</v>
      </c>
      <c r="R29" s="41">
        <v>0.378</v>
      </c>
      <c r="S29" s="41" t="s">
        <v>925</v>
      </c>
      <c r="T29" s="41">
        <v>6.3E-2</v>
      </c>
      <c r="U29" s="41">
        <v>25.832999999999998</v>
      </c>
      <c r="V29" s="41">
        <v>2.7E-2</v>
      </c>
      <c r="W29" s="41">
        <v>0.629</v>
      </c>
      <c r="X29" s="41" t="s">
        <v>926</v>
      </c>
      <c r="Y29" s="41">
        <v>0.54100000000000004</v>
      </c>
      <c r="Z29" s="41">
        <v>0.122</v>
      </c>
      <c r="AA29" s="41" t="s">
        <v>927</v>
      </c>
      <c r="AB29" s="41">
        <v>0.61699999999999999</v>
      </c>
      <c r="AC29" s="41" t="s">
        <v>140</v>
      </c>
      <c r="AD29" s="41" t="s">
        <v>204</v>
      </c>
    </row>
    <row r="30" spans="1:30" ht="14.25" hidden="1">
      <c r="A30" s="38" t="s">
        <v>70</v>
      </c>
      <c r="B30" s="41" t="s">
        <v>93</v>
      </c>
      <c r="C30" s="29" t="s">
        <v>74</v>
      </c>
      <c r="D30" s="41" t="s">
        <v>164</v>
      </c>
      <c r="E30" s="41" t="s">
        <v>900</v>
      </c>
      <c r="F30" s="41"/>
      <c r="G30" s="41" t="s">
        <v>165</v>
      </c>
      <c r="H30" s="70" t="s">
        <v>901</v>
      </c>
      <c r="I30" s="41" t="s">
        <v>133</v>
      </c>
      <c r="J30" s="41" t="s">
        <v>834</v>
      </c>
      <c r="K30" s="64">
        <v>66756</v>
      </c>
      <c r="L30" s="41">
        <v>32</v>
      </c>
      <c r="M30" s="64">
        <v>11273</v>
      </c>
      <c r="N30" s="64">
        <f t="shared" si="5"/>
        <v>55483</v>
      </c>
      <c r="O30" s="41" t="s">
        <v>79</v>
      </c>
      <c r="P30" s="29" t="s">
        <v>98</v>
      </c>
      <c r="Q30" s="41" t="s">
        <v>79</v>
      </c>
      <c r="R30" s="41">
        <v>0.49399999999999999</v>
      </c>
      <c r="S30" s="41" t="s">
        <v>937</v>
      </c>
      <c r="T30" s="41">
        <v>1.2E-2</v>
      </c>
      <c r="U30" s="41">
        <v>40.923000000000002</v>
      </c>
      <c r="V30" s="68">
        <v>0.11</v>
      </c>
      <c r="W30" s="41">
        <v>0.49399999999999999</v>
      </c>
      <c r="X30" s="41" t="s">
        <v>941</v>
      </c>
      <c r="Y30" s="41">
        <v>0.10199999999999999</v>
      </c>
      <c r="Z30" s="41">
        <v>2.2149999999999999</v>
      </c>
      <c r="AA30" s="41" t="s">
        <v>945</v>
      </c>
      <c r="AB30" s="41">
        <v>0.68300000000000005</v>
      </c>
      <c r="AC30" s="41" t="s">
        <v>140</v>
      </c>
      <c r="AD30" s="41" t="s">
        <v>204</v>
      </c>
    </row>
    <row r="31" spans="1:30" ht="14.25" hidden="1">
      <c r="A31" s="14" t="s">
        <v>70</v>
      </c>
      <c r="B31" s="14" t="s">
        <v>207</v>
      </c>
      <c r="C31" s="14" t="s">
        <v>74</v>
      </c>
      <c r="D31" s="14" t="s">
        <v>75</v>
      </c>
      <c r="E31" s="14" t="s">
        <v>949</v>
      </c>
      <c r="F31" s="14"/>
      <c r="G31" s="14" t="s">
        <v>113</v>
      </c>
      <c r="H31" s="14" t="s">
        <v>950</v>
      </c>
      <c r="I31" s="14" t="s">
        <v>133</v>
      </c>
      <c r="J31" s="14" t="s">
        <v>951</v>
      </c>
      <c r="K31" s="19">
        <f>M31+N31</f>
        <v>138086</v>
      </c>
      <c r="L31" s="14">
        <v>50</v>
      </c>
      <c r="M31" s="14">
        <v>27205</v>
      </c>
      <c r="N31" s="14">
        <v>110881</v>
      </c>
      <c r="O31" s="14" t="s">
        <v>79</v>
      </c>
      <c r="P31" s="14" t="s">
        <v>98</v>
      </c>
      <c r="Q31" s="14"/>
      <c r="R31" s="14">
        <v>0.59470000000000001</v>
      </c>
      <c r="S31" s="14" t="s">
        <v>966</v>
      </c>
      <c r="T31" s="14">
        <v>2.87E-2</v>
      </c>
      <c r="U31" s="14">
        <v>80.4041</v>
      </c>
      <c r="V31" s="14">
        <v>5.4000000000000003E-3</v>
      </c>
      <c r="W31" s="14">
        <v>0.90590000000000004</v>
      </c>
      <c r="X31" s="14" t="s">
        <v>969</v>
      </c>
      <c r="Y31" s="14">
        <v>0.73570000000000002</v>
      </c>
      <c r="Z31" s="14">
        <v>0.37369999999999998</v>
      </c>
      <c r="AA31" s="14" t="s">
        <v>972</v>
      </c>
      <c r="AB31" s="14">
        <v>0.26840000000000003</v>
      </c>
      <c r="AC31" s="14" t="s">
        <v>109</v>
      </c>
      <c r="AD31" s="14" t="s">
        <v>155</v>
      </c>
    </row>
    <row r="32" spans="1:30" ht="14.25" hidden="1">
      <c r="A32" s="38" t="s">
        <v>70</v>
      </c>
      <c r="B32" s="41" t="s">
        <v>93</v>
      </c>
      <c r="C32" s="29" t="s">
        <v>74</v>
      </c>
      <c r="D32" s="41" t="s">
        <v>246</v>
      </c>
      <c r="E32" s="41" t="s">
        <v>977</v>
      </c>
      <c r="F32" s="41"/>
      <c r="G32" s="41" t="s">
        <v>248</v>
      </c>
      <c r="H32" s="63" t="s">
        <v>867</v>
      </c>
      <c r="I32" s="41" t="s">
        <v>133</v>
      </c>
      <c r="J32" s="41" t="s">
        <v>834</v>
      </c>
      <c r="K32" s="64">
        <v>63053</v>
      </c>
      <c r="L32" s="41">
        <v>10</v>
      </c>
      <c r="M32" s="64">
        <v>7426</v>
      </c>
      <c r="N32" s="64">
        <f t="shared" ref="N32:N34" si="6">K32-M32</f>
        <v>55627</v>
      </c>
      <c r="O32" s="41" t="s">
        <v>79</v>
      </c>
      <c r="P32" s="29" t="s">
        <v>98</v>
      </c>
      <c r="Q32" s="41" t="s">
        <v>79</v>
      </c>
      <c r="R32" s="41">
        <v>0.86599999999999999</v>
      </c>
      <c r="S32" s="41" t="s">
        <v>985</v>
      </c>
      <c r="T32" s="41">
        <v>0.82299999999999995</v>
      </c>
      <c r="U32" s="41">
        <v>12.657</v>
      </c>
      <c r="V32" s="41">
        <v>0.17899999999999999</v>
      </c>
      <c r="W32" s="41">
        <v>0.66500000000000004</v>
      </c>
      <c r="X32" s="41" t="s">
        <v>986</v>
      </c>
      <c r="Y32" s="41">
        <v>0.64300000000000002</v>
      </c>
      <c r="Z32" s="41">
        <v>2E-3</v>
      </c>
      <c r="AA32" s="41" t="s">
        <v>987</v>
      </c>
      <c r="AB32" s="41">
        <v>0.45700000000000002</v>
      </c>
      <c r="AC32" s="41" t="s">
        <v>140</v>
      </c>
      <c r="AD32" s="41" t="s">
        <v>204</v>
      </c>
    </row>
    <row r="33" spans="1:30" ht="14.25" hidden="1">
      <c r="A33" s="38" t="s">
        <v>70</v>
      </c>
      <c r="B33" s="41" t="s">
        <v>93</v>
      </c>
      <c r="C33" s="29" t="s">
        <v>74</v>
      </c>
      <c r="D33" s="41" t="s">
        <v>622</v>
      </c>
      <c r="E33" s="41" t="s">
        <v>977</v>
      </c>
      <c r="F33" s="41"/>
      <c r="G33" s="41" t="s">
        <v>215</v>
      </c>
      <c r="H33" s="63" t="s">
        <v>867</v>
      </c>
      <c r="I33" s="41" t="s">
        <v>133</v>
      </c>
      <c r="J33" s="41" t="s">
        <v>834</v>
      </c>
      <c r="K33" s="64">
        <v>63053</v>
      </c>
      <c r="L33" s="41">
        <v>15</v>
      </c>
      <c r="M33" s="64">
        <v>7426</v>
      </c>
      <c r="N33" s="64">
        <f t="shared" si="6"/>
        <v>55627</v>
      </c>
      <c r="O33" s="41" t="s">
        <v>79</v>
      </c>
      <c r="P33" s="29" t="s">
        <v>98</v>
      </c>
      <c r="Q33" s="41" t="s">
        <v>79</v>
      </c>
      <c r="R33" s="41">
        <v>0.10299999999999999</v>
      </c>
      <c r="S33" s="41" t="s">
        <v>1004</v>
      </c>
      <c r="T33" s="67">
        <v>1.93E-4</v>
      </c>
      <c r="U33" s="41">
        <v>47.435000000000002</v>
      </c>
      <c r="V33" s="68">
        <v>0</v>
      </c>
      <c r="W33" s="41">
        <v>0.23400000000000001</v>
      </c>
      <c r="X33" s="41" t="s">
        <v>1005</v>
      </c>
      <c r="Y33" s="41">
        <v>0.126</v>
      </c>
      <c r="Z33" s="41">
        <v>1E-3</v>
      </c>
      <c r="AA33" s="41" t="s">
        <v>1006</v>
      </c>
      <c r="AB33" s="41">
        <v>0.28699999999999998</v>
      </c>
      <c r="AC33" s="41" t="s">
        <v>140</v>
      </c>
      <c r="AD33" s="41" t="s">
        <v>204</v>
      </c>
    </row>
    <row r="34" spans="1:30" ht="14.25" hidden="1">
      <c r="A34" s="38" t="s">
        <v>70</v>
      </c>
      <c r="B34" s="41" t="s">
        <v>93</v>
      </c>
      <c r="C34" s="29" t="s">
        <v>74</v>
      </c>
      <c r="D34" s="41" t="s">
        <v>164</v>
      </c>
      <c r="E34" s="41" t="s">
        <v>977</v>
      </c>
      <c r="F34" s="41"/>
      <c r="G34" s="41" t="s">
        <v>165</v>
      </c>
      <c r="H34" s="63" t="s">
        <v>867</v>
      </c>
      <c r="I34" s="41" t="s">
        <v>133</v>
      </c>
      <c r="J34" s="41" t="s">
        <v>834</v>
      </c>
      <c r="K34" s="64">
        <v>63053</v>
      </c>
      <c r="L34" s="41">
        <v>32</v>
      </c>
      <c r="M34" s="64">
        <v>7426</v>
      </c>
      <c r="N34" s="64">
        <f t="shared" si="6"/>
        <v>55627</v>
      </c>
      <c r="O34" s="41" t="s">
        <v>79</v>
      </c>
      <c r="P34" s="29" t="s">
        <v>98</v>
      </c>
      <c r="Q34" s="41" t="s">
        <v>79</v>
      </c>
      <c r="R34" s="72">
        <v>0.12</v>
      </c>
      <c r="S34" s="41" t="s">
        <v>1018</v>
      </c>
      <c r="T34" s="67">
        <v>9.0600000000000002E-11</v>
      </c>
      <c r="U34" s="41">
        <v>82.349000000000004</v>
      </c>
      <c r="V34" s="73">
        <v>0</v>
      </c>
      <c r="W34" s="41">
        <v>0.13400000000000001</v>
      </c>
      <c r="X34" s="41" t="s">
        <v>1021</v>
      </c>
      <c r="Y34" s="73">
        <v>0</v>
      </c>
      <c r="Z34" s="41">
        <v>2.3E-2</v>
      </c>
      <c r="AA34" s="41" t="s">
        <v>1023</v>
      </c>
      <c r="AB34" s="41">
        <v>0.23499999999999999</v>
      </c>
      <c r="AC34" s="41" t="s">
        <v>140</v>
      </c>
      <c r="AD34" s="41" t="s">
        <v>204</v>
      </c>
    </row>
    <row r="35" spans="1:30" ht="14.25" hidden="1">
      <c r="A35" s="10" t="s">
        <v>52</v>
      </c>
      <c r="B35" s="10" t="s">
        <v>55</v>
      </c>
      <c r="C35" s="10" t="s">
        <v>74</v>
      </c>
      <c r="D35" s="33" t="s">
        <v>524</v>
      </c>
      <c r="E35" s="10" t="s">
        <v>1026</v>
      </c>
      <c r="F35" s="33"/>
      <c r="G35" s="33" t="s">
        <v>527</v>
      </c>
      <c r="H35" s="10" t="s">
        <v>254</v>
      </c>
      <c r="I35" s="10" t="s">
        <v>256</v>
      </c>
      <c r="J35" s="10" t="s">
        <v>256</v>
      </c>
      <c r="K35" s="34">
        <f>M35+N35</f>
        <v>916</v>
      </c>
      <c r="L35" s="10">
        <v>47</v>
      </c>
      <c r="M35" s="35">
        <v>132</v>
      </c>
      <c r="N35" s="35">
        <v>784</v>
      </c>
      <c r="O35" s="10" t="s">
        <v>79</v>
      </c>
      <c r="P35" s="10" t="s">
        <v>98</v>
      </c>
      <c r="Q35" s="10" t="s">
        <v>1032</v>
      </c>
      <c r="R35" s="36" t="s">
        <v>534</v>
      </c>
      <c r="S35" s="37" t="s">
        <v>536</v>
      </c>
      <c r="T35" s="36" t="s">
        <v>537</v>
      </c>
      <c r="U35" s="10">
        <v>45.959905910000003</v>
      </c>
      <c r="V35" s="10">
        <v>0.47392800000000002</v>
      </c>
      <c r="W35" s="36" t="s">
        <v>542</v>
      </c>
      <c r="X35" s="36" t="s">
        <v>543</v>
      </c>
      <c r="Y35" s="36" t="s">
        <v>545</v>
      </c>
      <c r="Z35" s="36" t="s">
        <v>546</v>
      </c>
      <c r="AA35" s="34" t="s">
        <v>548</v>
      </c>
      <c r="AB35" s="36" t="s">
        <v>549</v>
      </c>
      <c r="AC35" s="10" t="s">
        <v>140</v>
      </c>
      <c r="AD35" s="10" t="s">
        <v>145</v>
      </c>
    </row>
    <row r="36" spans="1:30" ht="14.25" hidden="1">
      <c r="A36" s="38" t="s">
        <v>70</v>
      </c>
      <c r="B36" s="41" t="s">
        <v>93</v>
      </c>
      <c r="C36" s="29" t="s">
        <v>74</v>
      </c>
      <c r="D36" s="41" t="s">
        <v>246</v>
      </c>
      <c r="E36" s="41" t="s">
        <v>1037</v>
      </c>
      <c r="F36" s="41"/>
      <c r="G36" s="41" t="s">
        <v>248</v>
      </c>
      <c r="H36" s="63" t="s">
        <v>1038</v>
      </c>
      <c r="I36" s="41" t="s">
        <v>133</v>
      </c>
      <c r="J36" s="41" t="s">
        <v>834</v>
      </c>
      <c r="K36" s="64">
        <v>24108</v>
      </c>
      <c r="L36" s="41">
        <v>10</v>
      </c>
      <c r="M36" s="64">
        <v>2664</v>
      </c>
      <c r="N36" s="64">
        <f t="shared" ref="N36:N38" si="7">K36-M36</f>
        <v>21444</v>
      </c>
      <c r="O36" s="41" t="s">
        <v>79</v>
      </c>
      <c r="P36" s="29" t="s">
        <v>98</v>
      </c>
      <c r="Q36" s="41" t="s">
        <v>79</v>
      </c>
      <c r="R36" s="41">
        <v>0.623</v>
      </c>
      <c r="S36" s="41" t="s">
        <v>1045</v>
      </c>
      <c r="T36" s="41">
        <v>0.63900000000000001</v>
      </c>
      <c r="U36" s="41">
        <v>12.595000000000001</v>
      </c>
      <c r="V36" s="41">
        <v>0.182</v>
      </c>
      <c r="W36" s="41">
        <v>0.191</v>
      </c>
      <c r="X36" s="41" t="s">
        <v>1046</v>
      </c>
      <c r="Y36" s="41">
        <v>0.246</v>
      </c>
      <c r="Z36" s="67">
        <v>2800</v>
      </c>
      <c r="AA36" s="41" t="s">
        <v>1047</v>
      </c>
      <c r="AB36" s="41">
        <v>0.40600000000000003</v>
      </c>
      <c r="AC36" s="41" t="s">
        <v>140</v>
      </c>
      <c r="AD36" s="41" t="s">
        <v>204</v>
      </c>
    </row>
    <row r="37" spans="1:30" ht="14.25" hidden="1">
      <c r="A37" s="38" t="s">
        <v>70</v>
      </c>
      <c r="B37" s="41" t="s">
        <v>93</v>
      </c>
      <c r="C37" s="29" t="s">
        <v>74</v>
      </c>
      <c r="D37" s="41" t="s">
        <v>622</v>
      </c>
      <c r="E37" s="41" t="s">
        <v>1037</v>
      </c>
      <c r="F37" s="41"/>
      <c r="G37" s="41" t="s">
        <v>215</v>
      </c>
      <c r="H37" s="63" t="s">
        <v>1038</v>
      </c>
      <c r="I37" s="41" t="s">
        <v>133</v>
      </c>
      <c r="J37" s="41" t="s">
        <v>834</v>
      </c>
      <c r="K37" s="64">
        <v>24108</v>
      </c>
      <c r="L37" s="41">
        <v>14</v>
      </c>
      <c r="M37" s="64">
        <v>2664</v>
      </c>
      <c r="N37" s="64">
        <f t="shared" si="7"/>
        <v>21444</v>
      </c>
      <c r="O37" s="41" t="s">
        <v>79</v>
      </c>
      <c r="P37" s="29" t="s">
        <v>98</v>
      </c>
      <c r="Q37" s="41" t="s">
        <v>79</v>
      </c>
      <c r="R37" s="41">
        <v>0.161</v>
      </c>
      <c r="S37" s="41" t="s">
        <v>1056</v>
      </c>
      <c r="T37" s="41">
        <v>6.9000000000000006E-2</v>
      </c>
      <c r="U37" s="41">
        <v>17.225000000000001</v>
      </c>
      <c r="V37" s="41">
        <v>0.189</v>
      </c>
      <c r="W37" s="41">
        <v>0.27100000000000002</v>
      </c>
      <c r="X37" s="41" t="s">
        <v>1058</v>
      </c>
      <c r="Y37" s="41">
        <v>0.35299999999999998</v>
      </c>
      <c r="Z37" s="73">
        <v>0</v>
      </c>
      <c r="AA37" s="41" t="s">
        <v>1060</v>
      </c>
      <c r="AB37" s="41">
        <v>0.16</v>
      </c>
      <c r="AC37" s="41" t="s">
        <v>140</v>
      </c>
      <c r="AD37" s="41" t="s">
        <v>204</v>
      </c>
    </row>
    <row r="38" spans="1:30" ht="14.25" hidden="1">
      <c r="A38" s="38" t="s">
        <v>70</v>
      </c>
      <c r="B38" s="41" t="s">
        <v>93</v>
      </c>
      <c r="C38" s="29" t="s">
        <v>74</v>
      </c>
      <c r="D38" s="41" t="s">
        <v>164</v>
      </c>
      <c r="E38" s="41" t="s">
        <v>1037</v>
      </c>
      <c r="F38" s="41"/>
      <c r="G38" s="41" t="s">
        <v>165</v>
      </c>
      <c r="H38" s="63" t="s">
        <v>1038</v>
      </c>
      <c r="I38" s="41" t="s">
        <v>133</v>
      </c>
      <c r="J38" s="41" t="s">
        <v>834</v>
      </c>
      <c r="K38" s="64">
        <v>24108</v>
      </c>
      <c r="L38" s="41">
        <v>31</v>
      </c>
      <c r="M38" s="64">
        <v>2664</v>
      </c>
      <c r="N38" s="64">
        <f t="shared" si="7"/>
        <v>21444</v>
      </c>
      <c r="O38" s="41" t="s">
        <v>79</v>
      </c>
      <c r="P38" s="29" t="s">
        <v>98</v>
      </c>
      <c r="Q38" s="41" t="s">
        <v>79</v>
      </c>
      <c r="R38" s="41">
        <v>0.23899999999999999</v>
      </c>
      <c r="S38" s="41" t="s">
        <v>1065</v>
      </c>
      <c r="T38" s="41">
        <v>6.0000000000000001E-3</v>
      </c>
      <c r="U38" s="41">
        <v>37.427999999999997</v>
      </c>
      <c r="V38" s="41">
        <v>0.16500000000000001</v>
      </c>
      <c r="W38" s="41">
        <v>0.42299999999999999</v>
      </c>
      <c r="X38" s="41" t="s">
        <v>1066</v>
      </c>
      <c r="Y38" s="41">
        <v>0.27400000000000002</v>
      </c>
      <c r="Z38" s="41">
        <v>0.13100000000000001</v>
      </c>
      <c r="AA38" s="41" t="s">
        <v>1067</v>
      </c>
      <c r="AB38" s="41">
        <v>0.56200000000000006</v>
      </c>
      <c r="AC38" s="41" t="s">
        <v>140</v>
      </c>
      <c r="AD38" s="41" t="s">
        <v>204</v>
      </c>
    </row>
    <row r="39" spans="1:30" ht="14.25">
      <c r="A39" s="49" t="s">
        <v>52</v>
      </c>
      <c r="B39" s="49" t="s">
        <v>135</v>
      </c>
      <c r="C39" s="49" t="s">
        <v>74</v>
      </c>
      <c r="D39" s="49" t="s">
        <v>75</v>
      </c>
      <c r="E39" s="49" t="s">
        <v>170</v>
      </c>
      <c r="F39" s="49">
        <v>1</v>
      </c>
      <c r="G39" s="49" t="s">
        <v>113</v>
      </c>
      <c r="H39" s="49" t="s">
        <v>628</v>
      </c>
      <c r="I39" s="49" t="s">
        <v>133</v>
      </c>
      <c r="J39" s="49" t="s">
        <v>218</v>
      </c>
      <c r="K39" s="50">
        <v>156078</v>
      </c>
      <c r="L39" s="49">
        <v>53</v>
      </c>
      <c r="M39" s="50">
        <v>20629</v>
      </c>
      <c r="N39" s="50">
        <v>135449</v>
      </c>
      <c r="O39" s="49" t="s">
        <v>97</v>
      </c>
      <c r="P39" s="49" t="s">
        <v>98</v>
      </c>
      <c r="Q39" s="49" t="s">
        <v>79</v>
      </c>
      <c r="R39" s="49">
        <v>0.496</v>
      </c>
      <c r="S39" s="49" t="s">
        <v>1073</v>
      </c>
      <c r="T39" s="49">
        <v>0.21299999999999999</v>
      </c>
      <c r="U39" s="49" t="s">
        <v>79</v>
      </c>
      <c r="V39" s="49">
        <v>0.155</v>
      </c>
      <c r="W39" s="49">
        <v>0.46300000000000002</v>
      </c>
      <c r="X39" s="49" t="s">
        <v>1074</v>
      </c>
      <c r="Y39" s="49">
        <v>1.4999999999999999E-2</v>
      </c>
      <c r="Z39" s="49">
        <v>0.93700000000000006</v>
      </c>
      <c r="AA39" s="49" t="s">
        <v>1075</v>
      </c>
      <c r="AB39" s="51">
        <v>0.93</v>
      </c>
      <c r="AC39" s="49" t="s">
        <v>140</v>
      </c>
      <c r="AD39" s="49" t="s">
        <v>145</v>
      </c>
    </row>
    <row r="40" spans="1:30" ht="14.25">
      <c r="A40" s="29" t="s">
        <v>52</v>
      </c>
      <c r="B40" s="29" t="s">
        <v>153</v>
      </c>
      <c r="C40" s="29" t="s">
        <v>74</v>
      </c>
      <c r="D40" s="29" t="s">
        <v>75</v>
      </c>
      <c r="E40" s="29" t="s">
        <v>170</v>
      </c>
      <c r="F40" s="29">
        <v>1</v>
      </c>
      <c r="G40" s="29" t="s">
        <v>113</v>
      </c>
      <c r="H40" s="29"/>
      <c r="I40" s="29" t="s">
        <v>133</v>
      </c>
      <c r="J40" s="29" t="s">
        <v>1078</v>
      </c>
      <c r="K40" s="29">
        <f>M40+N40</f>
        <v>224365</v>
      </c>
      <c r="L40" s="29">
        <v>45</v>
      </c>
      <c r="M40" s="29">
        <v>37253</v>
      </c>
      <c r="N40" s="29">
        <v>187112</v>
      </c>
      <c r="O40" s="29" t="s">
        <v>97</v>
      </c>
      <c r="P40" s="29" t="s">
        <v>98</v>
      </c>
      <c r="Q40" s="29" t="s">
        <v>79</v>
      </c>
      <c r="R40" s="29" t="s">
        <v>1080</v>
      </c>
      <c r="S40" s="29" t="s">
        <v>1081</v>
      </c>
      <c r="T40" s="29">
        <v>2E-3</v>
      </c>
      <c r="U40" s="29" t="s">
        <v>79</v>
      </c>
      <c r="V40" s="29">
        <v>2.7E-2</v>
      </c>
      <c r="W40" s="29" t="s">
        <v>1085</v>
      </c>
      <c r="X40" s="29" t="s">
        <v>1086</v>
      </c>
      <c r="Y40" s="29" t="s">
        <v>1087</v>
      </c>
      <c r="Z40" s="29" t="s">
        <v>1088</v>
      </c>
      <c r="AA40" s="29" t="s">
        <v>1089</v>
      </c>
      <c r="AB40" s="29" t="s">
        <v>1091</v>
      </c>
      <c r="AC40" s="29" t="s">
        <v>140</v>
      </c>
      <c r="AD40" s="29" t="s">
        <v>145</v>
      </c>
    </row>
    <row r="41" spans="1:30" ht="14.25" hidden="1">
      <c r="A41" s="38" t="s">
        <v>70</v>
      </c>
      <c r="B41" s="74" t="s">
        <v>120</v>
      </c>
      <c r="C41" s="74" t="s">
        <v>74</v>
      </c>
      <c r="D41" s="74" t="s">
        <v>1092</v>
      </c>
      <c r="E41" s="74" t="s">
        <v>1093</v>
      </c>
      <c r="F41" s="74"/>
      <c r="G41" s="74" t="s">
        <v>1094</v>
      </c>
      <c r="H41" s="74" t="s">
        <v>62</v>
      </c>
      <c r="I41" s="74" t="s">
        <v>133</v>
      </c>
      <c r="J41" s="74" t="s">
        <v>1096</v>
      </c>
      <c r="K41" s="75">
        <v>6658</v>
      </c>
      <c r="L41" s="74">
        <v>19</v>
      </c>
      <c r="M41" s="75">
        <v>3343</v>
      </c>
      <c r="N41" s="75">
        <f t="shared" ref="N41:N43" si="8">K41-M41</f>
        <v>3315</v>
      </c>
      <c r="O41" s="74" t="s">
        <v>79</v>
      </c>
      <c r="P41" s="74" t="s">
        <v>98</v>
      </c>
      <c r="Q41" s="74">
        <v>10.67</v>
      </c>
      <c r="R41" s="74">
        <v>1.04</v>
      </c>
      <c r="S41" s="74" t="s">
        <v>1099</v>
      </c>
      <c r="T41" s="74">
        <v>0.627</v>
      </c>
      <c r="U41" s="74">
        <v>31.6</v>
      </c>
      <c r="V41" s="74">
        <v>1.7000000000000001E-2</v>
      </c>
      <c r="W41" s="74" t="s">
        <v>62</v>
      </c>
      <c r="X41" s="74" t="s">
        <v>62</v>
      </c>
      <c r="Y41" s="74" t="s">
        <v>62</v>
      </c>
      <c r="Z41" s="74" t="s">
        <v>62</v>
      </c>
      <c r="AA41" s="74" t="s">
        <v>62</v>
      </c>
      <c r="AB41" s="74" t="s">
        <v>62</v>
      </c>
      <c r="AC41" s="74" t="s">
        <v>140</v>
      </c>
      <c r="AD41" s="74" t="s">
        <v>204</v>
      </c>
    </row>
    <row r="42" spans="1:30" ht="14.25" hidden="1">
      <c r="A42" s="38" t="s">
        <v>70</v>
      </c>
      <c r="B42" s="74" t="s">
        <v>120</v>
      </c>
      <c r="C42" s="74" t="s">
        <v>74</v>
      </c>
      <c r="D42" s="74" t="s">
        <v>1103</v>
      </c>
      <c r="E42" s="74" t="s">
        <v>1093</v>
      </c>
      <c r="F42" s="74"/>
      <c r="G42" s="74" t="s">
        <v>1104</v>
      </c>
      <c r="H42" s="74" t="s">
        <v>62</v>
      </c>
      <c r="I42" s="74" t="s">
        <v>133</v>
      </c>
      <c r="J42" s="74" t="s">
        <v>1096</v>
      </c>
      <c r="K42" s="75">
        <v>6658</v>
      </c>
      <c r="L42" s="74">
        <v>3</v>
      </c>
      <c r="M42" s="75">
        <v>3343</v>
      </c>
      <c r="N42" s="75">
        <f t="shared" si="8"/>
        <v>3315</v>
      </c>
      <c r="O42" s="74" t="s">
        <v>79</v>
      </c>
      <c r="P42" s="74" t="s">
        <v>98</v>
      </c>
      <c r="Q42" s="74">
        <v>2.83</v>
      </c>
      <c r="R42" s="74">
        <v>0.89</v>
      </c>
      <c r="S42" s="74" t="s">
        <v>1111</v>
      </c>
      <c r="T42" s="74">
        <v>0.41599999999999998</v>
      </c>
      <c r="U42" s="74">
        <v>0.64</v>
      </c>
      <c r="V42" s="74">
        <v>0.72699999999999998</v>
      </c>
      <c r="W42" s="74" t="s">
        <v>62</v>
      </c>
      <c r="X42" s="74" t="s">
        <v>62</v>
      </c>
      <c r="Y42" s="74" t="s">
        <v>62</v>
      </c>
      <c r="Z42" s="74" t="s">
        <v>62</v>
      </c>
      <c r="AA42" s="74" t="s">
        <v>62</v>
      </c>
      <c r="AB42" s="74" t="s">
        <v>62</v>
      </c>
      <c r="AC42" s="74" t="s">
        <v>140</v>
      </c>
      <c r="AD42" s="74" t="s">
        <v>204</v>
      </c>
    </row>
    <row r="43" spans="1:30" ht="14.25" hidden="1">
      <c r="A43" s="38" t="s">
        <v>70</v>
      </c>
      <c r="B43" s="74" t="s">
        <v>120</v>
      </c>
      <c r="C43" s="74" t="s">
        <v>74</v>
      </c>
      <c r="D43" s="74" t="s">
        <v>1115</v>
      </c>
      <c r="E43" s="74" t="s">
        <v>1093</v>
      </c>
      <c r="F43" s="74"/>
      <c r="G43" s="74" t="s">
        <v>1116</v>
      </c>
      <c r="H43" s="74" t="s">
        <v>62</v>
      </c>
      <c r="I43" s="74" t="s">
        <v>133</v>
      </c>
      <c r="J43" s="74" t="s">
        <v>1096</v>
      </c>
      <c r="K43" s="75">
        <v>6658</v>
      </c>
      <c r="L43" s="74">
        <v>9</v>
      </c>
      <c r="M43" s="75">
        <v>3343</v>
      </c>
      <c r="N43" s="75">
        <f t="shared" si="8"/>
        <v>3315</v>
      </c>
      <c r="O43" s="74" t="s">
        <v>79</v>
      </c>
      <c r="P43" s="74" t="s">
        <v>98</v>
      </c>
      <c r="Q43" s="74">
        <v>7.23</v>
      </c>
      <c r="R43" s="74">
        <v>1.06</v>
      </c>
      <c r="S43" s="74" t="s">
        <v>1127</v>
      </c>
      <c r="T43" s="74">
        <v>0.63500000000000001</v>
      </c>
      <c r="U43" s="74">
        <v>16.52</v>
      </c>
      <c r="V43" s="74">
        <v>8.5999999999999993E-2</v>
      </c>
      <c r="W43" s="74" t="s">
        <v>62</v>
      </c>
      <c r="X43" s="74" t="s">
        <v>62</v>
      </c>
      <c r="Y43" s="74" t="s">
        <v>62</v>
      </c>
      <c r="Z43" s="74" t="s">
        <v>62</v>
      </c>
      <c r="AA43" s="74" t="s">
        <v>62</v>
      </c>
      <c r="AB43" s="74" t="s">
        <v>62</v>
      </c>
      <c r="AC43" s="74" t="s">
        <v>140</v>
      </c>
      <c r="AD43" s="74" t="s">
        <v>204</v>
      </c>
    </row>
    <row r="44" spans="1:30" ht="14.25">
      <c r="A44" s="53" t="s">
        <v>70</v>
      </c>
      <c r="B44" s="76" t="s">
        <v>118</v>
      </c>
      <c r="C44" s="52" t="s">
        <v>74</v>
      </c>
      <c r="D44" s="76" t="s">
        <v>75</v>
      </c>
      <c r="E44" s="76" t="s">
        <v>170</v>
      </c>
      <c r="F44" s="76">
        <v>1</v>
      </c>
      <c r="G44" s="76" t="s">
        <v>113</v>
      </c>
      <c r="H44" s="76" t="s">
        <v>628</v>
      </c>
      <c r="I44" s="76" t="s">
        <v>133</v>
      </c>
      <c r="J44" s="76" t="s">
        <v>218</v>
      </c>
      <c r="K44" s="76">
        <v>156.078</v>
      </c>
      <c r="L44" s="76">
        <v>52</v>
      </c>
      <c r="M44" s="76">
        <v>20.629000000000001</v>
      </c>
      <c r="N44" s="76">
        <v>135.44900000000001</v>
      </c>
      <c r="O44" s="76" t="s">
        <v>79</v>
      </c>
      <c r="P44" s="52" t="s">
        <v>98</v>
      </c>
      <c r="Q44" s="77">
        <v>15502</v>
      </c>
      <c r="R44" s="77">
        <v>489</v>
      </c>
      <c r="S44" s="76" t="s">
        <v>1139</v>
      </c>
      <c r="T44" s="77">
        <v>954</v>
      </c>
      <c r="U44" s="77">
        <v>61804</v>
      </c>
      <c r="V44" s="77">
        <v>143</v>
      </c>
      <c r="W44" s="77">
        <v>462</v>
      </c>
      <c r="X44" s="76" t="s">
        <v>1145</v>
      </c>
      <c r="Y44" s="77">
        <v>11</v>
      </c>
      <c r="Z44" s="77">
        <v>971</v>
      </c>
      <c r="AA44" s="76" t="s">
        <v>1148</v>
      </c>
      <c r="AB44" s="77">
        <v>968</v>
      </c>
      <c r="AC44" s="52" t="s">
        <v>140</v>
      </c>
      <c r="AD44" s="52" t="s">
        <v>145</v>
      </c>
    </row>
    <row r="45" spans="1:30" ht="14.25" hidden="1">
      <c r="A45" s="38" t="s">
        <v>70</v>
      </c>
      <c r="B45" s="74" t="s">
        <v>120</v>
      </c>
      <c r="C45" s="74" t="s">
        <v>74</v>
      </c>
      <c r="D45" s="74" t="s">
        <v>1156</v>
      </c>
      <c r="E45" s="74" t="s">
        <v>1093</v>
      </c>
      <c r="F45" s="74"/>
      <c r="G45" s="74" t="s">
        <v>248</v>
      </c>
      <c r="H45" s="74" t="s">
        <v>1159</v>
      </c>
      <c r="I45" s="74" t="s">
        <v>133</v>
      </c>
      <c r="J45" s="74" t="s">
        <v>1162</v>
      </c>
      <c r="K45" s="75">
        <v>140254</v>
      </c>
      <c r="L45" s="74">
        <v>20</v>
      </c>
      <c r="M45" s="75">
        <v>79148</v>
      </c>
      <c r="N45" s="75">
        <f t="shared" ref="N45:N47" si="9">K45-M45</f>
        <v>61106</v>
      </c>
      <c r="O45" s="74" t="s">
        <v>79</v>
      </c>
      <c r="P45" s="74" t="s">
        <v>98</v>
      </c>
      <c r="Q45" s="74">
        <v>16.93</v>
      </c>
      <c r="R45" s="74">
        <v>1.25</v>
      </c>
      <c r="S45" s="74" t="s">
        <v>1164</v>
      </c>
      <c r="T45" s="74">
        <v>0.53600000000000003</v>
      </c>
      <c r="U45" s="74">
        <v>38.520000000000003</v>
      </c>
      <c r="V45" s="74" t="s">
        <v>1165</v>
      </c>
      <c r="W45" s="74" t="s">
        <v>62</v>
      </c>
      <c r="X45" s="74" t="s">
        <v>62</v>
      </c>
      <c r="Y45" s="74" t="s">
        <v>62</v>
      </c>
      <c r="Z45" s="74" t="s">
        <v>62</v>
      </c>
      <c r="AA45" s="74" t="s">
        <v>62</v>
      </c>
      <c r="AB45" s="74" t="s">
        <v>62</v>
      </c>
      <c r="AC45" s="74" t="s">
        <v>140</v>
      </c>
      <c r="AD45" s="74" t="s">
        <v>204</v>
      </c>
    </row>
    <row r="46" spans="1:30" ht="14.25" hidden="1">
      <c r="A46" s="38" t="s">
        <v>70</v>
      </c>
      <c r="B46" s="74" t="s">
        <v>120</v>
      </c>
      <c r="C46" s="74" t="s">
        <v>74</v>
      </c>
      <c r="D46" s="74" t="s">
        <v>1174</v>
      </c>
      <c r="E46" s="74" t="s">
        <v>1093</v>
      </c>
      <c r="F46" s="74"/>
      <c r="G46" s="74" t="s">
        <v>215</v>
      </c>
      <c r="H46" s="74" t="s">
        <v>1159</v>
      </c>
      <c r="I46" s="74" t="s">
        <v>133</v>
      </c>
      <c r="J46" s="74" t="s">
        <v>1162</v>
      </c>
      <c r="K46" s="75">
        <v>140254</v>
      </c>
      <c r="L46" s="74">
        <v>21</v>
      </c>
      <c r="M46" s="75">
        <v>79148</v>
      </c>
      <c r="N46" s="75">
        <f t="shared" si="9"/>
        <v>61106</v>
      </c>
      <c r="O46" s="74" t="s">
        <v>79</v>
      </c>
      <c r="P46" s="74" t="s">
        <v>98</v>
      </c>
      <c r="Q46" s="74">
        <v>16.52</v>
      </c>
      <c r="R46" s="74">
        <v>2.15</v>
      </c>
      <c r="S46" s="74" t="s">
        <v>1181</v>
      </c>
      <c r="T46" s="74">
        <v>9.6000000000000002E-2</v>
      </c>
      <c r="U46" s="74">
        <v>54.9</v>
      </c>
      <c r="V46" s="74" t="s">
        <v>1165</v>
      </c>
      <c r="W46" s="74" t="s">
        <v>62</v>
      </c>
      <c r="X46" s="74" t="s">
        <v>62</v>
      </c>
      <c r="Y46" s="74" t="s">
        <v>62</v>
      </c>
      <c r="Z46" s="74" t="s">
        <v>62</v>
      </c>
      <c r="AA46" s="74" t="s">
        <v>62</v>
      </c>
      <c r="AB46" s="74" t="s">
        <v>62</v>
      </c>
      <c r="AC46" s="74" t="s">
        <v>140</v>
      </c>
      <c r="AD46" s="74" t="s">
        <v>204</v>
      </c>
    </row>
    <row r="47" spans="1:30" ht="14.25" hidden="1">
      <c r="A47" s="38" t="s">
        <v>70</v>
      </c>
      <c r="B47" s="74" t="s">
        <v>120</v>
      </c>
      <c r="C47" s="74" t="s">
        <v>74</v>
      </c>
      <c r="D47" s="74" t="s">
        <v>1185</v>
      </c>
      <c r="E47" s="74" t="s">
        <v>1093</v>
      </c>
      <c r="F47" s="74"/>
      <c r="G47" s="74" t="s">
        <v>165</v>
      </c>
      <c r="H47" s="74" t="s">
        <v>1159</v>
      </c>
      <c r="I47" s="74" t="s">
        <v>133</v>
      </c>
      <c r="J47" s="74" t="s">
        <v>1162</v>
      </c>
      <c r="K47" s="75">
        <v>140254</v>
      </c>
      <c r="L47" s="74">
        <v>49</v>
      </c>
      <c r="M47" s="75">
        <v>79148</v>
      </c>
      <c r="N47" s="75">
        <f t="shared" si="9"/>
        <v>61106</v>
      </c>
      <c r="O47" s="74" t="s">
        <v>79</v>
      </c>
      <c r="P47" s="74" t="s">
        <v>98</v>
      </c>
      <c r="Q47" s="74">
        <v>24.08</v>
      </c>
      <c r="R47" s="74">
        <v>1.1499999999999999</v>
      </c>
      <c r="S47" s="74" t="s">
        <v>1193</v>
      </c>
      <c r="T47" s="74">
        <v>0.57299999999999995</v>
      </c>
      <c r="U47" s="74">
        <v>127.57</v>
      </c>
      <c r="V47" s="74" t="s">
        <v>1165</v>
      </c>
      <c r="W47" s="74" t="s">
        <v>62</v>
      </c>
      <c r="X47" s="74" t="s">
        <v>62</v>
      </c>
      <c r="Y47" s="74" t="s">
        <v>62</v>
      </c>
      <c r="Z47" s="74" t="s">
        <v>62</v>
      </c>
      <c r="AA47" s="74" t="s">
        <v>62</v>
      </c>
      <c r="AB47" s="74" t="s">
        <v>62</v>
      </c>
      <c r="AC47" s="74" t="s">
        <v>140</v>
      </c>
      <c r="AD47" s="74" t="s">
        <v>204</v>
      </c>
    </row>
    <row r="48" spans="1:30" ht="14.25" hidden="1">
      <c r="A48" s="38" t="s">
        <v>52</v>
      </c>
      <c r="B48" s="38" t="s">
        <v>142</v>
      </c>
      <c r="C48" s="29" t="s">
        <v>74</v>
      </c>
      <c r="D48" s="38" t="s">
        <v>75</v>
      </c>
      <c r="E48" s="38" t="s">
        <v>1206</v>
      </c>
      <c r="F48" s="38"/>
      <c r="G48" s="38" t="s">
        <v>113</v>
      </c>
      <c r="H48" s="38" t="s">
        <v>1208</v>
      </c>
      <c r="I48" s="38" t="s">
        <v>133</v>
      </c>
      <c r="J48" s="38" t="s">
        <v>1209</v>
      </c>
      <c r="K48" s="38" t="s">
        <v>1210</v>
      </c>
      <c r="L48" s="38">
        <v>43</v>
      </c>
      <c r="M48" s="78">
        <v>18382</v>
      </c>
      <c r="N48" s="78">
        <v>27969</v>
      </c>
      <c r="O48" s="38" t="s">
        <v>97</v>
      </c>
      <c r="P48" s="38" t="s">
        <v>98</v>
      </c>
      <c r="Q48" s="38" t="s">
        <v>79</v>
      </c>
      <c r="R48" s="38">
        <v>1.792</v>
      </c>
      <c r="S48" s="38" t="s">
        <v>1219</v>
      </c>
      <c r="T48" s="38">
        <v>0.125</v>
      </c>
      <c r="U48" s="38" t="s">
        <v>79</v>
      </c>
      <c r="V48" s="38" t="s">
        <v>1220</v>
      </c>
      <c r="W48" s="38">
        <v>2.5550000000000002</v>
      </c>
      <c r="X48" s="38" t="s">
        <v>1222</v>
      </c>
      <c r="Y48" s="38">
        <v>2.9000000000000001E-2</v>
      </c>
      <c r="Z48" s="38">
        <v>1.0249999999999999</v>
      </c>
      <c r="AA48" s="38" t="s">
        <v>1224</v>
      </c>
      <c r="AB48" s="38">
        <v>0.98599999999999999</v>
      </c>
      <c r="AC48" s="38" t="s">
        <v>140</v>
      </c>
      <c r="AD48" s="38" t="s">
        <v>112</v>
      </c>
    </row>
    <row r="49" spans="1:30" ht="14.25" hidden="1">
      <c r="A49" s="38" t="s">
        <v>70</v>
      </c>
      <c r="B49" s="74" t="s">
        <v>120</v>
      </c>
      <c r="C49" s="74" t="s">
        <v>74</v>
      </c>
      <c r="D49" s="74" t="s">
        <v>1092</v>
      </c>
      <c r="E49" s="74" t="s">
        <v>1221</v>
      </c>
      <c r="F49" s="74"/>
      <c r="G49" s="74" t="s">
        <v>1094</v>
      </c>
      <c r="H49" s="74" t="s">
        <v>1223</v>
      </c>
      <c r="I49" s="74" t="s">
        <v>133</v>
      </c>
      <c r="J49" s="74" t="s">
        <v>1225</v>
      </c>
      <c r="K49" s="75">
        <v>109347</v>
      </c>
      <c r="L49" s="74">
        <v>98</v>
      </c>
      <c r="M49" s="75">
        <v>5408</v>
      </c>
      <c r="N49" s="75">
        <f t="shared" ref="N49:N51" si="10">K49-M49</f>
        <v>103939</v>
      </c>
      <c r="O49" s="74" t="s">
        <v>79</v>
      </c>
      <c r="P49" s="74" t="s">
        <v>98</v>
      </c>
      <c r="Q49" s="74">
        <v>10.67</v>
      </c>
      <c r="R49" s="74">
        <v>0.97</v>
      </c>
      <c r="S49" s="74" t="s">
        <v>1226</v>
      </c>
      <c r="T49" s="74">
        <v>0.38600000000000001</v>
      </c>
      <c r="U49" s="74">
        <v>13.22</v>
      </c>
      <c r="V49" s="74">
        <v>0.72099999999999997</v>
      </c>
      <c r="W49" s="74" t="s">
        <v>62</v>
      </c>
      <c r="X49" s="74" t="s">
        <v>62</v>
      </c>
      <c r="Y49" s="74" t="s">
        <v>62</v>
      </c>
      <c r="Z49" s="74" t="s">
        <v>62</v>
      </c>
      <c r="AA49" s="74" t="s">
        <v>62</v>
      </c>
      <c r="AB49" s="74" t="s">
        <v>62</v>
      </c>
      <c r="AC49" s="74" t="s">
        <v>140</v>
      </c>
      <c r="AD49" s="74" t="s">
        <v>204</v>
      </c>
    </row>
    <row r="50" spans="1:30" ht="14.25" hidden="1">
      <c r="A50" s="38" t="s">
        <v>70</v>
      </c>
      <c r="B50" s="74" t="s">
        <v>120</v>
      </c>
      <c r="C50" s="74" t="s">
        <v>74</v>
      </c>
      <c r="D50" s="74" t="s">
        <v>1103</v>
      </c>
      <c r="E50" s="74" t="s">
        <v>1221</v>
      </c>
      <c r="F50" s="74"/>
      <c r="G50" s="74" t="s">
        <v>1104</v>
      </c>
      <c r="H50" s="74" t="s">
        <v>1223</v>
      </c>
      <c r="I50" s="74" t="s">
        <v>133</v>
      </c>
      <c r="J50" s="74" t="s">
        <v>1225</v>
      </c>
      <c r="K50" s="75">
        <v>109347</v>
      </c>
      <c r="L50" s="74">
        <v>14</v>
      </c>
      <c r="M50" s="75">
        <v>5408</v>
      </c>
      <c r="N50" s="75">
        <f t="shared" si="10"/>
        <v>103939</v>
      </c>
      <c r="O50" s="74" t="s">
        <v>79</v>
      </c>
      <c r="P50" s="74" t="s">
        <v>98</v>
      </c>
      <c r="Q50" s="74">
        <v>2.83</v>
      </c>
      <c r="R50" s="74">
        <v>1.08</v>
      </c>
      <c r="S50" s="74" t="s">
        <v>1234</v>
      </c>
      <c r="T50" s="74">
        <v>0.309</v>
      </c>
      <c r="U50" s="74" t="s">
        <v>1235</v>
      </c>
      <c r="V50" s="74">
        <v>1</v>
      </c>
      <c r="W50" s="74" t="s">
        <v>62</v>
      </c>
      <c r="X50" s="74" t="s">
        <v>62</v>
      </c>
      <c r="Y50" s="74" t="s">
        <v>62</v>
      </c>
      <c r="Z50" s="74" t="s">
        <v>62</v>
      </c>
      <c r="AA50" s="74" t="s">
        <v>62</v>
      </c>
      <c r="AB50" s="74" t="s">
        <v>62</v>
      </c>
      <c r="AC50" s="74" t="s">
        <v>140</v>
      </c>
      <c r="AD50" s="74" t="s">
        <v>204</v>
      </c>
    </row>
    <row r="51" spans="1:30" ht="14.25" hidden="1">
      <c r="A51" s="38" t="s">
        <v>70</v>
      </c>
      <c r="B51" s="74" t="s">
        <v>120</v>
      </c>
      <c r="C51" s="74" t="s">
        <v>74</v>
      </c>
      <c r="D51" s="74" t="s">
        <v>1115</v>
      </c>
      <c r="E51" s="74" t="s">
        <v>1221</v>
      </c>
      <c r="F51" s="74"/>
      <c r="G51" s="74" t="s">
        <v>1116</v>
      </c>
      <c r="H51" s="74" t="s">
        <v>1223</v>
      </c>
      <c r="I51" s="74" t="s">
        <v>133</v>
      </c>
      <c r="J51" s="74" t="s">
        <v>1225</v>
      </c>
      <c r="K51" s="75">
        <v>109347</v>
      </c>
      <c r="L51" s="74">
        <v>66</v>
      </c>
      <c r="M51" s="75">
        <v>5408</v>
      </c>
      <c r="N51" s="75">
        <f t="shared" si="10"/>
        <v>103939</v>
      </c>
      <c r="O51" s="74" t="s">
        <v>79</v>
      </c>
      <c r="P51" s="74" t="s">
        <v>98</v>
      </c>
      <c r="Q51" s="74">
        <v>6.69</v>
      </c>
      <c r="R51" s="74">
        <v>0.96</v>
      </c>
      <c r="S51" s="74" t="s">
        <v>1244</v>
      </c>
      <c r="T51" s="74">
        <v>0.66600000000000004</v>
      </c>
      <c r="U51" s="74">
        <v>26.2</v>
      </c>
      <c r="V51" s="74" t="s">
        <v>1165</v>
      </c>
      <c r="W51" s="74" t="s">
        <v>62</v>
      </c>
      <c r="X51" s="74" t="s">
        <v>62</v>
      </c>
      <c r="Y51" s="74" t="s">
        <v>62</v>
      </c>
      <c r="Z51" s="74" t="s">
        <v>62</v>
      </c>
      <c r="AA51" s="74" t="s">
        <v>62</v>
      </c>
      <c r="AB51" s="74" t="s">
        <v>62</v>
      </c>
      <c r="AC51" s="74" t="s">
        <v>140</v>
      </c>
      <c r="AD51" s="74" t="s">
        <v>204</v>
      </c>
    </row>
    <row r="52" spans="1:30" ht="14.25" hidden="1">
      <c r="A52" s="14" t="s">
        <v>52</v>
      </c>
      <c r="B52" s="14" t="s">
        <v>56</v>
      </c>
      <c r="C52" s="14" t="s">
        <v>74</v>
      </c>
      <c r="D52" s="14" t="s">
        <v>75</v>
      </c>
      <c r="E52" s="14" t="s">
        <v>1272</v>
      </c>
      <c r="F52" s="14"/>
      <c r="G52" s="14" t="s">
        <v>113</v>
      </c>
      <c r="H52" s="81" t="s">
        <v>1276</v>
      </c>
      <c r="I52" s="14" t="s">
        <v>133</v>
      </c>
      <c r="J52" s="14" t="s">
        <v>1282</v>
      </c>
      <c r="K52" s="14">
        <v>56429</v>
      </c>
      <c r="L52" s="14">
        <v>22</v>
      </c>
      <c r="M52" s="14">
        <v>13358</v>
      </c>
      <c r="N52" s="14">
        <v>43071</v>
      </c>
      <c r="O52" s="14" t="s">
        <v>97</v>
      </c>
      <c r="P52" s="14" t="s">
        <v>98</v>
      </c>
      <c r="Q52" s="14">
        <v>15.33</v>
      </c>
      <c r="R52" s="14">
        <v>0.28000000000000003</v>
      </c>
      <c r="S52" s="14" t="s">
        <v>1284</v>
      </c>
      <c r="T52" s="14">
        <v>0.01</v>
      </c>
      <c r="U52" s="14">
        <v>32.15</v>
      </c>
      <c r="V52" s="14">
        <v>0.06</v>
      </c>
      <c r="W52" s="14">
        <v>0.23</v>
      </c>
      <c r="X52" s="14" t="s">
        <v>1288</v>
      </c>
      <c r="Y52" s="14">
        <v>0.02</v>
      </c>
      <c r="Z52" s="14">
        <v>0.19</v>
      </c>
      <c r="AA52" s="14" t="s">
        <v>1290</v>
      </c>
      <c r="AB52" s="14">
        <v>0.32</v>
      </c>
      <c r="AC52" s="14" t="s">
        <v>140</v>
      </c>
      <c r="AD52" s="14" t="s">
        <v>385</v>
      </c>
    </row>
    <row r="53" spans="1:30" ht="14.25" hidden="1">
      <c r="A53" s="38" t="s">
        <v>70</v>
      </c>
      <c r="B53" s="74" t="s">
        <v>120</v>
      </c>
      <c r="C53" s="74" t="s">
        <v>74</v>
      </c>
      <c r="D53" s="74" t="s">
        <v>1156</v>
      </c>
      <c r="E53" s="74" t="s">
        <v>1221</v>
      </c>
      <c r="F53" s="74"/>
      <c r="G53" s="74" t="s">
        <v>248</v>
      </c>
      <c r="H53" s="74" t="s">
        <v>1261</v>
      </c>
      <c r="I53" s="74" t="s">
        <v>133</v>
      </c>
      <c r="J53" s="80" t="s">
        <v>1264</v>
      </c>
      <c r="K53" s="75">
        <v>95213</v>
      </c>
      <c r="L53" s="74">
        <v>7</v>
      </c>
      <c r="M53" s="75">
        <v>6311</v>
      </c>
      <c r="N53" s="75">
        <f t="shared" ref="N53:N55" si="11">K53-M53</f>
        <v>88902</v>
      </c>
      <c r="O53" s="74" t="s">
        <v>79</v>
      </c>
      <c r="P53" s="74" t="s">
        <v>98</v>
      </c>
      <c r="Q53" s="74">
        <v>24.03</v>
      </c>
      <c r="R53" s="74">
        <v>3.25</v>
      </c>
      <c r="S53" s="74" t="s">
        <v>1270</v>
      </c>
      <c r="T53" s="74">
        <v>0.157</v>
      </c>
      <c r="U53" s="74">
        <v>78.959999999999994</v>
      </c>
      <c r="V53" s="74">
        <v>6.0000000000000001E-3</v>
      </c>
      <c r="W53" s="74" t="s">
        <v>62</v>
      </c>
      <c r="X53" s="74" t="s">
        <v>62</v>
      </c>
      <c r="Y53" s="74" t="s">
        <v>62</v>
      </c>
      <c r="Z53" s="74" t="s">
        <v>62</v>
      </c>
      <c r="AA53" s="74" t="s">
        <v>62</v>
      </c>
      <c r="AB53" s="74" t="s">
        <v>62</v>
      </c>
      <c r="AC53" s="74" t="s">
        <v>140</v>
      </c>
      <c r="AD53" s="74" t="s">
        <v>204</v>
      </c>
    </row>
    <row r="54" spans="1:30" ht="14.25" hidden="1">
      <c r="A54" s="38" t="s">
        <v>70</v>
      </c>
      <c r="B54" s="74" t="s">
        <v>120</v>
      </c>
      <c r="C54" s="74" t="s">
        <v>74</v>
      </c>
      <c r="D54" s="74" t="s">
        <v>1174</v>
      </c>
      <c r="E54" s="74" t="s">
        <v>1221</v>
      </c>
      <c r="F54" s="74"/>
      <c r="G54" s="74" t="s">
        <v>215</v>
      </c>
      <c r="H54" s="74" t="s">
        <v>1261</v>
      </c>
      <c r="I54" s="74" t="s">
        <v>133</v>
      </c>
      <c r="J54" s="80" t="s">
        <v>1264</v>
      </c>
      <c r="K54" s="75">
        <v>95213</v>
      </c>
      <c r="L54" s="74">
        <v>8</v>
      </c>
      <c r="M54" s="75">
        <v>6311</v>
      </c>
      <c r="N54" s="75">
        <f t="shared" si="11"/>
        <v>88902</v>
      </c>
      <c r="O54" s="74" t="s">
        <v>79</v>
      </c>
      <c r="P54" s="74" t="s">
        <v>98</v>
      </c>
      <c r="Q54" s="74">
        <v>28.85</v>
      </c>
      <c r="R54" s="74">
        <v>5.44</v>
      </c>
      <c r="S54" s="74" t="s">
        <v>1279</v>
      </c>
      <c r="T54" s="74">
        <v>2.8000000000000001E-2</v>
      </c>
      <c r="U54" s="74">
        <v>51.63</v>
      </c>
      <c r="V54" s="74">
        <v>4.3999999999999997E-2</v>
      </c>
      <c r="W54" s="74" t="s">
        <v>62</v>
      </c>
      <c r="X54" s="74" t="s">
        <v>62</v>
      </c>
      <c r="Y54" s="74" t="s">
        <v>62</v>
      </c>
      <c r="Z54" s="74" t="s">
        <v>62</v>
      </c>
      <c r="AA54" s="74" t="s">
        <v>62</v>
      </c>
      <c r="AB54" s="74" t="s">
        <v>62</v>
      </c>
      <c r="AC54" s="74" t="s">
        <v>140</v>
      </c>
      <c r="AD54" s="74" t="s">
        <v>204</v>
      </c>
    </row>
    <row r="55" spans="1:30" ht="14.25" hidden="1">
      <c r="A55" s="38" t="s">
        <v>70</v>
      </c>
      <c r="B55" s="74" t="s">
        <v>120</v>
      </c>
      <c r="C55" s="74" t="s">
        <v>74</v>
      </c>
      <c r="D55" s="74" t="s">
        <v>1185</v>
      </c>
      <c r="E55" s="74" t="s">
        <v>1221</v>
      </c>
      <c r="F55" s="74"/>
      <c r="G55" s="74" t="s">
        <v>165</v>
      </c>
      <c r="H55" s="74" t="s">
        <v>1261</v>
      </c>
      <c r="I55" s="74" t="s">
        <v>133</v>
      </c>
      <c r="J55" s="80" t="s">
        <v>1264</v>
      </c>
      <c r="K55" s="75">
        <v>95213</v>
      </c>
      <c r="L55" s="74">
        <v>12</v>
      </c>
      <c r="M55" s="75">
        <v>6311</v>
      </c>
      <c r="N55" s="75">
        <f t="shared" si="11"/>
        <v>88902</v>
      </c>
      <c r="O55" s="74" t="s">
        <v>79</v>
      </c>
      <c r="P55" s="74" t="s">
        <v>98</v>
      </c>
      <c r="Q55" s="74">
        <v>26.64</v>
      </c>
      <c r="R55" s="74">
        <v>1.38</v>
      </c>
      <c r="S55" s="74" t="s">
        <v>1296</v>
      </c>
      <c r="T55" s="74">
        <v>0.378</v>
      </c>
      <c r="U55" s="74">
        <v>25.35</v>
      </c>
      <c r="V55" s="74">
        <v>6.4000000000000001E-2</v>
      </c>
      <c r="W55" s="74" t="s">
        <v>62</v>
      </c>
      <c r="X55" s="74" t="s">
        <v>62</v>
      </c>
      <c r="Y55" s="74" t="s">
        <v>62</v>
      </c>
      <c r="Z55" s="74" t="s">
        <v>62</v>
      </c>
      <c r="AA55" s="74" t="s">
        <v>62</v>
      </c>
      <c r="AB55" s="74" t="s">
        <v>62</v>
      </c>
      <c r="AC55" s="74" t="s">
        <v>140</v>
      </c>
      <c r="AD55" s="74" t="s">
        <v>204</v>
      </c>
    </row>
    <row r="56" spans="1:30" ht="14.25" hidden="1">
      <c r="A56" s="33" t="s">
        <v>52</v>
      </c>
      <c r="B56" s="33" t="s">
        <v>21</v>
      </c>
      <c r="C56" s="33" t="s">
        <v>74</v>
      </c>
      <c r="D56" s="33" t="s">
        <v>75</v>
      </c>
      <c r="E56" s="33" t="s">
        <v>1343</v>
      </c>
      <c r="F56" s="33"/>
      <c r="G56" s="33" t="s">
        <v>113</v>
      </c>
      <c r="H56" s="33" t="s">
        <v>79</v>
      </c>
      <c r="I56" s="33" t="s">
        <v>133</v>
      </c>
      <c r="J56" s="33" t="s">
        <v>218</v>
      </c>
      <c r="K56" s="33">
        <f>M56+N56</f>
        <v>293202</v>
      </c>
      <c r="L56" s="33">
        <v>55</v>
      </c>
      <c r="M56" s="33">
        <v>946</v>
      </c>
      <c r="N56" s="33">
        <v>292256</v>
      </c>
      <c r="O56" s="33" t="s">
        <v>97</v>
      </c>
      <c r="P56" s="33" t="s">
        <v>98</v>
      </c>
      <c r="Q56" s="33" t="s">
        <v>1354</v>
      </c>
      <c r="R56" s="33">
        <v>0.50600000000000001</v>
      </c>
      <c r="S56" s="33" t="s">
        <v>1355</v>
      </c>
      <c r="T56" s="84">
        <v>0.430489790482673</v>
      </c>
      <c r="U56" s="84">
        <v>64.800010012789599</v>
      </c>
      <c r="V56" s="84">
        <v>0.10953616806097501</v>
      </c>
      <c r="W56" s="33">
        <v>0.59299999999999997</v>
      </c>
      <c r="X56" s="33" t="s">
        <v>1357</v>
      </c>
      <c r="Y56" s="84">
        <v>0.67900737169106595</v>
      </c>
      <c r="Z56" s="33">
        <v>2.0409999999999999</v>
      </c>
      <c r="AA56" s="33" t="s">
        <v>1363</v>
      </c>
      <c r="AB56" s="84">
        <v>0.81214321828871605</v>
      </c>
      <c r="AC56" s="33" t="s">
        <v>109</v>
      </c>
      <c r="AD56" s="33" t="s">
        <v>385</v>
      </c>
    </row>
    <row r="57" spans="1:30" ht="14.25" hidden="1">
      <c r="A57" s="38" t="s">
        <v>52</v>
      </c>
      <c r="B57" s="38" t="s">
        <v>245</v>
      </c>
      <c r="C57" s="38" t="s">
        <v>74</v>
      </c>
      <c r="D57" s="38" t="s">
        <v>164</v>
      </c>
      <c r="E57" s="38" t="s">
        <v>247</v>
      </c>
      <c r="F57" s="38"/>
      <c r="G57" s="38" t="s">
        <v>1307</v>
      </c>
      <c r="H57" s="38" t="s">
        <v>1309</v>
      </c>
      <c r="I57" s="82" t="s">
        <v>1378</v>
      </c>
      <c r="J57" s="38" t="s">
        <v>256</v>
      </c>
      <c r="K57" s="38">
        <v>1369</v>
      </c>
      <c r="L57" s="38">
        <v>34</v>
      </c>
      <c r="M57" s="38" t="s">
        <v>79</v>
      </c>
      <c r="N57" s="38" t="s">
        <v>79</v>
      </c>
      <c r="O57" s="38" t="s">
        <v>97</v>
      </c>
      <c r="P57" s="38" t="s">
        <v>98</v>
      </c>
      <c r="Q57" s="38">
        <v>22.3</v>
      </c>
      <c r="R57" s="38">
        <v>1.004</v>
      </c>
      <c r="S57" s="38" t="s">
        <v>1312</v>
      </c>
      <c r="T57" s="38">
        <v>1.7999999999999999E-2</v>
      </c>
      <c r="U57" s="38" t="s">
        <v>79</v>
      </c>
      <c r="V57" s="38">
        <v>0.55700000000000005</v>
      </c>
      <c r="W57" s="53">
        <v>1.012</v>
      </c>
      <c r="X57" s="53" t="s">
        <v>1313</v>
      </c>
      <c r="Y57" s="53">
        <v>1.4999999999999999E-2</v>
      </c>
      <c r="Z57" s="38" t="s">
        <v>79</v>
      </c>
      <c r="AA57" s="38" t="s">
        <v>79</v>
      </c>
      <c r="AB57" s="38">
        <v>0.30599999999999999</v>
      </c>
      <c r="AC57" s="38" t="s">
        <v>140</v>
      </c>
      <c r="AD57" s="38" t="s">
        <v>145</v>
      </c>
    </row>
    <row r="58" spans="1:30" ht="14.25" hidden="1">
      <c r="A58" s="14" t="s">
        <v>52</v>
      </c>
      <c r="B58" s="14" t="s">
        <v>20</v>
      </c>
      <c r="C58" s="14" t="s">
        <v>74</v>
      </c>
      <c r="D58" s="14" t="s">
        <v>246</v>
      </c>
      <c r="E58" s="14" t="s">
        <v>1319</v>
      </c>
      <c r="F58" s="14"/>
      <c r="G58" s="14" t="s">
        <v>248</v>
      </c>
      <c r="H58" s="14">
        <v>31194737</v>
      </c>
      <c r="I58" s="14" t="s">
        <v>1388</v>
      </c>
      <c r="J58" s="14" t="s">
        <v>1321</v>
      </c>
      <c r="K58" s="14" t="s">
        <v>1321</v>
      </c>
      <c r="L58" s="14">
        <v>11</v>
      </c>
      <c r="M58" s="14" t="s">
        <v>1321</v>
      </c>
      <c r="N58" s="14" t="s">
        <v>1321</v>
      </c>
      <c r="O58" s="14" t="s">
        <v>97</v>
      </c>
      <c r="P58" s="14" t="s">
        <v>129</v>
      </c>
      <c r="Q58" s="14" t="s">
        <v>79</v>
      </c>
      <c r="R58" s="83" t="s">
        <v>1322</v>
      </c>
      <c r="S58" s="83" t="s">
        <v>1323</v>
      </c>
      <c r="T58" s="14" t="s">
        <v>1324</v>
      </c>
      <c r="U58" s="14">
        <v>18.391999999999999</v>
      </c>
      <c r="V58" s="14">
        <v>4.9000000000000002E-2</v>
      </c>
      <c r="W58" s="14">
        <v>-0.01</v>
      </c>
      <c r="X58" s="14" t="s">
        <v>1325</v>
      </c>
      <c r="Y58" s="14">
        <v>0.92200000000000004</v>
      </c>
      <c r="Z58" s="14" t="s">
        <v>62</v>
      </c>
      <c r="AA58" s="14" t="s">
        <v>62</v>
      </c>
      <c r="AB58" s="14" t="s">
        <v>62</v>
      </c>
      <c r="AC58" s="14" t="s">
        <v>140</v>
      </c>
      <c r="AD58" s="14" t="s">
        <v>145</v>
      </c>
    </row>
    <row r="59" spans="1:30" ht="14.25" hidden="1">
      <c r="A59" s="14" t="s">
        <v>52</v>
      </c>
      <c r="B59" s="14" t="s">
        <v>20</v>
      </c>
      <c r="C59" s="14" t="s">
        <v>74</v>
      </c>
      <c r="D59" s="14" t="s">
        <v>164</v>
      </c>
      <c r="E59" s="14" t="s">
        <v>1319</v>
      </c>
      <c r="F59" s="14"/>
      <c r="G59" s="14" t="s">
        <v>165</v>
      </c>
      <c r="H59" s="14">
        <v>31194737</v>
      </c>
      <c r="I59" s="14" t="s">
        <v>1402</v>
      </c>
      <c r="J59" s="14" t="s">
        <v>1321</v>
      </c>
      <c r="K59" s="14" t="s">
        <v>1321</v>
      </c>
      <c r="L59" s="14">
        <v>29</v>
      </c>
      <c r="M59" s="14" t="s">
        <v>1321</v>
      </c>
      <c r="N59" s="14" t="s">
        <v>1321</v>
      </c>
      <c r="O59" s="14" t="s">
        <v>97</v>
      </c>
      <c r="P59" s="14" t="s">
        <v>129</v>
      </c>
      <c r="Q59" s="14" t="s">
        <v>79</v>
      </c>
      <c r="R59" s="14" t="s">
        <v>1333</v>
      </c>
      <c r="S59" s="14" t="s">
        <v>1334</v>
      </c>
      <c r="T59" s="14" t="s">
        <v>1335</v>
      </c>
      <c r="U59" s="14">
        <v>67.778999999999996</v>
      </c>
      <c r="V59" s="14" t="s">
        <v>1165</v>
      </c>
      <c r="W59" s="14">
        <v>-7.0000000000000007E-2</v>
      </c>
      <c r="X59" s="14" t="s">
        <v>1336</v>
      </c>
      <c r="Y59" s="14">
        <v>0.313</v>
      </c>
      <c r="Z59" s="14" t="s">
        <v>62</v>
      </c>
      <c r="AA59" s="14" t="s">
        <v>62</v>
      </c>
      <c r="AB59" s="14" t="s">
        <v>62</v>
      </c>
      <c r="AC59" s="14" t="s">
        <v>140</v>
      </c>
      <c r="AD59" s="14" t="s">
        <v>145</v>
      </c>
    </row>
    <row r="60" spans="1:30" ht="14.25" hidden="1">
      <c r="A60" s="38" t="s">
        <v>70</v>
      </c>
      <c r="B60" s="85" t="s">
        <v>1408</v>
      </c>
      <c r="C60" s="85" t="s">
        <v>74</v>
      </c>
      <c r="D60" s="85" t="s">
        <v>1412</v>
      </c>
      <c r="E60" s="86" t="s">
        <v>767</v>
      </c>
      <c r="F60" s="85"/>
      <c r="G60" s="85" t="s">
        <v>113</v>
      </c>
      <c r="H60" s="85" t="s">
        <v>1413</v>
      </c>
      <c r="I60" s="85" t="s">
        <v>1414</v>
      </c>
      <c r="J60" s="85" t="s">
        <v>1416</v>
      </c>
      <c r="K60" s="87">
        <v>413.46600000000001</v>
      </c>
      <c r="L60" s="87">
        <v>18</v>
      </c>
      <c r="M60" s="87">
        <v>41.917000000000002</v>
      </c>
      <c r="N60" s="87">
        <v>371.54899999999998</v>
      </c>
      <c r="O60" s="85" t="s">
        <v>97</v>
      </c>
      <c r="P60" s="85" t="s">
        <v>129</v>
      </c>
      <c r="Q60" s="87" t="s">
        <v>1425</v>
      </c>
      <c r="R60" s="88">
        <v>257034428</v>
      </c>
      <c r="S60" s="85" t="s">
        <v>79</v>
      </c>
      <c r="T60" s="88">
        <v>518624698</v>
      </c>
      <c r="U60" s="88">
        <v>4238014795</v>
      </c>
      <c r="V60" s="88">
        <v>590905</v>
      </c>
      <c r="W60" s="88">
        <v>7449737</v>
      </c>
      <c r="X60" s="85" t="s">
        <v>79</v>
      </c>
      <c r="Y60" s="88">
        <v>852297255</v>
      </c>
      <c r="Z60" s="88">
        <v>72314575</v>
      </c>
      <c r="AA60" s="85" t="s">
        <v>79</v>
      </c>
      <c r="AB60" s="88">
        <v>533425515</v>
      </c>
      <c r="AC60" s="85" t="s">
        <v>140</v>
      </c>
      <c r="AD60" s="85" t="s">
        <v>112</v>
      </c>
    </row>
    <row r="61" spans="1:30" ht="14.25" hidden="1">
      <c r="A61" s="14" t="s">
        <v>52</v>
      </c>
      <c r="B61" s="14" t="s">
        <v>20</v>
      </c>
      <c r="C61" s="14" t="s">
        <v>74</v>
      </c>
      <c r="D61" s="14" t="s">
        <v>212</v>
      </c>
      <c r="E61" s="14" t="s">
        <v>1319</v>
      </c>
      <c r="F61" s="14"/>
      <c r="G61" s="14" t="s">
        <v>215</v>
      </c>
      <c r="H61" s="14">
        <v>31194737</v>
      </c>
      <c r="I61" s="14" t="s">
        <v>1437</v>
      </c>
      <c r="J61" s="14" t="s">
        <v>1321</v>
      </c>
      <c r="K61" s="14" t="s">
        <v>1321</v>
      </c>
      <c r="L61" s="14">
        <v>14</v>
      </c>
      <c r="M61" s="14" t="s">
        <v>1321</v>
      </c>
      <c r="N61" s="14" t="s">
        <v>1321</v>
      </c>
      <c r="O61" s="14" t="s">
        <v>97</v>
      </c>
      <c r="P61" s="14" t="s">
        <v>129</v>
      </c>
      <c r="Q61" s="14" t="s">
        <v>79</v>
      </c>
      <c r="R61" s="14" t="s">
        <v>1358</v>
      </c>
      <c r="S61" s="14" t="s">
        <v>1323</v>
      </c>
      <c r="T61" s="14" t="s">
        <v>1362</v>
      </c>
      <c r="U61" s="14" t="s">
        <v>1365</v>
      </c>
      <c r="V61" s="14">
        <v>8.9999999999999993E-3</v>
      </c>
      <c r="W61" s="14">
        <v>-0.25</v>
      </c>
      <c r="X61" s="14" t="s">
        <v>1368</v>
      </c>
      <c r="Y61" s="14">
        <v>3.7999999999999999E-2</v>
      </c>
      <c r="Z61" s="14" t="s">
        <v>62</v>
      </c>
      <c r="AA61" s="14" t="s">
        <v>62</v>
      </c>
      <c r="AB61" s="14" t="s">
        <v>62</v>
      </c>
      <c r="AC61" s="14" t="s">
        <v>140</v>
      </c>
      <c r="AD61" s="14" t="s">
        <v>145</v>
      </c>
    </row>
    <row r="62" spans="1:30" ht="14.25" hidden="1">
      <c r="A62" s="14" t="s">
        <v>52</v>
      </c>
      <c r="B62" s="14" t="s">
        <v>20</v>
      </c>
      <c r="C62" s="14" t="s">
        <v>74</v>
      </c>
      <c r="D62" s="14" t="s">
        <v>246</v>
      </c>
      <c r="E62" s="14" t="s">
        <v>1373</v>
      </c>
      <c r="F62" s="14"/>
      <c r="G62" s="14" t="s">
        <v>248</v>
      </c>
      <c r="H62" s="14" t="s">
        <v>1376</v>
      </c>
      <c r="I62" s="14" t="s">
        <v>1455</v>
      </c>
      <c r="J62" s="14" t="s">
        <v>1456</v>
      </c>
      <c r="K62" s="19">
        <f t="shared" ref="K62:K63" si="12">M62+N62</f>
        <v>117404</v>
      </c>
      <c r="L62" s="14">
        <v>11</v>
      </c>
      <c r="M62" s="19">
        <v>80588</v>
      </c>
      <c r="N62" s="19">
        <v>36816</v>
      </c>
      <c r="O62" s="14" t="s">
        <v>97</v>
      </c>
      <c r="P62" s="14" t="s">
        <v>129</v>
      </c>
      <c r="Q62" s="14" t="s">
        <v>79</v>
      </c>
      <c r="R62" s="14" t="s">
        <v>1381</v>
      </c>
      <c r="S62" s="14" t="s">
        <v>134</v>
      </c>
      <c r="T62" s="14">
        <v>0.34</v>
      </c>
      <c r="U62" s="14">
        <v>6.5250000000000004</v>
      </c>
      <c r="V62" s="14">
        <v>0.76900000000000002</v>
      </c>
      <c r="W62" s="14">
        <v>0.04</v>
      </c>
      <c r="X62" s="14" t="s">
        <v>1385</v>
      </c>
      <c r="Y62" s="14">
        <v>0.64300000000000002</v>
      </c>
      <c r="Z62" s="14" t="s">
        <v>62</v>
      </c>
      <c r="AA62" s="14" t="s">
        <v>62</v>
      </c>
      <c r="AB62" s="14" t="s">
        <v>62</v>
      </c>
      <c r="AC62" s="14" t="s">
        <v>140</v>
      </c>
      <c r="AD62" s="14" t="s">
        <v>145</v>
      </c>
    </row>
    <row r="63" spans="1:30" ht="14.25" hidden="1">
      <c r="A63" s="14" t="s">
        <v>52</v>
      </c>
      <c r="B63" s="14" t="s">
        <v>20</v>
      </c>
      <c r="C63" s="14" t="s">
        <v>74</v>
      </c>
      <c r="D63" s="14" t="s">
        <v>164</v>
      </c>
      <c r="E63" s="14" t="s">
        <v>1373</v>
      </c>
      <c r="F63" s="14"/>
      <c r="G63" s="14" t="s">
        <v>165</v>
      </c>
      <c r="H63" s="14" t="s">
        <v>1376</v>
      </c>
      <c r="I63" s="14" t="s">
        <v>1459</v>
      </c>
      <c r="J63" s="14" t="s">
        <v>1460</v>
      </c>
      <c r="K63" s="19">
        <f t="shared" si="12"/>
        <v>117404</v>
      </c>
      <c r="L63" s="14">
        <v>29</v>
      </c>
      <c r="M63" s="19">
        <v>80588</v>
      </c>
      <c r="N63" s="19">
        <v>36816</v>
      </c>
      <c r="O63" s="14" t="s">
        <v>97</v>
      </c>
      <c r="P63" s="14" t="s">
        <v>129</v>
      </c>
      <c r="Q63" s="14" t="s">
        <v>79</v>
      </c>
      <c r="R63" s="14" t="s">
        <v>1394</v>
      </c>
      <c r="S63" s="14" t="s">
        <v>1395</v>
      </c>
      <c r="T63" s="14">
        <v>0.14000000000000001</v>
      </c>
      <c r="U63" s="14">
        <v>28.945</v>
      </c>
      <c r="V63" s="14">
        <v>0.41499999999999998</v>
      </c>
      <c r="W63" s="14">
        <v>-0.06</v>
      </c>
      <c r="X63" s="14" t="s">
        <v>1396</v>
      </c>
      <c r="Y63" s="14">
        <v>0.19600000000000001</v>
      </c>
      <c r="Z63" s="14" t="s">
        <v>62</v>
      </c>
      <c r="AA63" s="14" t="s">
        <v>62</v>
      </c>
      <c r="AB63" s="14" t="s">
        <v>62</v>
      </c>
      <c r="AC63" s="14" t="s">
        <v>140</v>
      </c>
      <c r="AD63" s="14" t="s">
        <v>145</v>
      </c>
    </row>
    <row r="64" spans="1:30" ht="14.25" hidden="1">
      <c r="A64" s="23" t="s">
        <v>52</v>
      </c>
      <c r="B64" s="23" t="s">
        <v>84</v>
      </c>
      <c r="C64" s="23" t="s">
        <v>74</v>
      </c>
      <c r="D64" s="23" t="s">
        <v>75</v>
      </c>
      <c r="E64" s="14" t="s">
        <v>1468</v>
      </c>
      <c r="F64" s="23"/>
      <c r="G64" s="23" t="s">
        <v>113</v>
      </c>
      <c r="H64" s="14" t="s">
        <v>1471</v>
      </c>
      <c r="I64" s="23" t="s">
        <v>133</v>
      </c>
      <c r="J64" s="14" t="s">
        <v>1321</v>
      </c>
      <c r="K64" s="14">
        <f>SUM(M64:N64)</f>
        <v>373295</v>
      </c>
      <c r="L64" s="23">
        <v>47</v>
      </c>
      <c r="M64" s="14">
        <v>1279</v>
      </c>
      <c r="N64" s="14">
        <v>372016</v>
      </c>
      <c r="O64" s="23" t="s">
        <v>97</v>
      </c>
      <c r="P64" s="23" t="s">
        <v>98</v>
      </c>
      <c r="Q64" s="14" t="s">
        <v>79</v>
      </c>
      <c r="R64" s="23">
        <v>0.99809999999999999</v>
      </c>
      <c r="S64" s="23" t="s">
        <v>1472</v>
      </c>
      <c r="T64" s="23">
        <v>0.41</v>
      </c>
      <c r="U64" s="23">
        <v>44.757899999999999</v>
      </c>
      <c r="V64" s="23">
        <v>0.48209999999999997</v>
      </c>
      <c r="W64" s="23">
        <v>0.99929999999999997</v>
      </c>
      <c r="X64" s="23" t="s">
        <v>1474</v>
      </c>
      <c r="Y64" s="23">
        <v>0.85270000000000001</v>
      </c>
      <c r="Z64" s="14" t="s">
        <v>62</v>
      </c>
      <c r="AA64" s="14" t="s">
        <v>62</v>
      </c>
      <c r="AB64" s="14" t="s">
        <v>62</v>
      </c>
      <c r="AC64" s="23" t="s">
        <v>140</v>
      </c>
      <c r="AD64" s="23" t="s">
        <v>204</v>
      </c>
    </row>
    <row r="65" spans="1:30" ht="14.25" hidden="1">
      <c r="A65" s="14" t="s">
        <v>52</v>
      </c>
      <c r="B65" s="14" t="s">
        <v>20</v>
      </c>
      <c r="C65" s="14" t="s">
        <v>74</v>
      </c>
      <c r="D65" s="14" t="s">
        <v>212</v>
      </c>
      <c r="E65" s="14" t="s">
        <v>1373</v>
      </c>
      <c r="F65" s="14"/>
      <c r="G65" s="14" t="s">
        <v>215</v>
      </c>
      <c r="H65" s="14" t="s">
        <v>1376</v>
      </c>
      <c r="I65" s="14" t="s">
        <v>1478</v>
      </c>
      <c r="J65" s="14" t="s">
        <v>1479</v>
      </c>
      <c r="K65" s="19">
        <f t="shared" ref="K65:K67" si="13">M65+N65</f>
        <v>117404</v>
      </c>
      <c r="L65" s="14">
        <v>14</v>
      </c>
      <c r="M65" s="19">
        <v>80588</v>
      </c>
      <c r="N65" s="19">
        <v>36816</v>
      </c>
      <c r="O65" s="14" t="s">
        <v>97</v>
      </c>
      <c r="P65" s="14" t="s">
        <v>129</v>
      </c>
      <c r="Q65" s="14" t="s">
        <v>79</v>
      </c>
      <c r="R65" s="14" t="s">
        <v>1415</v>
      </c>
      <c r="S65" s="14" t="s">
        <v>1417</v>
      </c>
      <c r="T65" s="14" t="s">
        <v>1419</v>
      </c>
      <c r="U65" s="14">
        <v>19.966000000000001</v>
      </c>
      <c r="V65" s="14">
        <v>9.6000000000000002E-2</v>
      </c>
      <c r="W65" s="14">
        <v>0.06</v>
      </c>
      <c r="X65" s="14" t="s">
        <v>1422</v>
      </c>
      <c r="Y65" s="14">
        <v>0.51200000000000001</v>
      </c>
      <c r="Z65" s="14" t="s">
        <v>62</v>
      </c>
      <c r="AA65" s="14" t="s">
        <v>62</v>
      </c>
      <c r="AB65" s="14" t="s">
        <v>62</v>
      </c>
      <c r="AC65" s="14" t="s">
        <v>140</v>
      </c>
      <c r="AD65" s="14" t="s">
        <v>145</v>
      </c>
    </row>
    <row r="66" spans="1:30" ht="14.25" hidden="1">
      <c r="A66" s="14" t="s">
        <v>52</v>
      </c>
      <c r="B66" s="14" t="s">
        <v>20</v>
      </c>
      <c r="C66" s="14" t="s">
        <v>74</v>
      </c>
      <c r="D66" s="14" t="s">
        <v>246</v>
      </c>
      <c r="E66" s="14" t="s">
        <v>1429</v>
      </c>
      <c r="F66" s="14"/>
      <c r="G66" s="14" t="s">
        <v>248</v>
      </c>
      <c r="H66" s="14" t="s">
        <v>1430</v>
      </c>
      <c r="I66" s="14" t="s">
        <v>1484</v>
      </c>
      <c r="J66" s="14" t="s">
        <v>1485</v>
      </c>
      <c r="K66" s="19">
        <f t="shared" si="13"/>
        <v>91269</v>
      </c>
      <c r="L66" s="14">
        <v>11</v>
      </c>
      <c r="M66" s="19">
        <v>41719</v>
      </c>
      <c r="N66" s="19">
        <v>49550</v>
      </c>
      <c r="O66" s="14" t="s">
        <v>97</v>
      </c>
      <c r="P66" s="14" t="s">
        <v>129</v>
      </c>
      <c r="Q66" s="14" t="s">
        <v>79</v>
      </c>
      <c r="R66" s="14">
        <v>0.01</v>
      </c>
      <c r="S66" s="14" t="s">
        <v>1434</v>
      </c>
      <c r="T66" s="14">
        <v>0.84599999999999997</v>
      </c>
      <c r="U66" s="14">
        <v>18.305</v>
      </c>
      <c r="V66" s="14">
        <v>0.05</v>
      </c>
      <c r="W66" s="14">
        <v>-0.06</v>
      </c>
      <c r="X66" s="14" t="s">
        <v>1325</v>
      </c>
      <c r="Y66" s="14">
        <v>0.54600000000000004</v>
      </c>
      <c r="Z66" s="14" t="s">
        <v>62</v>
      </c>
      <c r="AA66" s="14" t="s">
        <v>62</v>
      </c>
      <c r="AB66" s="14" t="s">
        <v>62</v>
      </c>
      <c r="AC66" s="14" t="s">
        <v>140</v>
      </c>
      <c r="AD66" s="14" t="s">
        <v>145</v>
      </c>
    </row>
    <row r="67" spans="1:30" ht="14.25" hidden="1">
      <c r="A67" s="14" t="s">
        <v>52</v>
      </c>
      <c r="B67" s="14" t="s">
        <v>20</v>
      </c>
      <c r="C67" s="14" t="s">
        <v>74</v>
      </c>
      <c r="D67" s="14" t="s">
        <v>164</v>
      </c>
      <c r="E67" s="14" t="s">
        <v>1429</v>
      </c>
      <c r="F67" s="14"/>
      <c r="G67" s="14" t="s">
        <v>165</v>
      </c>
      <c r="H67" s="14" t="s">
        <v>1430</v>
      </c>
      <c r="I67" s="14" t="s">
        <v>1488</v>
      </c>
      <c r="J67" s="14" t="s">
        <v>1489</v>
      </c>
      <c r="K67" s="19">
        <f t="shared" si="13"/>
        <v>91269</v>
      </c>
      <c r="L67" s="14">
        <v>29</v>
      </c>
      <c r="M67" s="19">
        <v>41719</v>
      </c>
      <c r="N67" s="19">
        <v>49550</v>
      </c>
      <c r="O67" s="14" t="s">
        <v>97</v>
      </c>
      <c r="P67" s="14" t="s">
        <v>129</v>
      </c>
      <c r="Q67" s="14" t="s">
        <v>79</v>
      </c>
      <c r="R67" s="14">
        <v>-0.05</v>
      </c>
      <c r="S67" s="14" t="s">
        <v>131</v>
      </c>
      <c r="T67" s="14">
        <v>0.249</v>
      </c>
      <c r="U67" s="14">
        <v>41.137</v>
      </c>
      <c r="V67" s="14">
        <v>5.1999999999999998E-2</v>
      </c>
      <c r="W67" s="14">
        <v>-0.03</v>
      </c>
      <c r="X67" s="14" t="s">
        <v>134</v>
      </c>
      <c r="Y67" s="14">
        <v>0.58099999999999996</v>
      </c>
      <c r="Z67" s="14" t="s">
        <v>62</v>
      </c>
      <c r="AA67" s="14" t="s">
        <v>62</v>
      </c>
      <c r="AB67" s="14" t="s">
        <v>62</v>
      </c>
      <c r="AC67" s="14" t="s">
        <v>140</v>
      </c>
      <c r="AD67" s="14" t="s">
        <v>145</v>
      </c>
    </row>
    <row r="68" spans="1:30" ht="14.25" hidden="1">
      <c r="A68" s="23" t="s">
        <v>52</v>
      </c>
      <c r="B68" s="23" t="s">
        <v>84</v>
      </c>
      <c r="C68" s="23" t="s">
        <v>74</v>
      </c>
      <c r="D68" s="23" t="s">
        <v>75</v>
      </c>
      <c r="E68" s="14" t="s">
        <v>1495</v>
      </c>
      <c r="F68" s="23"/>
      <c r="G68" s="23" t="s">
        <v>113</v>
      </c>
      <c r="H68" s="14" t="s">
        <v>1496</v>
      </c>
      <c r="I68" s="23" t="s">
        <v>133</v>
      </c>
      <c r="J68" s="14" t="s">
        <v>1321</v>
      </c>
      <c r="K68" s="14">
        <f>SUM(M68:N68)</f>
        <v>372622</v>
      </c>
      <c r="L68" s="23">
        <v>46</v>
      </c>
      <c r="M68" s="14">
        <v>606</v>
      </c>
      <c r="N68" s="14">
        <v>372016</v>
      </c>
      <c r="O68" s="23" t="s">
        <v>97</v>
      </c>
      <c r="P68" s="23" t="s">
        <v>98</v>
      </c>
      <c r="Q68" s="14" t="s">
        <v>79</v>
      </c>
      <c r="R68" s="23">
        <v>0.99719999999999998</v>
      </c>
      <c r="S68" s="23" t="s">
        <v>1497</v>
      </c>
      <c r="T68" s="23">
        <v>7.0300000000000001E-2</v>
      </c>
      <c r="U68" s="23">
        <v>69.693100000000001</v>
      </c>
      <c r="V68" s="23">
        <v>8.0999999999999996E-3</v>
      </c>
      <c r="W68" s="23">
        <v>0.99629999999999996</v>
      </c>
      <c r="X68" s="23" t="s">
        <v>1500</v>
      </c>
      <c r="Y68" s="23">
        <v>0.28029999999999999</v>
      </c>
      <c r="Z68" s="14" t="s">
        <v>62</v>
      </c>
      <c r="AA68" s="14" t="s">
        <v>62</v>
      </c>
      <c r="AB68" s="14" t="s">
        <v>62</v>
      </c>
      <c r="AC68" s="23" t="s">
        <v>140</v>
      </c>
      <c r="AD68" s="23" t="s">
        <v>204</v>
      </c>
    </row>
    <row r="69" spans="1:30" ht="14.25" hidden="1">
      <c r="A69" s="14" t="s">
        <v>52</v>
      </c>
      <c r="B69" s="14" t="s">
        <v>20</v>
      </c>
      <c r="C69" s="14" t="s">
        <v>74</v>
      </c>
      <c r="D69" s="14" t="s">
        <v>212</v>
      </c>
      <c r="E69" s="14" t="s">
        <v>1429</v>
      </c>
      <c r="F69" s="14"/>
      <c r="G69" s="14" t="s">
        <v>215</v>
      </c>
      <c r="H69" s="14" t="s">
        <v>1430</v>
      </c>
      <c r="I69" s="14" t="s">
        <v>1501</v>
      </c>
      <c r="J69" s="14" t="s">
        <v>1502</v>
      </c>
      <c r="K69" s="19">
        <f t="shared" ref="K69:K75" si="14">M69+N69</f>
        <v>91269</v>
      </c>
      <c r="L69" s="14">
        <v>14</v>
      </c>
      <c r="M69" s="19">
        <v>41719</v>
      </c>
      <c r="N69" s="19">
        <v>49550</v>
      </c>
      <c r="O69" s="14" t="s">
        <v>97</v>
      </c>
      <c r="P69" s="14" t="s">
        <v>129</v>
      </c>
      <c r="Q69" s="14" t="s">
        <v>79</v>
      </c>
      <c r="R69" s="14">
        <v>0.06</v>
      </c>
      <c r="S69" s="14" t="s">
        <v>1434</v>
      </c>
      <c r="T69" s="14">
        <v>0.373</v>
      </c>
      <c r="U69" s="14">
        <v>6.83</v>
      </c>
      <c r="V69" s="14">
        <v>0.91100000000000003</v>
      </c>
      <c r="W69" s="14">
        <v>0</v>
      </c>
      <c r="X69" s="14" t="s">
        <v>1422</v>
      </c>
      <c r="Y69" s="14">
        <v>0.99</v>
      </c>
      <c r="Z69" s="14" t="s">
        <v>62</v>
      </c>
      <c r="AA69" s="14" t="s">
        <v>62</v>
      </c>
      <c r="AB69" s="14" t="s">
        <v>62</v>
      </c>
      <c r="AC69" s="14" t="s">
        <v>140</v>
      </c>
      <c r="AD69" s="14" t="s">
        <v>145</v>
      </c>
    </row>
    <row r="70" spans="1:30" ht="14.25" hidden="1">
      <c r="A70" s="14" t="s">
        <v>52</v>
      </c>
      <c r="B70" s="14" t="s">
        <v>20</v>
      </c>
      <c r="C70" s="14" t="s">
        <v>74</v>
      </c>
      <c r="D70" s="14" t="s">
        <v>246</v>
      </c>
      <c r="E70" s="14" t="s">
        <v>111</v>
      </c>
      <c r="F70" s="14"/>
      <c r="G70" s="14" t="s">
        <v>248</v>
      </c>
      <c r="H70" s="14" t="s">
        <v>1465</v>
      </c>
      <c r="I70" s="14" t="s">
        <v>1507</v>
      </c>
      <c r="J70" s="14" t="s">
        <v>1508</v>
      </c>
      <c r="K70" s="19">
        <f t="shared" si="14"/>
        <v>97889</v>
      </c>
      <c r="L70" s="14">
        <v>11</v>
      </c>
      <c r="M70" s="19">
        <v>76910</v>
      </c>
      <c r="N70" s="19">
        <v>20979</v>
      </c>
      <c r="O70" s="14" t="s">
        <v>97</v>
      </c>
      <c r="P70" s="14" t="s">
        <v>129</v>
      </c>
      <c r="Q70" s="14" t="s">
        <v>79</v>
      </c>
      <c r="R70" s="14">
        <v>0.08</v>
      </c>
      <c r="S70" s="14" t="s">
        <v>134</v>
      </c>
      <c r="T70" s="14">
        <v>0.19900000000000001</v>
      </c>
      <c r="U70" s="14">
        <v>5.4809999999999999</v>
      </c>
      <c r="V70" s="14">
        <v>0.85699999999999998</v>
      </c>
      <c r="W70" s="14">
        <v>0.05</v>
      </c>
      <c r="X70" s="14" t="s">
        <v>1385</v>
      </c>
      <c r="Y70" s="14">
        <v>0.56299999999999994</v>
      </c>
      <c r="Z70" s="14" t="s">
        <v>62</v>
      </c>
      <c r="AA70" s="14" t="s">
        <v>62</v>
      </c>
      <c r="AB70" s="14" t="s">
        <v>62</v>
      </c>
      <c r="AC70" s="14" t="s">
        <v>140</v>
      </c>
      <c r="AD70" s="14" t="s">
        <v>145</v>
      </c>
    </row>
    <row r="71" spans="1:30" ht="14.25" hidden="1">
      <c r="A71" s="14" t="s">
        <v>52</v>
      </c>
      <c r="B71" s="14" t="s">
        <v>20</v>
      </c>
      <c r="C71" s="14" t="s">
        <v>74</v>
      </c>
      <c r="D71" s="14" t="s">
        <v>164</v>
      </c>
      <c r="E71" s="14" t="s">
        <v>111</v>
      </c>
      <c r="F71" s="14"/>
      <c r="G71" s="14" t="s">
        <v>165</v>
      </c>
      <c r="H71" s="14" t="s">
        <v>114</v>
      </c>
      <c r="I71" s="14" t="s">
        <v>1513</v>
      </c>
      <c r="J71" s="14" t="s">
        <v>1514</v>
      </c>
      <c r="K71" s="19">
        <f t="shared" si="14"/>
        <v>97889</v>
      </c>
      <c r="L71" s="14">
        <v>29</v>
      </c>
      <c r="M71" s="19">
        <v>76910</v>
      </c>
      <c r="N71" s="19">
        <v>20979</v>
      </c>
      <c r="O71" s="14" t="s">
        <v>97</v>
      </c>
      <c r="P71" s="14" t="s">
        <v>129</v>
      </c>
      <c r="Q71" s="14" t="s">
        <v>79</v>
      </c>
      <c r="R71" s="14">
        <v>-0.03</v>
      </c>
      <c r="S71" s="14" t="s">
        <v>1395</v>
      </c>
      <c r="T71" s="14">
        <v>0.40899999999999997</v>
      </c>
      <c r="U71" s="14">
        <v>27.151</v>
      </c>
      <c r="V71" s="14">
        <v>0.51</v>
      </c>
      <c r="W71" s="14">
        <v>-0.05</v>
      </c>
      <c r="X71" s="14" t="s">
        <v>1396</v>
      </c>
      <c r="Y71" s="14">
        <v>0.255</v>
      </c>
      <c r="Z71" s="14" t="s">
        <v>62</v>
      </c>
      <c r="AA71" s="14" t="s">
        <v>62</v>
      </c>
      <c r="AB71" s="14" t="s">
        <v>62</v>
      </c>
      <c r="AC71" s="14" t="s">
        <v>140</v>
      </c>
      <c r="AD71" s="14" t="s">
        <v>145</v>
      </c>
    </row>
    <row r="72" spans="1:30" ht="14.25">
      <c r="A72" s="14" t="s">
        <v>52</v>
      </c>
      <c r="B72" s="14" t="s">
        <v>67</v>
      </c>
      <c r="C72" s="14" t="s">
        <v>74</v>
      </c>
      <c r="D72" s="14" t="s">
        <v>75</v>
      </c>
      <c r="E72" s="14" t="s">
        <v>389</v>
      </c>
      <c r="F72" s="14">
        <v>2</v>
      </c>
      <c r="G72" s="14" t="s">
        <v>113</v>
      </c>
      <c r="H72" s="14" t="s">
        <v>390</v>
      </c>
      <c r="I72" s="14" t="s">
        <v>133</v>
      </c>
      <c r="J72" s="14" t="s">
        <v>394</v>
      </c>
      <c r="K72" s="14">
        <f t="shared" si="14"/>
        <v>228951</v>
      </c>
      <c r="L72" s="14">
        <v>48</v>
      </c>
      <c r="M72" s="14">
        <v>122977</v>
      </c>
      <c r="N72" s="14">
        <v>105974</v>
      </c>
      <c r="O72" s="14" t="s">
        <v>97</v>
      </c>
      <c r="P72" s="14" t="s">
        <v>98</v>
      </c>
      <c r="Q72" s="14">
        <v>15.64</v>
      </c>
      <c r="R72" s="45" t="s">
        <v>590</v>
      </c>
      <c r="S72" s="45" t="s">
        <v>591</v>
      </c>
      <c r="T72" s="45" t="s">
        <v>592</v>
      </c>
      <c r="U72" s="45" t="s">
        <v>593</v>
      </c>
      <c r="V72" s="45" t="s">
        <v>594</v>
      </c>
      <c r="W72" s="45" t="s">
        <v>595</v>
      </c>
      <c r="X72" s="45" t="s">
        <v>596</v>
      </c>
      <c r="Y72" s="45" t="s">
        <v>597</v>
      </c>
      <c r="Z72" s="45" t="s">
        <v>599</v>
      </c>
      <c r="AA72" s="45" t="s">
        <v>600</v>
      </c>
      <c r="AB72" s="45" t="s">
        <v>602</v>
      </c>
      <c r="AC72" s="14" t="s">
        <v>140</v>
      </c>
      <c r="AD72" s="14" t="s">
        <v>204</v>
      </c>
    </row>
    <row r="73" spans="1:30" ht="14.25" hidden="1">
      <c r="A73" s="14" t="s">
        <v>52</v>
      </c>
      <c r="B73" s="14" t="s">
        <v>20</v>
      </c>
      <c r="C73" s="14" t="s">
        <v>74</v>
      </c>
      <c r="D73" s="14" t="s">
        <v>212</v>
      </c>
      <c r="E73" s="14" t="s">
        <v>111</v>
      </c>
      <c r="F73" s="14"/>
      <c r="G73" s="14" t="s">
        <v>215</v>
      </c>
      <c r="H73" s="14" t="s">
        <v>114</v>
      </c>
      <c r="I73" s="14" t="s">
        <v>1519</v>
      </c>
      <c r="J73" s="14" t="s">
        <v>1520</v>
      </c>
      <c r="K73" s="19">
        <f t="shared" si="14"/>
        <v>97889</v>
      </c>
      <c r="L73" s="14">
        <v>14</v>
      </c>
      <c r="M73" s="19">
        <v>76910</v>
      </c>
      <c r="N73" s="19">
        <v>20979</v>
      </c>
      <c r="O73" s="14" t="s">
        <v>97</v>
      </c>
      <c r="P73" s="14" t="s">
        <v>129</v>
      </c>
      <c r="Q73" s="14" t="s">
        <v>79</v>
      </c>
      <c r="R73" s="14">
        <v>0</v>
      </c>
      <c r="S73" s="14" t="s">
        <v>1385</v>
      </c>
      <c r="T73" s="14">
        <v>0.98299999999999998</v>
      </c>
      <c r="U73" s="14">
        <v>22.526</v>
      </c>
      <c r="V73" s="14">
        <v>4.8000000000000001E-2</v>
      </c>
      <c r="W73" s="14">
        <v>-7.0000000000000007E-2</v>
      </c>
      <c r="X73" s="14" t="s">
        <v>1385</v>
      </c>
      <c r="Y73" s="14">
        <v>0.38600000000000001</v>
      </c>
      <c r="Z73" s="14" t="s">
        <v>62</v>
      </c>
      <c r="AA73" s="14" t="s">
        <v>62</v>
      </c>
      <c r="AB73" s="14" t="s">
        <v>62</v>
      </c>
      <c r="AC73" s="14" t="s">
        <v>140</v>
      </c>
      <c r="AD73" s="14" t="s">
        <v>145</v>
      </c>
    </row>
    <row r="74" spans="1:30" ht="14.25" hidden="1">
      <c r="A74" s="14" t="s">
        <v>52</v>
      </c>
      <c r="B74" s="14" t="s">
        <v>20</v>
      </c>
      <c r="C74" s="14" t="s">
        <v>74</v>
      </c>
      <c r="D74" s="14" t="s">
        <v>246</v>
      </c>
      <c r="E74" s="14" t="s">
        <v>1490</v>
      </c>
      <c r="F74" s="14"/>
      <c r="G74" s="14" t="s">
        <v>248</v>
      </c>
      <c r="H74" s="14" t="s">
        <v>1491</v>
      </c>
      <c r="I74" s="14" t="s">
        <v>1523</v>
      </c>
      <c r="J74" s="14" t="s">
        <v>1524</v>
      </c>
      <c r="K74" s="19">
        <f t="shared" si="14"/>
        <v>105396</v>
      </c>
      <c r="L74" s="14">
        <v>11</v>
      </c>
      <c r="M74" s="19">
        <v>72887</v>
      </c>
      <c r="N74" s="19">
        <v>32509</v>
      </c>
      <c r="O74" s="14" t="s">
        <v>97</v>
      </c>
      <c r="P74" s="14" t="s">
        <v>129</v>
      </c>
      <c r="Q74" s="14" t="s">
        <v>79</v>
      </c>
      <c r="R74" s="14" t="s">
        <v>1381</v>
      </c>
      <c r="S74" s="14" t="s">
        <v>134</v>
      </c>
      <c r="T74" s="14">
        <v>0.34</v>
      </c>
      <c r="U74" s="14" t="s">
        <v>1494</v>
      </c>
      <c r="V74" s="14">
        <v>0.627</v>
      </c>
      <c r="W74" s="14">
        <v>0.03</v>
      </c>
      <c r="X74" s="14" t="s">
        <v>1422</v>
      </c>
      <c r="Y74" s="14">
        <v>0.70699999999999996</v>
      </c>
      <c r="Z74" s="14" t="s">
        <v>62</v>
      </c>
      <c r="AA74" s="14" t="s">
        <v>62</v>
      </c>
      <c r="AB74" s="14" t="s">
        <v>62</v>
      </c>
      <c r="AC74" s="14" t="s">
        <v>140</v>
      </c>
      <c r="AD74" s="14" t="s">
        <v>145</v>
      </c>
    </row>
    <row r="75" spans="1:30" ht="14.25" hidden="1">
      <c r="A75" s="14" t="s">
        <v>52</v>
      </c>
      <c r="B75" s="14" t="s">
        <v>20</v>
      </c>
      <c r="C75" s="14" t="s">
        <v>74</v>
      </c>
      <c r="D75" s="14" t="s">
        <v>164</v>
      </c>
      <c r="E75" s="14" t="s">
        <v>1490</v>
      </c>
      <c r="F75" s="14"/>
      <c r="G75" s="14" t="s">
        <v>165</v>
      </c>
      <c r="H75" s="14" t="s">
        <v>1491</v>
      </c>
      <c r="I75" s="14" t="s">
        <v>1530</v>
      </c>
      <c r="J75" s="14" t="s">
        <v>1532</v>
      </c>
      <c r="K75" s="19">
        <f t="shared" si="14"/>
        <v>105396</v>
      </c>
      <c r="L75" s="14">
        <v>29</v>
      </c>
      <c r="M75" s="19">
        <v>72887</v>
      </c>
      <c r="N75" s="19">
        <v>32509</v>
      </c>
      <c r="O75" s="14" t="s">
        <v>97</v>
      </c>
      <c r="P75" s="14" t="s">
        <v>129</v>
      </c>
      <c r="Q75" s="14" t="s">
        <v>79</v>
      </c>
      <c r="R75" s="14" t="s">
        <v>1394</v>
      </c>
      <c r="S75" s="14" t="s">
        <v>1395</v>
      </c>
      <c r="T75" s="14">
        <v>0.14000000000000001</v>
      </c>
      <c r="U75" s="14">
        <v>38.377000000000002</v>
      </c>
      <c r="V75" s="14">
        <v>9.0999999999999998E-2</v>
      </c>
      <c r="W75" s="14">
        <v>-0.02</v>
      </c>
      <c r="X75" s="14" t="s">
        <v>1396</v>
      </c>
      <c r="Y75" s="14">
        <v>0.77200000000000002</v>
      </c>
      <c r="Z75" s="14" t="s">
        <v>62</v>
      </c>
      <c r="AA75" s="14" t="s">
        <v>62</v>
      </c>
      <c r="AB75" s="14" t="s">
        <v>62</v>
      </c>
      <c r="AC75" s="14" t="s">
        <v>140</v>
      </c>
      <c r="AD75" s="14" t="s">
        <v>145</v>
      </c>
    </row>
    <row r="76" spans="1:30" ht="14.25">
      <c r="A76" s="53" t="s">
        <v>52</v>
      </c>
      <c r="B76" s="53" t="s">
        <v>84</v>
      </c>
      <c r="C76" s="53" t="s">
        <v>74</v>
      </c>
      <c r="D76" s="53" t="s">
        <v>75</v>
      </c>
      <c r="E76" s="49" t="s">
        <v>423</v>
      </c>
      <c r="F76" s="53">
        <v>2</v>
      </c>
      <c r="G76" s="53" t="s">
        <v>113</v>
      </c>
      <c r="H76" s="49" t="s">
        <v>1536</v>
      </c>
      <c r="I76" s="53" t="s">
        <v>133</v>
      </c>
      <c r="J76" s="49" t="s">
        <v>1321</v>
      </c>
      <c r="K76" s="49">
        <f>SUM(M76:N76)</f>
        <v>33832</v>
      </c>
      <c r="L76" s="53">
        <v>52</v>
      </c>
      <c r="M76" s="49">
        <v>15748</v>
      </c>
      <c r="N76" s="49">
        <v>18084</v>
      </c>
      <c r="O76" s="53" t="s">
        <v>97</v>
      </c>
      <c r="P76" s="53" t="s">
        <v>98</v>
      </c>
      <c r="Q76" s="49" t="s">
        <v>79</v>
      </c>
      <c r="R76" s="53">
        <v>0.64959999999999996</v>
      </c>
      <c r="S76" s="53" t="s">
        <v>1539</v>
      </c>
      <c r="T76" s="53">
        <v>3.6499999999999998E-2</v>
      </c>
      <c r="U76" s="53">
        <v>71.489900000000006</v>
      </c>
      <c r="V76" s="53">
        <v>2.4799999999999999E-2</v>
      </c>
      <c r="W76" s="53">
        <v>0.60670000000000002</v>
      </c>
      <c r="X76" s="53" t="s">
        <v>1540</v>
      </c>
      <c r="Y76" s="53">
        <v>6.4100000000000004E-2</v>
      </c>
      <c r="Z76" s="49" t="s">
        <v>62</v>
      </c>
      <c r="AA76" s="49" t="s">
        <v>62</v>
      </c>
      <c r="AB76" s="49" t="s">
        <v>62</v>
      </c>
      <c r="AC76" s="53" t="s">
        <v>140</v>
      </c>
      <c r="AD76" s="53" t="s">
        <v>204</v>
      </c>
    </row>
    <row r="77" spans="1:30" ht="14.25" hidden="1">
      <c r="A77" s="14" t="s">
        <v>52</v>
      </c>
      <c r="B77" s="14" t="s">
        <v>20</v>
      </c>
      <c r="C77" s="14" t="s">
        <v>74</v>
      </c>
      <c r="D77" s="14" t="s">
        <v>212</v>
      </c>
      <c r="E77" s="14" t="s">
        <v>1490</v>
      </c>
      <c r="F77" s="14"/>
      <c r="G77" s="14" t="s">
        <v>215</v>
      </c>
      <c r="H77" s="14" t="s">
        <v>1491</v>
      </c>
      <c r="I77" s="14" t="s">
        <v>1545</v>
      </c>
      <c r="J77" s="14" t="s">
        <v>1546</v>
      </c>
      <c r="K77" s="19">
        <f t="shared" ref="K77:K90" si="15">M77+N77</f>
        <v>105396</v>
      </c>
      <c r="L77" s="14">
        <v>14</v>
      </c>
      <c r="M77" s="19">
        <v>72887</v>
      </c>
      <c r="N77" s="19">
        <v>32509</v>
      </c>
      <c r="O77" s="14" t="s">
        <v>97</v>
      </c>
      <c r="P77" s="14" t="s">
        <v>129</v>
      </c>
      <c r="Q77" s="14" t="s">
        <v>79</v>
      </c>
      <c r="R77" s="14" t="s">
        <v>1415</v>
      </c>
      <c r="S77" s="14" t="s">
        <v>1417</v>
      </c>
      <c r="T77" s="14" t="s">
        <v>1419</v>
      </c>
      <c r="U77" s="14">
        <v>10.233000000000001</v>
      </c>
      <c r="V77" s="14">
        <v>0.67500000000000004</v>
      </c>
      <c r="W77" s="14">
        <v>0</v>
      </c>
      <c r="X77" s="14" t="s">
        <v>1422</v>
      </c>
      <c r="Y77" s="14">
        <v>0.95699999999999996</v>
      </c>
      <c r="Z77" s="14" t="s">
        <v>62</v>
      </c>
      <c r="AA77" s="14" t="s">
        <v>62</v>
      </c>
      <c r="AB77" s="14" t="s">
        <v>62</v>
      </c>
      <c r="AC77" s="14" t="s">
        <v>140</v>
      </c>
      <c r="AD77" s="14" t="s">
        <v>145</v>
      </c>
    </row>
    <row r="78" spans="1:30" ht="15.75" hidden="1" customHeight="1">
      <c r="A78" s="14" t="s">
        <v>52</v>
      </c>
      <c r="B78" s="14" t="s">
        <v>20</v>
      </c>
      <c r="C78" s="14" t="s">
        <v>74</v>
      </c>
      <c r="D78" s="14" t="s">
        <v>246</v>
      </c>
      <c r="E78" s="14" t="s">
        <v>1509</v>
      </c>
      <c r="F78" s="97"/>
      <c r="G78" s="14" t="s">
        <v>248</v>
      </c>
      <c r="H78" s="14" t="s">
        <v>1510</v>
      </c>
      <c r="I78" s="14" t="s">
        <v>1553</v>
      </c>
      <c r="J78" s="14" t="s">
        <v>1555</v>
      </c>
      <c r="K78" s="19">
        <f t="shared" si="15"/>
        <v>51516</v>
      </c>
      <c r="L78" s="14">
        <v>11</v>
      </c>
      <c r="M78" s="19">
        <v>40152</v>
      </c>
      <c r="N78" s="19">
        <v>11364</v>
      </c>
      <c r="O78" s="14" t="s">
        <v>97</v>
      </c>
      <c r="P78" s="14" t="s">
        <v>129</v>
      </c>
      <c r="Q78" s="14" t="s">
        <v>79</v>
      </c>
      <c r="R78" s="14">
        <v>0.13</v>
      </c>
      <c r="S78" s="14" t="s">
        <v>1385</v>
      </c>
      <c r="T78" s="14">
        <v>0.13300000000000001</v>
      </c>
      <c r="U78" s="14">
        <v>8.9760000000000009</v>
      </c>
      <c r="V78" s="14">
        <v>0.53400000000000003</v>
      </c>
      <c r="W78" s="14">
        <v>0.1</v>
      </c>
      <c r="X78" s="14" t="s">
        <v>1325</v>
      </c>
      <c r="Y78" s="14">
        <v>0.372</v>
      </c>
      <c r="Z78" s="14" t="s">
        <v>62</v>
      </c>
      <c r="AA78" s="14" t="s">
        <v>62</v>
      </c>
      <c r="AB78" s="14" t="s">
        <v>62</v>
      </c>
      <c r="AC78" s="14" t="s">
        <v>140</v>
      </c>
      <c r="AD78" s="14" t="s">
        <v>145</v>
      </c>
    </row>
    <row r="79" spans="1:30" ht="15.75" hidden="1" customHeight="1">
      <c r="A79" s="14" t="s">
        <v>52</v>
      </c>
      <c r="B79" s="14" t="s">
        <v>20</v>
      </c>
      <c r="C79" s="14" t="s">
        <v>74</v>
      </c>
      <c r="D79" s="14" t="s">
        <v>164</v>
      </c>
      <c r="E79" s="14" t="s">
        <v>1509</v>
      </c>
      <c r="F79" s="97"/>
      <c r="G79" s="14" t="s">
        <v>165</v>
      </c>
      <c r="H79" s="14" t="s">
        <v>1510</v>
      </c>
      <c r="I79" s="14" t="s">
        <v>1556</v>
      </c>
      <c r="J79" s="14" t="s">
        <v>1557</v>
      </c>
      <c r="K79" s="19">
        <f t="shared" si="15"/>
        <v>51516</v>
      </c>
      <c r="L79" s="14">
        <v>29</v>
      </c>
      <c r="M79" s="19">
        <v>40152</v>
      </c>
      <c r="N79" s="19">
        <v>11364</v>
      </c>
      <c r="O79" s="14" t="s">
        <v>97</v>
      </c>
      <c r="P79" s="14" t="s">
        <v>129</v>
      </c>
      <c r="Q79" s="14" t="s">
        <v>79</v>
      </c>
      <c r="R79" s="14">
        <v>-7.0000000000000007E-2</v>
      </c>
      <c r="S79" s="14" t="s">
        <v>1396</v>
      </c>
      <c r="T79" s="14">
        <v>0.114</v>
      </c>
      <c r="U79" s="14">
        <v>29.17</v>
      </c>
      <c r="V79" s="14">
        <v>0.40400000000000003</v>
      </c>
      <c r="W79" s="14">
        <v>-0.08</v>
      </c>
      <c r="X79" s="14" t="s">
        <v>134</v>
      </c>
      <c r="Y79" s="14">
        <v>0.217</v>
      </c>
      <c r="Z79" s="14" t="s">
        <v>62</v>
      </c>
      <c r="AA79" s="14" t="s">
        <v>62</v>
      </c>
      <c r="AB79" s="14" t="s">
        <v>62</v>
      </c>
      <c r="AC79" s="14" t="s">
        <v>140</v>
      </c>
      <c r="AD79" s="14" t="s">
        <v>145</v>
      </c>
    </row>
    <row r="80" spans="1:30" ht="15.75" hidden="1" customHeight="1">
      <c r="A80" s="14" t="s">
        <v>52</v>
      </c>
      <c r="B80" s="14" t="s">
        <v>67</v>
      </c>
      <c r="C80" s="14" t="s">
        <v>74</v>
      </c>
      <c r="D80" s="14" t="s">
        <v>75</v>
      </c>
      <c r="E80" s="14" t="s">
        <v>657</v>
      </c>
      <c r="F80" s="14"/>
      <c r="G80" s="14" t="s">
        <v>113</v>
      </c>
      <c r="H80" s="14" t="s">
        <v>659</v>
      </c>
      <c r="I80" s="14" t="s">
        <v>133</v>
      </c>
      <c r="J80" s="14" t="s">
        <v>394</v>
      </c>
      <c r="K80" s="14">
        <f t="shared" si="15"/>
        <v>127442</v>
      </c>
      <c r="L80" s="14">
        <v>47</v>
      </c>
      <c r="M80" s="14">
        <v>21468</v>
      </c>
      <c r="N80" s="14">
        <v>105974</v>
      </c>
      <c r="O80" s="14" t="s">
        <v>97</v>
      </c>
      <c r="P80" s="14" t="s">
        <v>98</v>
      </c>
      <c r="Q80" s="14">
        <v>15.64</v>
      </c>
      <c r="R80" s="45" t="s">
        <v>826</v>
      </c>
      <c r="S80" s="45" t="s">
        <v>827</v>
      </c>
      <c r="T80" s="45" t="s">
        <v>828</v>
      </c>
      <c r="U80" s="45" t="s">
        <v>829</v>
      </c>
      <c r="V80" s="45" t="s">
        <v>830</v>
      </c>
      <c r="W80" s="45" t="s">
        <v>831</v>
      </c>
      <c r="X80" s="45" t="s">
        <v>832</v>
      </c>
      <c r="Y80" s="45" t="s">
        <v>833</v>
      </c>
      <c r="Z80" s="45" t="s">
        <v>835</v>
      </c>
      <c r="AA80" s="45" t="s">
        <v>836</v>
      </c>
      <c r="AB80" s="45" t="s">
        <v>837</v>
      </c>
      <c r="AC80" s="14" t="s">
        <v>140</v>
      </c>
      <c r="AD80" s="14" t="s">
        <v>204</v>
      </c>
    </row>
    <row r="81" spans="1:30" ht="15.75" hidden="1" customHeight="1">
      <c r="A81" s="14" t="s">
        <v>52</v>
      </c>
      <c r="B81" s="14" t="s">
        <v>20</v>
      </c>
      <c r="C81" s="14" t="s">
        <v>74</v>
      </c>
      <c r="D81" s="14" t="s">
        <v>212</v>
      </c>
      <c r="E81" s="14" t="s">
        <v>1509</v>
      </c>
      <c r="F81" s="97"/>
      <c r="G81" s="14" t="s">
        <v>215</v>
      </c>
      <c r="H81" s="14" t="s">
        <v>1510</v>
      </c>
      <c r="I81" s="14" t="s">
        <v>1569</v>
      </c>
      <c r="J81" s="14" t="s">
        <v>1570</v>
      </c>
      <c r="K81" s="19">
        <f t="shared" si="15"/>
        <v>51516</v>
      </c>
      <c r="L81" s="14">
        <v>14</v>
      </c>
      <c r="M81" s="19">
        <v>40152</v>
      </c>
      <c r="N81" s="19">
        <v>11364</v>
      </c>
      <c r="O81" s="14" t="s">
        <v>97</v>
      </c>
      <c r="P81" s="14" t="s">
        <v>129</v>
      </c>
      <c r="Q81" s="14" t="s">
        <v>79</v>
      </c>
      <c r="R81" s="14">
        <v>-0.08</v>
      </c>
      <c r="S81" s="14" t="s">
        <v>1325</v>
      </c>
      <c r="T81" s="14">
        <v>0.443</v>
      </c>
      <c r="U81" s="14">
        <v>23.577000000000002</v>
      </c>
      <c r="V81" s="14">
        <v>3.5000000000000003E-2</v>
      </c>
      <c r="W81" s="14">
        <v>-0.02</v>
      </c>
      <c r="X81" s="14" t="s">
        <v>1525</v>
      </c>
      <c r="Y81" s="14">
        <v>0.84</v>
      </c>
      <c r="Z81" s="14" t="s">
        <v>62</v>
      </c>
      <c r="AA81" s="14" t="s">
        <v>62</v>
      </c>
      <c r="AB81" s="14" t="s">
        <v>62</v>
      </c>
      <c r="AC81" s="14" t="s">
        <v>140</v>
      </c>
      <c r="AD81" s="14" t="s">
        <v>145</v>
      </c>
    </row>
    <row r="82" spans="1:30" ht="14.25" hidden="1">
      <c r="A82" s="33" t="s">
        <v>52</v>
      </c>
      <c r="B82" s="33" t="s">
        <v>21</v>
      </c>
      <c r="C82" s="33" t="s">
        <v>74</v>
      </c>
      <c r="D82" s="33" t="s">
        <v>164</v>
      </c>
      <c r="E82" s="33" t="s">
        <v>1526</v>
      </c>
      <c r="F82" s="33"/>
      <c r="G82" s="33" t="s">
        <v>165</v>
      </c>
      <c r="H82" s="33" t="s">
        <v>79</v>
      </c>
      <c r="I82" s="33" t="s">
        <v>133</v>
      </c>
      <c r="J82" s="33" t="s">
        <v>218</v>
      </c>
      <c r="K82" s="33">
        <f t="shared" si="15"/>
        <v>315123</v>
      </c>
      <c r="L82" s="33">
        <v>43</v>
      </c>
      <c r="M82" s="33">
        <v>22867</v>
      </c>
      <c r="N82" s="33">
        <v>292256</v>
      </c>
      <c r="O82" s="33" t="s">
        <v>97</v>
      </c>
      <c r="P82" s="33" t="s">
        <v>98</v>
      </c>
      <c r="Q82" s="33" t="s">
        <v>1527</v>
      </c>
      <c r="R82" s="33">
        <v>0.68500000000000005</v>
      </c>
      <c r="S82" s="33" t="s">
        <v>1528</v>
      </c>
      <c r="T82" s="84">
        <v>5.2390565409366797E-2</v>
      </c>
      <c r="U82" s="84">
        <v>71.825105120725297</v>
      </c>
      <c r="V82" s="84">
        <v>7.4744134019504504E-4</v>
      </c>
      <c r="W82" s="33">
        <v>0.54900000000000004</v>
      </c>
      <c r="X82" s="33" t="s">
        <v>1529</v>
      </c>
      <c r="Y82" s="84">
        <v>8.1686402201977606E-3</v>
      </c>
      <c r="Z82" s="33">
        <v>0.28399999999999997</v>
      </c>
      <c r="AA82" s="33" t="s">
        <v>1531</v>
      </c>
      <c r="AB82" s="84">
        <v>0.15684576227789199</v>
      </c>
      <c r="AC82" s="33" t="s">
        <v>109</v>
      </c>
      <c r="AD82" s="33" t="s">
        <v>385</v>
      </c>
    </row>
    <row r="83" spans="1:30" ht="14.25" hidden="1">
      <c r="A83" s="14" t="s">
        <v>52</v>
      </c>
      <c r="B83" s="14" t="s">
        <v>67</v>
      </c>
      <c r="C83" s="14" t="s">
        <v>74</v>
      </c>
      <c r="D83" s="14" t="s">
        <v>75</v>
      </c>
      <c r="E83" s="14" t="s">
        <v>515</v>
      </c>
      <c r="F83" s="14"/>
      <c r="G83" s="14" t="s">
        <v>113</v>
      </c>
      <c r="H83" s="14" t="s">
        <v>516</v>
      </c>
      <c r="I83" s="14" t="s">
        <v>133</v>
      </c>
      <c r="J83" s="14" t="s">
        <v>394</v>
      </c>
      <c r="K83" s="14">
        <f t="shared" si="15"/>
        <v>175475</v>
      </c>
      <c r="L83" s="14">
        <v>51</v>
      </c>
      <c r="M83" s="14">
        <v>69501</v>
      </c>
      <c r="N83" s="14">
        <v>105974</v>
      </c>
      <c r="O83" s="14" t="s">
        <v>97</v>
      </c>
      <c r="P83" s="14" t="s">
        <v>98</v>
      </c>
      <c r="Q83" s="14">
        <v>15.64</v>
      </c>
      <c r="R83" s="45" t="s">
        <v>708</v>
      </c>
      <c r="S83" s="45" t="s">
        <v>710</v>
      </c>
      <c r="T83" s="45" t="s">
        <v>180</v>
      </c>
      <c r="U83" s="45" t="s">
        <v>713</v>
      </c>
      <c r="V83" s="45" t="s">
        <v>715</v>
      </c>
      <c r="W83" s="45" t="s">
        <v>717</v>
      </c>
      <c r="X83" s="45" t="s">
        <v>719</v>
      </c>
      <c r="Y83" s="45" t="s">
        <v>721</v>
      </c>
      <c r="Z83" s="45" t="s">
        <v>722</v>
      </c>
      <c r="AA83" s="45" t="s">
        <v>723</v>
      </c>
      <c r="AB83" s="45" t="s">
        <v>724</v>
      </c>
      <c r="AC83" s="14" t="s">
        <v>140</v>
      </c>
      <c r="AD83" s="14" t="s">
        <v>204</v>
      </c>
    </row>
    <row r="84" spans="1:30" ht="14.25" hidden="1">
      <c r="A84" s="33" t="s">
        <v>52</v>
      </c>
      <c r="B84" s="33" t="s">
        <v>21</v>
      </c>
      <c r="C84" s="33" t="s">
        <v>74</v>
      </c>
      <c r="D84" s="33" t="s">
        <v>622</v>
      </c>
      <c r="E84" s="33" t="s">
        <v>1526</v>
      </c>
      <c r="F84" s="33"/>
      <c r="G84" s="33" t="s">
        <v>215</v>
      </c>
      <c r="H84" s="33" t="s">
        <v>79</v>
      </c>
      <c r="I84" s="33" t="s">
        <v>133</v>
      </c>
      <c r="J84" s="33" t="s">
        <v>218</v>
      </c>
      <c r="K84" s="33">
        <f t="shared" si="15"/>
        <v>315123</v>
      </c>
      <c r="L84" s="33">
        <v>22</v>
      </c>
      <c r="M84" s="33">
        <v>22867</v>
      </c>
      <c r="N84" s="33">
        <v>292256</v>
      </c>
      <c r="O84" s="33" t="s">
        <v>97</v>
      </c>
      <c r="P84" s="33" t="s">
        <v>98</v>
      </c>
      <c r="Q84" s="33" t="s">
        <v>1541</v>
      </c>
      <c r="R84" s="33">
        <v>0.47799999999999998</v>
      </c>
      <c r="S84" s="33" t="s">
        <v>1542</v>
      </c>
      <c r="T84" s="84">
        <v>1.05039557621005E-2</v>
      </c>
      <c r="U84" s="84">
        <v>13.1218737924021</v>
      </c>
      <c r="V84" s="84">
        <v>0.66382671926902004</v>
      </c>
      <c r="W84" s="33">
        <v>0.35399999999999998</v>
      </c>
      <c r="X84" s="33" t="s">
        <v>1543</v>
      </c>
      <c r="Y84" s="84">
        <v>9.5899983122018206E-3</v>
      </c>
      <c r="Z84" s="33">
        <v>0.29499999999999998</v>
      </c>
      <c r="AA84" s="33" t="s">
        <v>1544</v>
      </c>
      <c r="AB84" s="84">
        <v>0.37534792844825898</v>
      </c>
      <c r="AC84" s="33" t="s">
        <v>109</v>
      </c>
      <c r="AD84" s="33" t="s">
        <v>385</v>
      </c>
    </row>
    <row r="85" spans="1:30" ht="14.25" hidden="1">
      <c r="A85" s="33" t="s">
        <v>52</v>
      </c>
      <c r="B85" s="33" t="s">
        <v>21</v>
      </c>
      <c r="C85" s="33" t="s">
        <v>74</v>
      </c>
      <c r="D85" s="33" t="s">
        <v>246</v>
      </c>
      <c r="E85" s="33" t="s">
        <v>1526</v>
      </c>
      <c r="F85" s="33"/>
      <c r="G85" s="33" t="s">
        <v>248</v>
      </c>
      <c r="H85" s="33" t="s">
        <v>79</v>
      </c>
      <c r="I85" s="33" t="s">
        <v>133</v>
      </c>
      <c r="J85" s="33" t="s">
        <v>218</v>
      </c>
      <c r="K85" s="33">
        <f t="shared" si="15"/>
        <v>315123</v>
      </c>
      <c r="L85" s="33">
        <v>17</v>
      </c>
      <c r="M85" s="33">
        <v>22867</v>
      </c>
      <c r="N85" s="33">
        <v>292256</v>
      </c>
      <c r="O85" s="33" t="s">
        <v>97</v>
      </c>
      <c r="P85" s="33" t="s">
        <v>98</v>
      </c>
      <c r="Q85" s="33" t="s">
        <v>1547</v>
      </c>
      <c r="R85" s="33">
        <v>1.911</v>
      </c>
      <c r="S85" s="33" t="s">
        <v>1548</v>
      </c>
      <c r="T85" s="84">
        <v>2.3885135272024901E-2</v>
      </c>
      <c r="U85" s="84">
        <v>21.1838560980251</v>
      </c>
      <c r="V85" s="84">
        <v>0.171551120875649</v>
      </c>
      <c r="W85" s="33">
        <v>1.75</v>
      </c>
      <c r="X85" s="33" t="s">
        <v>1549</v>
      </c>
      <c r="Y85" s="84">
        <v>0.118731560403219</v>
      </c>
      <c r="Z85" s="33">
        <v>2E-3</v>
      </c>
      <c r="AA85" s="33" t="s">
        <v>1550</v>
      </c>
      <c r="AB85" s="84">
        <v>4.4020765996530299E-2</v>
      </c>
      <c r="AC85" s="33" t="s">
        <v>109</v>
      </c>
      <c r="AD85" s="33" t="s">
        <v>385</v>
      </c>
    </row>
    <row r="86" spans="1:30" ht="14.25" hidden="1">
      <c r="A86" s="33" t="s">
        <v>52</v>
      </c>
      <c r="B86" s="33" t="s">
        <v>21</v>
      </c>
      <c r="C86" s="33" t="s">
        <v>74</v>
      </c>
      <c r="D86" s="33" t="s">
        <v>164</v>
      </c>
      <c r="E86" s="33" t="s">
        <v>1343</v>
      </c>
      <c r="F86" s="33"/>
      <c r="G86" s="33" t="s">
        <v>165</v>
      </c>
      <c r="H86" s="33" t="s">
        <v>79</v>
      </c>
      <c r="I86" s="33" t="s">
        <v>133</v>
      </c>
      <c r="J86" s="33" t="s">
        <v>218</v>
      </c>
      <c r="K86" s="33">
        <f t="shared" si="15"/>
        <v>293202</v>
      </c>
      <c r="L86" s="33">
        <v>43</v>
      </c>
      <c r="M86" s="33">
        <v>946</v>
      </c>
      <c r="N86" s="33">
        <v>292256</v>
      </c>
      <c r="O86" s="33" t="s">
        <v>97</v>
      </c>
      <c r="P86" s="33" t="s">
        <v>98</v>
      </c>
      <c r="Q86" s="33" t="s">
        <v>1527</v>
      </c>
      <c r="R86" s="33">
        <v>1.0760000000000001</v>
      </c>
      <c r="S86" s="33" t="s">
        <v>1551</v>
      </c>
      <c r="T86" s="84">
        <v>0.91328766526549499</v>
      </c>
      <c r="U86" s="84">
        <v>23.873411983834401</v>
      </c>
      <c r="V86" s="84">
        <v>0.96417520673478296</v>
      </c>
      <c r="W86" s="33">
        <v>1.226</v>
      </c>
      <c r="X86" s="33" t="s">
        <v>1552</v>
      </c>
      <c r="Y86" s="84">
        <v>0.81910376149840203</v>
      </c>
      <c r="Z86" s="33">
        <v>0.48399999999999999</v>
      </c>
      <c r="AA86" s="33" t="s">
        <v>1554</v>
      </c>
      <c r="AB86" s="84">
        <v>0.80999689198909097</v>
      </c>
      <c r="AC86" s="33" t="s">
        <v>109</v>
      </c>
      <c r="AD86" s="33" t="s">
        <v>385</v>
      </c>
    </row>
    <row r="87" spans="1:30" ht="14.25" hidden="1">
      <c r="A87" s="29" t="s">
        <v>52</v>
      </c>
      <c r="B87" s="29" t="s">
        <v>153</v>
      </c>
      <c r="C87" s="29" t="s">
        <v>74</v>
      </c>
      <c r="D87" s="29" t="s">
        <v>75</v>
      </c>
      <c r="E87" s="29" t="s">
        <v>1604</v>
      </c>
      <c r="F87" s="29"/>
      <c r="G87" s="29" t="s">
        <v>113</v>
      </c>
      <c r="H87" s="29"/>
      <c r="I87" s="29" t="s">
        <v>133</v>
      </c>
      <c r="J87" s="29" t="s">
        <v>1078</v>
      </c>
      <c r="K87" s="29">
        <f t="shared" si="15"/>
        <v>342499</v>
      </c>
      <c r="L87" s="29">
        <v>52</v>
      </c>
      <c r="M87" s="29">
        <v>49078</v>
      </c>
      <c r="N87" s="29">
        <v>293421</v>
      </c>
      <c r="O87" s="29" t="s">
        <v>97</v>
      </c>
      <c r="P87" s="29" t="s">
        <v>98</v>
      </c>
      <c r="Q87" s="29" t="s">
        <v>79</v>
      </c>
      <c r="R87" s="29" t="s">
        <v>1608</v>
      </c>
      <c r="S87" s="29" t="s">
        <v>1609</v>
      </c>
      <c r="T87" s="29" t="s">
        <v>1610</v>
      </c>
      <c r="U87" s="29" t="s">
        <v>79</v>
      </c>
      <c r="V87" s="29">
        <v>0.24199999999999999</v>
      </c>
      <c r="W87" s="29" t="s">
        <v>1608</v>
      </c>
      <c r="X87" s="29" t="s">
        <v>1609</v>
      </c>
      <c r="Y87" s="29" t="s">
        <v>1610</v>
      </c>
      <c r="Z87" s="29" t="s">
        <v>1611</v>
      </c>
      <c r="AA87" s="29" t="s">
        <v>1612</v>
      </c>
      <c r="AB87" s="29" t="s">
        <v>1613</v>
      </c>
      <c r="AC87" s="29" t="s">
        <v>140</v>
      </c>
      <c r="AD87" s="29" t="s">
        <v>145</v>
      </c>
    </row>
    <row r="88" spans="1:30" ht="14.25" hidden="1">
      <c r="A88" s="33" t="s">
        <v>52</v>
      </c>
      <c r="B88" s="33" t="s">
        <v>21</v>
      </c>
      <c r="C88" s="33" t="s">
        <v>74</v>
      </c>
      <c r="D88" s="33" t="s">
        <v>622</v>
      </c>
      <c r="E88" s="33" t="s">
        <v>1343</v>
      </c>
      <c r="F88" s="33"/>
      <c r="G88" s="33" t="s">
        <v>215</v>
      </c>
      <c r="H88" s="33" t="s">
        <v>79</v>
      </c>
      <c r="I88" s="33" t="s">
        <v>133</v>
      </c>
      <c r="J88" s="33" t="s">
        <v>218</v>
      </c>
      <c r="K88" s="33">
        <f t="shared" si="15"/>
        <v>293202</v>
      </c>
      <c r="L88" s="33">
        <v>22</v>
      </c>
      <c r="M88" s="33">
        <v>946</v>
      </c>
      <c r="N88" s="33">
        <v>292256</v>
      </c>
      <c r="O88" s="33" t="s">
        <v>97</v>
      </c>
      <c r="P88" s="33" t="s">
        <v>98</v>
      </c>
      <c r="Q88" s="33" t="s">
        <v>1541</v>
      </c>
      <c r="R88" s="33">
        <v>0.28599999999999998</v>
      </c>
      <c r="S88" s="33" t="s">
        <v>1558</v>
      </c>
      <c r="T88" s="84">
        <v>0.37045592980346198</v>
      </c>
      <c r="U88" s="84">
        <v>16.811609661108601</v>
      </c>
      <c r="V88" s="84">
        <v>0.39788787547843801</v>
      </c>
      <c r="W88" s="33">
        <v>3.7999999999999999E-2</v>
      </c>
      <c r="X88" s="33" t="s">
        <v>1559</v>
      </c>
      <c r="Y88" s="84">
        <v>8.3401984338464505E-2</v>
      </c>
      <c r="Z88" s="95">
        <v>1.5999999999999999E-5</v>
      </c>
      <c r="AA88" s="33" t="s">
        <v>1560</v>
      </c>
      <c r="AB88" s="84">
        <v>9.9869827058193E-2</v>
      </c>
      <c r="AC88" s="33" t="s">
        <v>109</v>
      </c>
      <c r="AD88" s="33" t="s">
        <v>385</v>
      </c>
    </row>
    <row r="89" spans="1:30" ht="14.25" hidden="1">
      <c r="A89" s="33" t="s">
        <v>52</v>
      </c>
      <c r="B89" s="33" t="s">
        <v>21</v>
      </c>
      <c r="C89" s="33" t="s">
        <v>74</v>
      </c>
      <c r="D89" s="33" t="s">
        <v>246</v>
      </c>
      <c r="E89" s="33" t="s">
        <v>1343</v>
      </c>
      <c r="F89" s="33"/>
      <c r="G89" s="33" t="s">
        <v>248</v>
      </c>
      <c r="H89" s="33" t="s">
        <v>79</v>
      </c>
      <c r="I89" s="33" t="s">
        <v>133</v>
      </c>
      <c r="J89" s="33" t="s">
        <v>218</v>
      </c>
      <c r="K89" s="33">
        <f t="shared" si="15"/>
        <v>293202</v>
      </c>
      <c r="L89" s="33">
        <v>17</v>
      </c>
      <c r="M89" s="33">
        <v>946</v>
      </c>
      <c r="N89" s="33">
        <v>292256</v>
      </c>
      <c r="O89" s="33" t="s">
        <v>97</v>
      </c>
      <c r="P89" s="33" t="s">
        <v>98</v>
      </c>
      <c r="Q89" s="33" t="s">
        <v>1547</v>
      </c>
      <c r="R89" s="33">
        <v>0.216</v>
      </c>
      <c r="S89" s="33" t="s">
        <v>1562</v>
      </c>
      <c r="T89" s="84">
        <v>0.286665732990252</v>
      </c>
      <c r="U89" s="84">
        <v>23.991492824105698</v>
      </c>
      <c r="V89" s="84">
        <v>8.9690467601547294E-2</v>
      </c>
      <c r="W89" s="33">
        <v>2.3E-2</v>
      </c>
      <c r="X89" s="33" t="s">
        <v>1563</v>
      </c>
      <c r="Y89" s="84">
        <v>2.96505944847789E-2</v>
      </c>
      <c r="Z89" s="33">
        <v>1E-3</v>
      </c>
      <c r="AA89" s="33" t="s">
        <v>1564</v>
      </c>
      <c r="AB89" s="84">
        <v>0.69377238479703696</v>
      </c>
      <c r="AC89" s="33" t="s">
        <v>109</v>
      </c>
      <c r="AD89" s="33" t="s">
        <v>385</v>
      </c>
    </row>
    <row r="90" spans="1:30" ht="14.25" hidden="1">
      <c r="A90" s="33" t="s">
        <v>52</v>
      </c>
      <c r="B90" s="33" t="s">
        <v>21</v>
      </c>
      <c r="C90" s="33" t="s">
        <v>74</v>
      </c>
      <c r="D90" s="33" t="s">
        <v>164</v>
      </c>
      <c r="E90" s="33" t="s">
        <v>1565</v>
      </c>
      <c r="F90" s="33"/>
      <c r="G90" s="33" t="s">
        <v>165</v>
      </c>
      <c r="H90" s="33" t="s">
        <v>79</v>
      </c>
      <c r="I90" s="33" t="s">
        <v>133</v>
      </c>
      <c r="J90" s="33" t="s">
        <v>218</v>
      </c>
      <c r="K90" s="33">
        <f t="shared" si="15"/>
        <v>260086</v>
      </c>
      <c r="L90" s="33">
        <v>43</v>
      </c>
      <c r="M90" s="33">
        <v>503</v>
      </c>
      <c r="N90" s="33">
        <v>259583</v>
      </c>
      <c r="O90" s="33" t="s">
        <v>97</v>
      </c>
      <c r="P90" s="33" t="s">
        <v>98</v>
      </c>
      <c r="Q90" s="33" t="s">
        <v>1527</v>
      </c>
      <c r="R90" s="33">
        <v>8.6999999999999994E-2</v>
      </c>
      <c r="S90" s="33" t="s">
        <v>1566</v>
      </c>
      <c r="T90" s="84">
        <v>2.1826566273587301E-2</v>
      </c>
      <c r="U90" s="84">
        <v>51.393739688158902</v>
      </c>
      <c r="V90" s="84">
        <v>7.2100287465377194E-2</v>
      </c>
      <c r="W90" s="33">
        <v>0.17100000000000001</v>
      </c>
      <c r="X90" s="33" t="s">
        <v>1567</v>
      </c>
      <c r="Y90" s="84">
        <v>0.20546074511898901</v>
      </c>
      <c r="Z90" s="33">
        <v>0.123</v>
      </c>
      <c r="AA90" s="33" t="s">
        <v>1568</v>
      </c>
      <c r="AB90" s="84">
        <v>0.66661752858096202</v>
      </c>
      <c r="AC90" s="33" t="s">
        <v>109</v>
      </c>
      <c r="AD90" s="33" t="s">
        <v>385</v>
      </c>
    </row>
    <row r="91" spans="1:30" ht="14.25" hidden="1">
      <c r="A91" s="62" t="s">
        <v>70</v>
      </c>
      <c r="B91" s="62" t="s">
        <v>19</v>
      </c>
      <c r="C91" s="62" t="s">
        <v>74</v>
      </c>
      <c r="D91" s="62" t="s">
        <v>75</v>
      </c>
      <c r="E91" s="62" t="s">
        <v>1630</v>
      </c>
      <c r="F91" s="62"/>
      <c r="G91" s="62" t="s">
        <v>113</v>
      </c>
      <c r="H91" s="62" t="s">
        <v>1632</v>
      </c>
      <c r="I91" s="62" t="s">
        <v>133</v>
      </c>
      <c r="J91" s="62" t="s">
        <v>218</v>
      </c>
      <c r="K91" s="109">
        <v>341725</v>
      </c>
      <c r="L91" s="62">
        <v>38</v>
      </c>
      <c r="M91" s="62">
        <v>8597</v>
      </c>
      <c r="N91" s="109">
        <f>K91-M91</f>
        <v>333128</v>
      </c>
      <c r="O91" s="62" t="s">
        <v>97</v>
      </c>
      <c r="P91" s="62" t="s">
        <v>98</v>
      </c>
      <c r="Q91" s="62">
        <v>19.537700000000001</v>
      </c>
      <c r="R91" s="62">
        <v>0.35799999999999998</v>
      </c>
      <c r="S91" s="62" t="s">
        <v>1633</v>
      </c>
      <c r="T91" s="62">
        <v>2E-3</v>
      </c>
      <c r="U91" s="62">
        <v>103.4684</v>
      </c>
      <c r="V91" s="62">
        <v>1.6000000000000001E-4</v>
      </c>
      <c r="W91" s="62">
        <v>0.29499999999999998</v>
      </c>
      <c r="X91" s="62" t="s">
        <v>1635</v>
      </c>
      <c r="Y91" s="62">
        <v>2E-3</v>
      </c>
      <c r="Z91" s="62">
        <v>0.104</v>
      </c>
      <c r="AA91" s="62" t="s">
        <v>1636</v>
      </c>
      <c r="AB91" s="62">
        <v>6.3E-2</v>
      </c>
      <c r="AC91" s="62" t="s">
        <v>109</v>
      </c>
      <c r="AD91" s="62" t="s">
        <v>145</v>
      </c>
    </row>
    <row r="92" spans="1:30" ht="14.25" hidden="1">
      <c r="A92" s="33" t="s">
        <v>52</v>
      </c>
      <c r="B92" s="33" t="s">
        <v>21</v>
      </c>
      <c r="C92" s="33" t="s">
        <v>74</v>
      </c>
      <c r="D92" s="33" t="s">
        <v>622</v>
      </c>
      <c r="E92" s="33" t="s">
        <v>1565</v>
      </c>
      <c r="F92" s="33"/>
      <c r="G92" s="33" t="s">
        <v>215</v>
      </c>
      <c r="H92" s="33" t="s">
        <v>79</v>
      </c>
      <c r="I92" s="33" t="s">
        <v>133</v>
      </c>
      <c r="J92" s="33" t="s">
        <v>218</v>
      </c>
      <c r="K92" s="33">
        <f t="shared" ref="K92:K93" si="16">M92+N92</f>
        <v>260086</v>
      </c>
      <c r="L92" s="33">
        <v>22</v>
      </c>
      <c r="M92" s="33">
        <v>503</v>
      </c>
      <c r="N92" s="33">
        <v>259583</v>
      </c>
      <c r="O92" s="33" t="s">
        <v>97</v>
      </c>
      <c r="P92" s="33" t="s">
        <v>98</v>
      </c>
      <c r="Q92" s="33" t="s">
        <v>1541</v>
      </c>
      <c r="R92" s="33">
        <v>2.3149999999999999</v>
      </c>
      <c r="S92" s="33" t="s">
        <v>1574</v>
      </c>
      <c r="T92" s="84">
        <v>0.64481139809299803</v>
      </c>
      <c r="U92" s="84">
        <v>13.742391115960499</v>
      </c>
      <c r="V92" s="84">
        <v>0.68524578492128496</v>
      </c>
      <c r="W92" s="33">
        <v>9.6820000000000004</v>
      </c>
      <c r="X92" s="33" t="s">
        <v>1575</v>
      </c>
      <c r="Y92" s="84">
        <v>0.35265593075818902</v>
      </c>
      <c r="Z92" s="33">
        <v>8.9380000000000006</v>
      </c>
      <c r="AA92" s="33" t="s">
        <v>1576</v>
      </c>
      <c r="AB92" s="84">
        <v>0.79898319843086796</v>
      </c>
      <c r="AC92" s="33" t="s">
        <v>109</v>
      </c>
      <c r="AD92" s="33" t="s">
        <v>385</v>
      </c>
    </row>
    <row r="93" spans="1:30" ht="14.25" hidden="1">
      <c r="A93" s="33" t="s">
        <v>52</v>
      </c>
      <c r="B93" s="33" t="s">
        <v>21</v>
      </c>
      <c r="C93" s="33" t="s">
        <v>74</v>
      </c>
      <c r="D93" s="33" t="s">
        <v>246</v>
      </c>
      <c r="E93" s="33" t="s">
        <v>1565</v>
      </c>
      <c r="F93" s="33"/>
      <c r="G93" s="33" t="s">
        <v>248</v>
      </c>
      <c r="H93" s="33" t="s">
        <v>79</v>
      </c>
      <c r="I93" s="33" t="s">
        <v>133</v>
      </c>
      <c r="J93" s="33" t="s">
        <v>218</v>
      </c>
      <c r="K93" s="33">
        <f t="shared" si="16"/>
        <v>260086</v>
      </c>
      <c r="L93" s="33">
        <v>17</v>
      </c>
      <c r="M93" s="33">
        <v>503</v>
      </c>
      <c r="N93" s="33">
        <v>259583</v>
      </c>
      <c r="O93" s="33" t="s">
        <v>97</v>
      </c>
      <c r="P93" s="33" t="s">
        <v>98</v>
      </c>
      <c r="Q93" s="33" t="s">
        <v>1547</v>
      </c>
      <c r="R93" s="33">
        <v>9.7560000000000002</v>
      </c>
      <c r="S93" s="33" t="s">
        <v>1577</v>
      </c>
      <c r="T93" s="84">
        <v>0.158223577569781</v>
      </c>
      <c r="U93" s="84">
        <v>15.184059292472</v>
      </c>
      <c r="V93" s="84">
        <v>0.51120128389563102</v>
      </c>
      <c r="W93" s="33">
        <v>65.218999999999994</v>
      </c>
      <c r="X93" s="33" t="s">
        <v>1578</v>
      </c>
      <c r="Y93" s="84">
        <v>5.9651178310258103E-2</v>
      </c>
      <c r="Z93" s="95">
        <v>1500000000000000</v>
      </c>
      <c r="AA93" s="33" t="s">
        <v>1579</v>
      </c>
      <c r="AB93" s="84">
        <v>6.6535316373585895E-2</v>
      </c>
      <c r="AC93" s="33" t="s">
        <v>109</v>
      </c>
      <c r="AD93" s="33" t="s">
        <v>385</v>
      </c>
    </row>
    <row r="94" spans="1:30" ht="14.25" hidden="1">
      <c r="A94" s="23" t="s">
        <v>52</v>
      </c>
      <c r="B94" s="23" t="s">
        <v>121</v>
      </c>
      <c r="C94" s="23" t="s">
        <v>74</v>
      </c>
      <c r="D94" s="23" t="s">
        <v>1580</v>
      </c>
      <c r="E94" s="23" t="s">
        <v>1581</v>
      </c>
      <c r="F94" s="23"/>
      <c r="G94" s="23" t="s">
        <v>79</v>
      </c>
      <c r="H94" s="23" t="s">
        <v>79</v>
      </c>
      <c r="I94" s="14" t="s">
        <v>133</v>
      </c>
      <c r="J94" s="23" t="s">
        <v>218</v>
      </c>
      <c r="K94" s="23">
        <v>215027</v>
      </c>
      <c r="L94" s="23">
        <v>22</v>
      </c>
      <c r="M94" s="23">
        <v>19883</v>
      </c>
      <c r="N94" s="14">
        <v>195144</v>
      </c>
      <c r="O94" s="62" t="s">
        <v>97</v>
      </c>
      <c r="P94" s="23" t="s">
        <v>98</v>
      </c>
      <c r="Q94" s="23" t="s">
        <v>79</v>
      </c>
      <c r="R94" s="23">
        <v>1.06</v>
      </c>
      <c r="S94" s="23" t="s">
        <v>1582</v>
      </c>
      <c r="T94" s="23">
        <v>0.88300000000000001</v>
      </c>
      <c r="U94" s="14" t="s">
        <v>62</v>
      </c>
      <c r="V94" s="14" t="s">
        <v>62</v>
      </c>
      <c r="W94" s="14" t="s">
        <v>62</v>
      </c>
      <c r="X94" s="14" t="s">
        <v>62</v>
      </c>
      <c r="Y94" s="14" t="s">
        <v>62</v>
      </c>
      <c r="Z94" s="14" t="s">
        <v>62</v>
      </c>
      <c r="AA94" s="14" t="s">
        <v>62</v>
      </c>
      <c r="AB94" s="14" t="s">
        <v>62</v>
      </c>
      <c r="AC94" s="23" t="s">
        <v>140</v>
      </c>
      <c r="AD94" s="23" t="s">
        <v>385</v>
      </c>
    </row>
    <row r="95" spans="1:30" ht="14.25" hidden="1">
      <c r="A95" s="23" t="s">
        <v>52</v>
      </c>
      <c r="B95" s="23" t="s">
        <v>121</v>
      </c>
      <c r="C95" s="23" t="s">
        <v>74</v>
      </c>
      <c r="D95" s="23" t="s">
        <v>1580</v>
      </c>
      <c r="E95" s="23" t="s">
        <v>1581</v>
      </c>
      <c r="F95" s="23"/>
      <c r="G95" s="23" t="s">
        <v>79</v>
      </c>
      <c r="H95" s="23" t="s">
        <v>79</v>
      </c>
      <c r="I95" s="14" t="s">
        <v>133</v>
      </c>
      <c r="J95" s="14" t="s">
        <v>133</v>
      </c>
      <c r="K95" s="23">
        <v>462933</v>
      </c>
      <c r="L95" s="23">
        <v>22</v>
      </c>
      <c r="M95" s="23">
        <v>7682</v>
      </c>
      <c r="N95" s="23">
        <v>455251</v>
      </c>
      <c r="O95" s="62" t="s">
        <v>97</v>
      </c>
      <c r="P95" s="23" t="s">
        <v>98</v>
      </c>
      <c r="Q95" s="23" t="s">
        <v>79</v>
      </c>
      <c r="R95" s="23">
        <v>0.98</v>
      </c>
      <c r="S95" s="23" t="s">
        <v>1584</v>
      </c>
      <c r="T95" s="23">
        <v>0.11700000000000001</v>
      </c>
      <c r="U95" s="14" t="s">
        <v>62</v>
      </c>
      <c r="V95" s="14" t="s">
        <v>62</v>
      </c>
      <c r="W95" s="14" t="s">
        <v>62</v>
      </c>
      <c r="X95" s="14" t="s">
        <v>62</v>
      </c>
      <c r="Y95" s="14" t="s">
        <v>62</v>
      </c>
      <c r="Z95" s="14" t="s">
        <v>62</v>
      </c>
      <c r="AA95" s="14" t="s">
        <v>62</v>
      </c>
      <c r="AB95" s="14" t="s">
        <v>62</v>
      </c>
      <c r="AC95" s="23" t="s">
        <v>140</v>
      </c>
      <c r="AD95" s="23" t="s">
        <v>385</v>
      </c>
    </row>
    <row r="96" spans="1:30" ht="14.25" hidden="1">
      <c r="A96" s="103" t="s">
        <v>1585</v>
      </c>
      <c r="B96" s="103" t="s">
        <v>123</v>
      </c>
      <c r="C96" s="103" t="s">
        <v>74</v>
      </c>
      <c r="D96" s="103" t="s">
        <v>164</v>
      </c>
      <c r="E96" s="103" t="s">
        <v>1586</v>
      </c>
      <c r="F96" s="58"/>
      <c r="G96" s="58" t="s">
        <v>165</v>
      </c>
      <c r="H96" s="103" t="s">
        <v>1587</v>
      </c>
      <c r="I96" s="103" t="s">
        <v>133</v>
      </c>
      <c r="J96" s="103" t="s">
        <v>834</v>
      </c>
      <c r="K96" s="103">
        <v>451099</v>
      </c>
      <c r="L96" s="103">
        <v>43</v>
      </c>
      <c r="M96" s="103" t="s">
        <v>79</v>
      </c>
      <c r="N96" s="103" t="s">
        <v>79</v>
      </c>
      <c r="O96" s="58" t="s">
        <v>97</v>
      </c>
      <c r="P96" s="103" t="s">
        <v>98</v>
      </c>
      <c r="Q96" s="103" t="s">
        <v>79</v>
      </c>
      <c r="R96" s="103">
        <v>0.52</v>
      </c>
      <c r="S96" s="103" t="s">
        <v>1588</v>
      </c>
      <c r="T96" s="103">
        <v>3.0000000000000001E-3</v>
      </c>
      <c r="U96" s="103" t="s">
        <v>79</v>
      </c>
      <c r="V96" s="103">
        <v>0.95899999999999996</v>
      </c>
      <c r="W96" s="103">
        <v>0.45</v>
      </c>
      <c r="X96" s="103" t="s">
        <v>1589</v>
      </c>
      <c r="Y96" s="103">
        <v>0.01</v>
      </c>
      <c r="Z96" s="103">
        <v>0.4</v>
      </c>
      <c r="AA96" s="103" t="s">
        <v>1590</v>
      </c>
      <c r="AB96" s="103">
        <v>0.373</v>
      </c>
      <c r="AC96" s="103" t="s">
        <v>140</v>
      </c>
      <c r="AD96" s="103" t="s">
        <v>155</v>
      </c>
    </row>
    <row r="97" spans="1:30" ht="14.25" hidden="1">
      <c r="A97" s="103" t="s">
        <v>1585</v>
      </c>
      <c r="B97" s="10" t="s">
        <v>3</v>
      </c>
      <c r="C97" s="10" t="s">
        <v>74</v>
      </c>
      <c r="D97" s="10" t="s">
        <v>246</v>
      </c>
      <c r="E97" s="10" t="s">
        <v>106</v>
      </c>
      <c r="F97" s="10"/>
      <c r="G97" s="10" t="s">
        <v>248</v>
      </c>
      <c r="H97" s="10" t="s">
        <v>115</v>
      </c>
      <c r="I97" s="10" t="s">
        <v>133</v>
      </c>
      <c r="J97" s="10" t="s">
        <v>218</v>
      </c>
      <c r="K97" s="34">
        <v>215644</v>
      </c>
      <c r="L97" s="10">
        <v>10</v>
      </c>
      <c r="M97" s="10" t="s">
        <v>79</v>
      </c>
      <c r="N97" s="10" t="s">
        <v>79</v>
      </c>
      <c r="O97" s="10" t="s">
        <v>97</v>
      </c>
      <c r="P97" s="10" t="s">
        <v>98</v>
      </c>
      <c r="Q97" s="10" t="s">
        <v>79</v>
      </c>
      <c r="R97" s="10" t="s">
        <v>1591</v>
      </c>
      <c r="S97" s="10" t="s">
        <v>1592</v>
      </c>
      <c r="T97" s="10">
        <v>8.9999999999999993E-3</v>
      </c>
      <c r="U97" s="10">
        <v>4.8372000000000002</v>
      </c>
      <c r="V97" s="10">
        <v>0.90200000000000002</v>
      </c>
      <c r="W97" s="10">
        <v>2.9849999999999999</v>
      </c>
      <c r="X97" s="10" t="s">
        <v>1593</v>
      </c>
      <c r="Y97" s="10">
        <v>1.6E-2</v>
      </c>
      <c r="Z97" s="10">
        <v>1.702</v>
      </c>
      <c r="AA97" s="10" t="s">
        <v>1594</v>
      </c>
      <c r="AB97" s="10">
        <v>0.90800000000000003</v>
      </c>
      <c r="AC97" s="10" t="s">
        <v>109</v>
      </c>
      <c r="AD97" s="10" t="s">
        <v>112</v>
      </c>
    </row>
    <row r="98" spans="1:30" ht="14.25" hidden="1">
      <c r="A98" s="10" t="s">
        <v>52</v>
      </c>
      <c r="B98" s="10" t="s">
        <v>48</v>
      </c>
      <c r="C98" s="10" t="s">
        <v>74</v>
      </c>
      <c r="D98" s="10" t="s">
        <v>1595</v>
      </c>
      <c r="E98" s="10" t="s">
        <v>128</v>
      </c>
      <c r="F98" s="10"/>
      <c r="G98" s="10" t="s">
        <v>79</v>
      </c>
      <c r="H98" s="10" t="s">
        <v>79</v>
      </c>
      <c r="I98" s="10" t="s">
        <v>1666</v>
      </c>
      <c r="J98" s="10" t="s">
        <v>1667</v>
      </c>
      <c r="K98" s="10">
        <f t="shared" ref="K98:K99" si="17">M98+N98</f>
        <v>377583</v>
      </c>
      <c r="L98" s="10">
        <v>12</v>
      </c>
      <c r="M98" s="10">
        <v>5567</v>
      </c>
      <c r="N98" s="10">
        <v>372016</v>
      </c>
      <c r="O98" s="10" t="s">
        <v>79</v>
      </c>
      <c r="P98" s="10" t="s">
        <v>98</v>
      </c>
      <c r="Q98" s="10" t="s">
        <v>79</v>
      </c>
      <c r="R98" s="10">
        <v>1.014</v>
      </c>
      <c r="S98" s="104" t="s">
        <v>1598</v>
      </c>
      <c r="T98" s="10">
        <v>4.8000000000000001E-2</v>
      </c>
      <c r="U98" s="10" t="s">
        <v>79</v>
      </c>
      <c r="V98" s="37">
        <v>0.63900000000000001</v>
      </c>
      <c r="W98" s="10">
        <v>1.0189999999999999</v>
      </c>
      <c r="X98" s="10" t="s">
        <v>1599</v>
      </c>
      <c r="Y98" s="10">
        <v>4.4999999999999998E-2</v>
      </c>
      <c r="Z98" s="10">
        <v>1.004</v>
      </c>
      <c r="AA98" s="10" t="s">
        <v>1600</v>
      </c>
      <c r="AB98" s="10">
        <v>0.81899999999999995</v>
      </c>
      <c r="AC98" s="10" t="s">
        <v>140</v>
      </c>
      <c r="AD98" s="10" t="s">
        <v>204</v>
      </c>
    </row>
    <row r="99" spans="1:30" ht="14.25" hidden="1">
      <c r="A99" s="10" t="s">
        <v>52</v>
      </c>
      <c r="B99" s="10" t="s">
        <v>48</v>
      </c>
      <c r="C99" s="10" t="s">
        <v>74</v>
      </c>
      <c r="D99" s="10" t="s">
        <v>1601</v>
      </c>
      <c r="E99" s="10" t="s">
        <v>128</v>
      </c>
      <c r="F99" s="10"/>
      <c r="G99" s="10" t="s">
        <v>79</v>
      </c>
      <c r="H99" s="10" t="s">
        <v>79</v>
      </c>
      <c r="I99" s="10" t="s">
        <v>1675</v>
      </c>
      <c r="J99" s="10" t="s">
        <v>1676</v>
      </c>
      <c r="K99" s="10">
        <f t="shared" si="17"/>
        <v>377583</v>
      </c>
      <c r="L99" s="10">
        <v>8</v>
      </c>
      <c r="M99" s="10">
        <v>5567</v>
      </c>
      <c r="N99" s="10">
        <v>372016</v>
      </c>
      <c r="O99" s="10" t="s">
        <v>79</v>
      </c>
      <c r="P99" s="10" t="s">
        <v>98</v>
      </c>
      <c r="Q99" s="10" t="s">
        <v>79</v>
      </c>
      <c r="R99" s="10">
        <v>1.0069999999999999</v>
      </c>
      <c r="S99" s="10" t="s">
        <v>1605</v>
      </c>
      <c r="T99" s="10">
        <v>0.51200000000000001</v>
      </c>
      <c r="U99" s="10"/>
      <c r="V99" s="37">
        <v>0.63900000000000001</v>
      </c>
      <c r="W99" s="10">
        <v>1.0189999999999999</v>
      </c>
      <c r="X99" s="10" t="s">
        <v>1606</v>
      </c>
      <c r="Y99" s="10">
        <v>0.32700000000000001</v>
      </c>
      <c r="Z99" s="10">
        <v>1.002</v>
      </c>
      <c r="AA99" s="10" t="s">
        <v>1607</v>
      </c>
      <c r="AB99" s="10">
        <v>0.95</v>
      </c>
      <c r="AC99" s="10" t="s">
        <v>140</v>
      </c>
      <c r="AD99" s="10" t="s">
        <v>204</v>
      </c>
    </row>
    <row r="100" spans="1:30" ht="14.25" hidden="1">
      <c r="A100" s="10" t="s">
        <v>52</v>
      </c>
      <c r="B100" s="10" t="s">
        <v>126</v>
      </c>
      <c r="C100" s="10" t="s">
        <v>74</v>
      </c>
      <c r="D100" s="33" t="s">
        <v>164</v>
      </c>
      <c r="E100" s="33" t="s">
        <v>1626</v>
      </c>
      <c r="F100" s="33"/>
      <c r="G100" s="33" t="s">
        <v>165</v>
      </c>
      <c r="H100" s="10" t="s">
        <v>1680</v>
      </c>
      <c r="I100" s="10" t="s">
        <v>133</v>
      </c>
      <c r="J100" s="10" t="s">
        <v>218</v>
      </c>
      <c r="K100" s="10">
        <v>177860</v>
      </c>
      <c r="L100" s="10">
        <v>41</v>
      </c>
      <c r="M100" s="10">
        <v>13178</v>
      </c>
      <c r="N100" s="33">
        <v>164682</v>
      </c>
      <c r="O100" s="62" t="s">
        <v>97</v>
      </c>
      <c r="P100" s="10" t="s">
        <v>98</v>
      </c>
      <c r="Q100" s="10" t="s">
        <v>79</v>
      </c>
      <c r="R100" s="10">
        <v>0.435</v>
      </c>
      <c r="S100" s="10" t="s">
        <v>1682</v>
      </c>
      <c r="T100" s="10" t="s">
        <v>1683</v>
      </c>
      <c r="U100" s="10">
        <v>48.801000000000002</v>
      </c>
      <c r="V100" s="10">
        <v>0.16</v>
      </c>
      <c r="W100" s="10">
        <v>0.56100000000000005</v>
      </c>
      <c r="X100" s="10" t="s">
        <v>1685</v>
      </c>
      <c r="Y100" s="10">
        <v>3.7999999999999999E-2</v>
      </c>
      <c r="Z100" s="10">
        <v>7.8E-2</v>
      </c>
      <c r="AA100" s="10" t="s">
        <v>1688</v>
      </c>
      <c r="AB100" s="10">
        <v>8.9999999999999993E-3</v>
      </c>
      <c r="AC100" s="10" t="s">
        <v>109</v>
      </c>
      <c r="AD100" s="10" t="s">
        <v>145</v>
      </c>
    </row>
    <row r="101" spans="1:30" ht="14.25" hidden="1">
      <c r="A101" s="10" t="s">
        <v>52</v>
      </c>
      <c r="B101" s="10" t="s">
        <v>126</v>
      </c>
      <c r="C101" s="10" t="s">
        <v>74</v>
      </c>
      <c r="D101" s="33" t="s">
        <v>164</v>
      </c>
      <c r="E101" s="10" t="s">
        <v>1620</v>
      </c>
      <c r="F101" s="33"/>
      <c r="G101" s="33" t="s">
        <v>165</v>
      </c>
      <c r="H101" s="10" t="s">
        <v>1621</v>
      </c>
      <c r="I101" s="10" t="s">
        <v>133</v>
      </c>
      <c r="J101" s="10" t="s">
        <v>133</v>
      </c>
      <c r="K101" s="10">
        <f>SUM(M101:N101)</f>
        <v>361194</v>
      </c>
      <c r="L101" s="10">
        <v>41</v>
      </c>
      <c r="M101" s="10">
        <v>5423</v>
      </c>
      <c r="N101" s="33">
        <v>355771</v>
      </c>
      <c r="O101" s="62" t="s">
        <v>97</v>
      </c>
      <c r="P101" s="10" t="s">
        <v>98</v>
      </c>
      <c r="Q101" s="10" t="s">
        <v>79</v>
      </c>
      <c r="R101" s="10">
        <v>0.98399999999999999</v>
      </c>
      <c r="S101" s="10" t="s">
        <v>1622</v>
      </c>
      <c r="T101" s="10" t="s">
        <v>1623</v>
      </c>
      <c r="U101" s="10" t="s">
        <v>79</v>
      </c>
      <c r="V101" s="10" t="s">
        <v>79</v>
      </c>
      <c r="W101" s="10">
        <v>0.98499999999999999</v>
      </c>
      <c r="X101" s="10" t="s">
        <v>1624</v>
      </c>
      <c r="Y101" s="10">
        <v>8.9999999999999993E-3</v>
      </c>
      <c r="Z101" s="10">
        <v>0.96099999999999997</v>
      </c>
      <c r="AA101" s="10" t="s">
        <v>1625</v>
      </c>
      <c r="AB101" s="10">
        <v>4.0000000000000001E-3</v>
      </c>
      <c r="AC101" s="10" t="s">
        <v>109</v>
      </c>
      <c r="AD101" s="10" t="s">
        <v>145</v>
      </c>
    </row>
    <row r="102" spans="1:30" ht="14.25" hidden="1">
      <c r="A102" s="62" t="s">
        <v>70</v>
      </c>
      <c r="B102" s="62" t="s">
        <v>19</v>
      </c>
      <c r="C102" s="62" t="s">
        <v>74</v>
      </c>
      <c r="D102" s="62" t="s">
        <v>75</v>
      </c>
      <c r="E102" s="62" t="s">
        <v>1697</v>
      </c>
      <c r="F102" s="62"/>
      <c r="G102" s="62" t="s">
        <v>113</v>
      </c>
      <c r="H102" s="62" t="s">
        <v>1698</v>
      </c>
      <c r="I102" s="62" t="s">
        <v>133</v>
      </c>
      <c r="J102" s="62" t="s">
        <v>218</v>
      </c>
      <c r="K102" s="109">
        <v>334352</v>
      </c>
      <c r="L102" s="62">
        <v>38</v>
      </c>
      <c r="M102" s="62">
        <v>1224</v>
      </c>
      <c r="N102" s="109">
        <f t="shared" ref="N102:N103" si="18">K102-M102</f>
        <v>333128</v>
      </c>
      <c r="O102" s="62" t="s">
        <v>97</v>
      </c>
      <c r="P102" s="62" t="s">
        <v>98</v>
      </c>
      <c r="Q102" s="62">
        <v>19.537700000000001</v>
      </c>
      <c r="R102" s="62">
        <v>0.247</v>
      </c>
      <c r="S102" s="62" t="s">
        <v>1702</v>
      </c>
      <c r="T102" s="62">
        <v>3.2000000000000001E-2</v>
      </c>
      <c r="U102" s="62">
        <v>53.109000000000002</v>
      </c>
      <c r="V102" s="62">
        <v>0.62180000000000002</v>
      </c>
      <c r="W102" s="62">
        <v>0.126</v>
      </c>
      <c r="X102" s="62" t="s">
        <v>1703</v>
      </c>
      <c r="Y102" s="62">
        <v>3.4000000000000002E-2</v>
      </c>
      <c r="Z102" s="62">
        <v>6.0000000000000001E-3</v>
      </c>
      <c r="AA102" s="62" t="s">
        <v>1704</v>
      </c>
      <c r="AB102" s="62">
        <v>3.3000000000000002E-2</v>
      </c>
      <c r="AC102" s="62" t="s">
        <v>109</v>
      </c>
      <c r="AD102" s="62" t="s">
        <v>145</v>
      </c>
    </row>
    <row r="103" spans="1:30" ht="14.25" hidden="1">
      <c r="A103" s="14" t="s">
        <v>52</v>
      </c>
      <c r="B103" s="14" t="s">
        <v>130</v>
      </c>
      <c r="C103" s="14" t="s">
        <v>74</v>
      </c>
      <c r="D103" s="14" t="s">
        <v>298</v>
      </c>
      <c r="E103" s="14" t="s">
        <v>362</v>
      </c>
      <c r="F103" s="14"/>
      <c r="G103" s="14" t="s">
        <v>215</v>
      </c>
      <c r="H103" s="14" t="s">
        <v>79</v>
      </c>
      <c r="I103" s="14" t="s">
        <v>133</v>
      </c>
      <c r="J103" s="14" t="s">
        <v>218</v>
      </c>
      <c r="K103" s="14">
        <v>218792</v>
      </c>
      <c r="L103" s="14">
        <v>22</v>
      </c>
      <c r="M103" s="14">
        <v>19676</v>
      </c>
      <c r="N103" s="14">
        <f t="shared" si="18"/>
        <v>199116</v>
      </c>
      <c r="O103" s="62" t="s">
        <v>97</v>
      </c>
      <c r="P103" s="14" t="s">
        <v>98</v>
      </c>
      <c r="Q103" s="14" t="s">
        <v>79</v>
      </c>
      <c r="R103" s="14">
        <v>0.46800000000000003</v>
      </c>
      <c r="S103" s="14" t="s">
        <v>1631</v>
      </c>
      <c r="T103" s="14">
        <v>1.2E-2</v>
      </c>
      <c r="U103" s="14" t="s">
        <v>79</v>
      </c>
      <c r="V103" s="14" t="s">
        <v>79</v>
      </c>
      <c r="W103" s="14" t="s">
        <v>79</v>
      </c>
      <c r="X103" s="14" t="s">
        <v>79</v>
      </c>
      <c r="Y103" s="14" t="s">
        <v>79</v>
      </c>
      <c r="Z103" s="14" t="s">
        <v>79</v>
      </c>
      <c r="AA103" s="14" t="s">
        <v>79</v>
      </c>
      <c r="AB103" s="14" t="s">
        <v>79</v>
      </c>
      <c r="AC103" s="14" t="s">
        <v>140</v>
      </c>
      <c r="AD103" s="14" t="s">
        <v>145</v>
      </c>
    </row>
    <row r="104" spans="1:30" ht="14.25" hidden="1">
      <c r="A104" s="14" t="s">
        <v>52</v>
      </c>
      <c r="B104" s="14" t="s">
        <v>130</v>
      </c>
      <c r="C104" s="14" t="s">
        <v>74</v>
      </c>
      <c r="D104" s="14" t="s">
        <v>298</v>
      </c>
      <c r="E104" s="14" t="s">
        <v>362</v>
      </c>
      <c r="F104" s="14"/>
      <c r="G104" s="14" t="s">
        <v>215</v>
      </c>
      <c r="H104" s="14" t="s">
        <v>79</v>
      </c>
      <c r="I104" s="14" t="s">
        <v>133</v>
      </c>
      <c r="J104" s="14" t="s">
        <v>133</v>
      </c>
      <c r="K104" s="14">
        <v>462933</v>
      </c>
      <c r="L104" s="14">
        <v>22</v>
      </c>
      <c r="M104" s="14" t="s">
        <v>1634</v>
      </c>
      <c r="N104" s="14"/>
      <c r="O104" s="62" t="s">
        <v>97</v>
      </c>
      <c r="P104" s="14" t="s">
        <v>98</v>
      </c>
      <c r="Q104" s="14" t="s">
        <v>79</v>
      </c>
      <c r="R104" s="14">
        <v>1</v>
      </c>
      <c r="S104" s="14" t="s">
        <v>1637</v>
      </c>
      <c r="T104" s="14"/>
      <c r="U104" s="14" t="s">
        <v>79</v>
      </c>
      <c r="V104" s="14" t="s">
        <v>79</v>
      </c>
      <c r="W104" s="14" t="s">
        <v>79</v>
      </c>
      <c r="X104" s="14" t="s">
        <v>79</v>
      </c>
      <c r="Y104" s="14" t="s">
        <v>79</v>
      </c>
      <c r="Z104" s="14" t="s">
        <v>79</v>
      </c>
      <c r="AA104" s="14" t="s">
        <v>79</v>
      </c>
      <c r="AB104" s="14" t="s">
        <v>79</v>
      </c>
      <c r="AC104" s="14" t="s">
        <v>140</v>
      </c>
      <c r="AD104" s="14" t="s">
        <v>145</v>
      </c>
    </row>
    <row r="105" spans="1:30" ht="14.25" hidden="1">
      <c r="A105" s="14" t="s">
        <v>52</v>
      </c>
      <c r="B105" s="14" t="s">
        <v>56</v>
      </c>
      <c r="C105" s="14" t="s">
        <v>74</v>
      </c>
      <c r="D105" s="14" t="s">
        <v>246</v>
      </c>
      <c r="E105" s="14" t="s">
        <v>1272</v>
      </c>
      <c r="F105" s="14"/>
      <c r="G105" s="14" t="s">
        <v>248</v>
      </c>
      <c r="H105" s="81" t="s">
        <v>1276</v>
      </c>
      <c r="I105" s="14" t="s">
        <v>133</v>
      </c>
      <c r="J105" s="14" t="s">
        <v>1282</v>
      </c>
      <c r="K105" s="14">
        <v>56429</v>
      </c>
      <c r="L105" s="14">
        <v>10</v>
      </c>
      <c r="M105" s="14">
        <v>13358</v>
      </c>
      <c r="N105" s="14">
        <v>43071</v>
      </c>
      <c r="O105" s="14" t="s">
        <v>97</v>
      </c>
      <c r="P105" s="14" t="s">
        <v>98</v>
      </c>
      <c r="Q105" s="14">
        <v>19.559999999999999</v>
      </c>
      <c r="R105" s="14">
        <v>20.21</v>
      </c>
      <c r="S105" s="14" t="s">
        <v>1639</v>
      </c>
      <c r="T105" s="14" t="s">
        <v>1640</v>
      </c>
      <c r="U105" s="14">
        <v>4.97</v>
      </c>
      <c r="V105" s="14">
        <v>0.84</v>
      </c>
      <c r="W105" s="14">
        <v>18.489999999999998</v>
      </c>
      <c r="X105" s="14" t="s">
        <v>1641</v>
      </c>
      <c r="Y105" s="14" t="s">
        <v>1642</v>
      </c>
      <c r="Z105" s="14">
        <v>703.13</v>
      </c>
      <c r="AA105" s="14" t="s">
        <v>1643</v>
      </c>
      <c r="AB105" s="14">
        <v>0.45</v>
      </c>
      <c r="AC105" s="14" t="s">
        <v>140</v>
      </c>
      <c r="AD105" s="14" t="s">
        <v>385</v>
      </c>
    </row>
    <row r="106" spans="1:30" ht="14.25" hidden="1">
      <c r="A106" s="23" t="s">
        <v>52</v>
      </c>
      <c r="B106" s="23" t="s">
        <v>84</v>
      </c>
      <c r="C106" s="23" t="s">
        <v>74</v>
      </c>
      <c r="D106" s="23" t="s">
        <v>75</v>
      </c>
      <c r="E106" s="14" t="s">
        <v>1718</v>
      </c>
      <c r="F106" s="23"/>
      <c r="G106" s="23" t="s">
        <v>113</v>
      </c>
      <c r="H106" s="14" t="s">
        <v>1719</v>
      </c>
      <c r="I106" s="23" t="s">
        <v>133</v>
      </c>
      <c r="J106" s="14" t="s">
        <v>1321</v>
      </c>
      <c r="K106" s="14">
        <f>SUM(M106:N106)</f>
        <v>199086</v>
      </c>
      <c r="L106" s="23">
        <v>46</v>
      </c>
      <c r="M106" s="14">
        <v>563</v>
      </c>
      <c r="N106" s="14">
        <v>198523</v>
      </c>
      <c r="O106" s="23" t="s">
        <v>97</v>
      </c>
      <c r="P106" s="23" t="s">
        <v>98</v>
      </c>
      <c r="Q106" s="14" t="s">
        <v>79</v>
      </c>
      <c r="R106" s="23">
        <v>0.99770000000000003</v>
      </c>
      <c r="S106" s="23" t="s">
        <v>1720</v>
      </c>
      <c r="T106" s="23">
        <v>0.43149999999999999</v>
      </c>
      <c r="U106" s="23">
        <v>43.467100000000002</v>
      </c>
      <c r="V106" s="23">
        <v>0.49430000000000002</v>
      </c>
      <c r="W106" s="23">
        <v>0.99760000000000004</v>
      </c>
      <c r="X106" s="23" t="s">
        <v>1721</v>
      </c>
      <c r="Y106" s="23">
        <v>0.56889999999999996</v>
      </c>
      <c r="Z106" s="14" t="s">
        <v>62</v>
      </c>
      <c r="AA106" s="14" t="s">
        <v>62</v>
      </c>
      <c r="AB106" s="14" t="s">
        <v>62</v>
      </c>
      <c r="AC106" s="23" t="s">
        <v>140</v>
      </c>
      <c r="AD106" s="23" t="s">
        <v>204</v>
      </c>
    </row>
    <row r="107" spans="1:30" ht="14.25" hidden="1">
      <c r="A107" s="14" t="s">
        <v>52</v>
      </c>
      <c r="B107" s="14" t="s">
        <v>56</v>
      </c>
      <c r="C107" s="14" t="s">
        <v>74</v>
      </c>
      <c r="D107" s="14" t="s">
        <v>459</v>
      </c>
      <c r="E107" s="14" t="s">
        <v>1272</v>
      </c>
      <c r="F107" s="14"/>
      <c r="G107" s="14" t="s">
        <v>215</v>
      </c>
      <c r="H107" s="81" t="s">
        <v>1276</v>
      </c>
      <c r="I107" s="14" t="s">
        <v>133</v>
      </c>
      <c r="J107" s="14" t="s">
        <v>1282</v>
      </c>
      <c r="K107" s="14">
        <v>56429</v>
      </c>
      <c r="L107" s="14">
        <v>7</v>
      </c>
      <c r="M107" s="14">
        <v>13358</v>
      </c>
      <c r="N107" s="14">
        <v>43071</v>
      </c>
      <c r="O107" s="14" t="s">
        <v>97</v>
      </c>
      <c r="P107" s="14" t="s">
        <v>98</v>
      </c>
      <c r="Q107" s="14">
        <v>14.62</v>
      </c>
      <c r="R107" s="14">
        <v>0.15</v>
      </c>
      <c r="S107" s="14" t="s">
        <v>1644</v>
      </c>
      <c r="T107" s="14">
        <v>0.04</v>
      </c>
      <c r="U107" s="14">
        <v>10.48</v>
      </c>
      <c r="V107" s="14">
        <v>0.11</v>
      </c>
      <c r="W107" s="14">
        <v>0.22</v>
      </c>
      <c r="X107" s="14" t="s">
        <v>1645</v>
      </c>
      <c r="Y107" s="14">
        <v>0.14000000000000001</v>
      </c>
      <c r="Z107" s="14">
        <v>0.6</v>
      </c>
      <c r="AA107" s="14" t="s">
        <v>1646</v>
      </c>
      <c r="AB107" s="14">
        <v>0.93</v>
      </c>
      <c r="AC107" s="14" t="s">
        <v>140</v>
      </c>
      <c r="AD107" s="14" t="s">
        <v>385</v>
      </c>
    </row>
    <row r="108" spans="1:30" ht="14.25" hidden="1">
      <c r="A108" s="14" t="s">
        <v>52</v>
      </c>
      <c r="B108" s="14" t="s">
        <v>56</v>
      </c>
      <c r="C108" s="14" t="s">
        <v>74</v>
      </c>
      <c r="D108" s="14" t="s">
        <v>164</v>
      </c>
      <c r="E108" s="14" t="s">
        <v>1272</v>
      </c>
      <c r="F108" s="14"/>
      <c r="G108" s="14" t="s">
        <v>165</v>
      </c>
      <c r="H108" s="81" t="s">
        <v>1276</v>
      </c>
      <c r="I108" s="14" t="s">
        <v>133</v>
      </c>
      <c r="J108" s="14" t="s">
        <v>1282</v>
      </c>
      <c r="K108" s="14">
        <v>56429</v>
      </c>
      <c r="L108" s="14">
        <v>14</v>
      </c>
      <c r="M108" s="14">
        <v>13358</v>
      </c>
      <c r="N108" s="14">
        <v>43071</v>
      </c>
      <c r="O108" s="14" t="s">
        <v>97</v>
      </c>
      <c r="P108" s="14" t="s">
        <v>98</v>
      </c>
      <c r="Q108" s="14">
        <v>19.57</v>
      </c>
      <c r="R108" s="14">
        <v>0.26</v>
      </c>
      <c r="S108" s="14" t="s">
        <v>1647</v>
      </c>
      <c r="T108" s="14">
        <v>4.0000000000000001E-3</v>
      </c>
      <c r="U108" s="14">
        <v>16.329999999999998</v>
      </c>
      <c r="V108" s="14">
        <v>0.23</v>
      </c>
      <c r="W108" s="14">
        <v>0.47</v>
      </c>
      <c r="X108" s="14" t="s">
        <v>1648</v>
      </c>
      <c r="Y108" s="14">
        <v>0.2</v>
      </c>
      <c r="Z108" s="14">
        <v>0.15</v>
      </c>
      <c r="AA108" s="14" t="s">
        <v>1649</v>
      </c>
      <c r="AB108" s="14">
        <v>0.67</v>
      </c>
      <c r="AC108" s="14" t="s">
        <v>140</v>
      </c>
      <c r="AD108" s="14" t="s">
        <v>385</v>
      </c>
    </row>
    <row r="109" spans="1:30" ht="14.25" hidden="1">
      <c r="A109" s="10" t="s">
        <v>52</v>
      </c>
      <c r="B109" s="10" t="s">
        <v>135</v>
      </c>
      <c r="C109" s="10" t="s">
        <v>74</v>
      </c>
      <c r="D109" s="10" t="s">
        <v>246</v>
      </c>
      <c r="E109" s="10" t="s">
        <v>1650</v>
      </c>
      <c r="F109" s="10"/>
      <c r="G109" s="10" t="s">
        <v>248</v>
      </c>
      <c r="H109" s="10" t="s">
        <v>1651</v>
      </c>
      <c r="I109" s="10" t="s">
        <v>133</v>
      </c>
      <c r="J109" s="10" t="s">
        <v>218</v>
      </c>
      <c r="K109" s="34">
        <v>193638</v>
      </c>
      <c r="L109" s="10">
        <v>17</v>
      </c>
      <c r="M109" s="10">
        <v>6915</v>
      </c>
      <c r="N109" s="34">
        <v>186723</v>
      </c>
      <c r="O109" s="62" t="s">
        <v>97</v>
      </c>
      <c r="P109" s="10" t="s">
        <v>98</v>
      </c>
      <c r="Q109" s="10" t="s">
        <v>79</v>
      </c>
      <c r="R109" s="10">
        <v>0.91700000000000004</v>
      </c>
      <c r="S109" s="10" t="s">
        <v>1652</v>
      </c>
      <c r="T109" s="10">
        <v>0.85799999999999998</v>
      </c>
      <c r="U109" s="10" t="s">
        <v>79</v>
      </c>
      <c r="V109" s="10">
        <v>0.41799999999999998</v>
      </c>
      <c r="W109" s="10">
        <v>1.4079999999999999</v>
      </c>
      <c r="X109" s="10" t="s">
        <v>1653</v>
      </c>
      <c r="Y109" s="10">
        <v>0.59899999999999998</v>
      </c>
      <c r="Z109" s="10">
        <v>6.0000000000000001E-3</v>
      </c>
      <c r="AA109" s="10" t="s">
        <v>1654</v>
      </c>
      <c r="AB109" s="10">
        <v>0.36199999999999999</v>
      </c>
      <c r="AC109" s="10" t="s">
        <v>140</v>
      </c>
      <c r="AD109" s="10" t="s">
        <v>145</v>
      </c>
    </row>
    <row r="110" spans="1:30" ht="14.25" hidden="1">
      <c r="A110" s="10" t="s">
        <v>52</v>
      </c>
      <c r="B110" s="10" t="s">
        <v>135</v>
      </c>
      <c r="C110" s="10" t="s">
        <v>74</v>
      </c>
      <c r="D110" s="10" t="s">
        <v>246</v>
      </c>
      <c r="E110" s="10" t="s">
        <v>1655</v>
      </c>
      <c r="F110" s="10"/>
      <c r="G110" s="10" t="s">
        <v>248</v>
      </c>
      <c r="H110" s="10" t="s">
        <v>1656</v>
      </c>
      <c r="I110" s="10" t="s">
        <v>133</v>
      </c>
      <c r="J110" s="10" t="s">
        <v>218</v>
      </c>
      <c r="K110" s="34">
        <v>198014</v>
      </c>
      <c r="L110" s="10">
        <v>17</v>
      </c>
      <c r="M110" s="10">
        <v>1028</v>
      </c>
      <c r="N110" s="34">
        <v>196986</v>
      </c>
      <c r="O110" s="62" t="s">
        <v>97</v>
      </c>
      <c r="P110" s="10" t="s">
        <v>98</v>
      </c>
      <c r="Q110" s="10" t="s">
        <v>79</v>
      </c>
      <c r="R110" s="10">
        <v>2.246</v>
      </c>
      <c r="S110" s="10" t="s">
        <v>1657</v>
      </c>
      <c r="T110" s="10">
        <v>0.57099999999999995</v>
      </c>
      <c r="U110" s="10" t="s">
        <v>79</v>
      </c>
      <c r="V110" s="10">
        <v>9.4E-2</v>
      </c>
      <c r="W110" s="10">
        <v>7.4169999999999998</v>
      </c>
      <c r="X110" s="10" t="s">
        <v>1658</v>
      </c>
      <c r="Y110" s="10">
        <v>0.26100000000000001</v>
      </c>
      <c r="Z110" s="10">
        <v>1.9E-2</v>
      </c>
      <c r="AA110" s="10" t="s">
        <v>1659</v>
      </c>
      <c r="AB110" s="10">
        <v>16.158000000000001</v>
      </c>
      <c r="AC110" s="10" t="s">
        <v>140</v>
      </c>
      <c r="AD110" s="10" t="s">
        <v>145</v>
      </c>
    </row>
    <row r="111" spans="1:30" ht="14.25">
      <c r="A111" s="49" t="s">
        <v>52</v>
      </c>
      <c r="B111" s="49" t="s">
        <v>135</v>
      </c>
      <c r="C111" s="49" t="s">
        <v>74</v>
      </c>
      <c r="D111" s="49" t="s">
        <v>246</v>
      </c>
      <c r="E111" s="49" t="s">
        <v>170</v>
      </c>
      <c r="F111" s="49">
        <v>3</v>
      </c>
      <c r="G111" s="49" t="s">
        <v>248</v>
      </c>
      <c r="H111" s="49" t="s">
        <v>628</v>
      </c>
      <c r="I111" s="49" t="s">
        <v>133</v>
      </c>
      <c r="J111" s="49" t="s">
        <v>218</v>
      </c>
      <c r="K111" s="50">
        <v>156078</v>
      </c>
      <c r="L111" s="49">
        <v>17</v>
      </c>
      <c r="M111" s="50">
        <v>20629</v>
      </c>
      <c r="N111" s="50">
        <v>135449</v>
      </c>
      <c r="O111" s="49" t="s">
        <v>97</v>
      </c>
      <c r="P111" s="49" t="s">
        <v>98</v>
      </c>
      <c r="Q111" s="49" t="s">
        <v>79</v>
      </c>
      <c r="R111" s="51">
        <v>1.23</v>
      </c>
      <c r="S111" s="49" t="s">
        <v>1660</v>
      </c>
      <c r="T111" s="49">
        <v>0.60699999999999998</v>
      </c>
      <c r="U111" s="49" t="s">
        <v>79</v>
      </c>
      <c r="V111" s="49">
        <v>2.1999999999999999E-2</v>
      </c>
      <c r="W111" s="49">
        <v>0.98599999999999999</v>
      </c>
      <c r="X111" s="49" t="s">
        <v>1661</v>
      </c>
      <c r="Y111" s="49">
        <v>0.97599999999999998</v>
      </c>
      <c r="Z111" s="49">
        <v>4.7359999999999998</v>
      </c>
      <c r="AA111" s="49" t="s">
        <v>1662</v>
      </c>
      <c r="AB111" s="49">
        <v>0.73699999999999999</v>
      </c>
      <c r="AC111" s="49" t="s">
        <v>140</v>
      </c>
      <c r="AD111" s="49" t="s">
        <v>145</v>
      </c>
    </row>
    <row r="112" spans="1:30" ht="14.25" hidden="1">
      <c r="A112" s="10" t="s">
        <v>52</v>
      </c>
      <c r="B112" s="10" t="s">
        <v>135</v>
      </c>
      <c r="C112" s="10" t="s">
        <v>74</v>
      </c>
      <c r="D112" s="10" t="s">
        <v>246</v>
      </c>
      <c r="E112" s="10" t="s">
        <v>1663</v>
      </c>
      <c r="F112" s="10"/>
      <c r="G112" s="10" t="s">
        <v>248</v>
      </c>
      <c r="H112" s="10" t="s">
        <v>1664</v>
      </c>
      <c r="I112" s="10" t="s">
        <v>133</v>
      </c>
      <c r="J112" s="10" t="s">
        <v>218</v>
      </c>
      <c r="K112" s="34">
        <v>217995</v>
      </c>
      <c r="L112" s="10">
        <v>17</v>
      </c>
      <c r="M112" s="34">
        <v>16761</v>
      </c>
      <c r="N112" s="10" t="s">
        <v>1665</v>
      </c>
      <c r="O112" s="62" t="s">
        <v>97</v>
      </c>
      <c r="P112" s="10" t="s">
        <v>98</v>
      </c>
      <c r="Q112" s="10" t="s">
        <v>79</v>
      </c>
      <c r="R112" s="10">
        <v>3.0720000000000001</v>
      </c>
      <c r="S112" s="10" t="s">
        <v>1668</v>
      </c>
      <c r="T112" s="10">
        <v>0.128</v>
      </c>
      <c r="U112" s="10" t="s">
        <v>79</v>
      </c>
      <c r="V112" s="10">
        <v>1E-3</v>
      </c>
      <c r="W112" s="10" t="s">
        <v>79</v>
      </c>
      <c r="X112" s="10" t="s">
        <v>1669</v>
      </c>
      <c r="Y112" s="10">
        <v>0.505</v>
      </c>
      <c r="Z112" s="10" t="s">
        <v>79</v>
      </c>
      <c r="AA112" s="10" t="s">
        <v>1670</v>
      </c>
      <c r="AB112" s="10">
        <v>0.95299999999999996</v>
      </c>
      <c r="AC112" s="10" t="s">
        <v>140</v>
      </c>
      <c r="AD112" s="10" t="s">
        <v>145</v>
      </c>
    </row>
    <row r="113" spans="1:30" ht="14.25" hidden="1">
      <c r="A113" s="10" t="s">
        <v>52</v>
      </c>
      <c r="B113" s="10" t="s">
        <v>135</v>
      </c>
      <c r="C113" s="10" t="s">
        <v>74</v>
      </c>
      <c r="D113" s="10" t="s">
        <v>1671</v>
      </c>
      <c r="E113" s="10" t="s">
        <v>1650</v>
      </c>
      <c r="F113" s="10"/>
      <c r="G113" s="10" t="s">
        <v>215</v>
      </c>
      <c r="H113" s="10" t="s">
        <v>1651</v>
      </c>
      <c r="I113" s="10" t="s">
        <v>133</v>
      </c>
      <c r="J113" s="10" t="s">
        <v>218</v>
      </c>
      <c r="K113" s="34">
        <v>193638</v>
      </c>
      <c r="L113" s="10">
        <v>19</v>
      </c>
      <c r="M113" s="10">
        <v>6915</v>
      </c>
      <c r="N113" s="34">
        <v>186723</v>
      </c>
      <c r="O113" s="62" t="s">
        <v>97</v>
      </c>
      <c r="P113" s="10" t="s">
        <v>98</v>
      </c>
      <c r="Q113" s="10" t="s">
        <v>79</v>
      </c>
      <c r="R113" s="10">
        <v>0.52400000000000002</v>
      </c>
      <c r="S113" s="10" t="s">
        <v>1672</v>
      </c>
      <c r="T113" s="10">
        <v>0.41799999999999998</v>
      </c>
      <c r="U113" s="10" t="s">
        <v>79</v>
      </c>
      <c r="V113" s="10">
        <v>1E-3</v>
      </c>
      <c r="W113" s="10">
        <v>0.33500000000000002</v>
      </c>
      <c r="X113" s="10" t="s">
        <v>1673</v>
      </c>
      <c r="Y113" s="10">
        <v>0.19600000000000001</v>
      </c>
      <c r="Z113" s="10">
        <v>17.597999999999999</v>
      </c>
      <c r="AA113" s="10" t="s">
        <v>1674</v>
      </c>
      <c r="AB113" s="10">
        <v>0.46200000000000002</v>
      </c>
      <c r="AC113" s="10" t="s">
        <v>140</v>
      </c>
      <c r="AD113" s="10" t="s">
        <v>145</v>
      </c>
    </row>
    <row r="114" spans="1:30" ht="14.25" hidden="1">
      <c r="A114" s="10" t="s">
        <v>52</v>
      </c>
      <c r="B114" s="10" t="s">
        <v>135</v>
      </c>
      <c r="C114" s="10" t="s">
        <v>74</v>
      </c>
      <c r="D114" s="10" t="s">
        <v>1671</v>
      </c>
      <c r="E114" s="10" t="s">
        <v>1655</v>
      </c>
      <c r="F114" s="10"/>
      <c r="G114" s="10" t="s">
        <v>215</v>
      </c>
      <c r="H114" s="10" t="s">
        <v>1656</v>
      </c>
      <c r="I114" s="10" t="s">
        <v>133</v>
      </c>
      <c r="J114" s="10" t="s">
        <v>218</v>
      </c>
      <c r="K114" s="34">
        <v>198014</v>
      </c>
      <c r="L114" s="10">
        <v>19</v>
      </c>
      <c r="M114" s="10">
        <v>1028</v>
      </c>
      <c r="N114" s="34">
        <v>196986</v>
      </c>
      <c r="O114" s="62" t="s">
        <v>97</v>
      </c>
      <c r="P114" s="10" t="s">
        <v>98</v>
      </c>
      <c r="Q114" s="10" t="s">
        <v>79</v>
      </c>
      <c r="R114" s="69">
        <v>1.28</v>
      </c>
      <c r="S114" s="10" t="s">
        <v>1677</v>
      </c>
      <c r="T114" s="10">
        <v>0.84899999999999998</v>
      </c>
      <c r="U114" s="10" t="s">
        <v>79</v>
      </c>
      <c r="V114" s="10">
        <v>4.2999999999999997E-2</v>
      </c>
      <c r="W114" s="10">
        <v>0.45700000000000002</v>
      </c>
      <c r="X114" s="10" t="s">
        <v>1678</v>
      </c>
      <c r="Y114" s="69">
        <v>0.68</v>
      </c>
      <c r="Z114" s="37">
        <v>3.8599999999999999E-7</v>
      </c>
      <c r="AA114" s="10" t="s">
        <v>1679</v>
      </c>
      <c r="AB114" s="10">
        <v>2.8000000000000001E-2</v>
      </c>
      <c r="AC114" s="10" t="s">
        <v>140</v>
      </c>
      <c r="AD114" s="10" t="s">
        <v>145</v>
      </c>
    </row>
    <row r="115" spans="1:30" ht="14.25" hidden="1">
      <c r="A115" s="10" t="s">
        <v>52</v>
      </c>
      <c r="B115" s="10" t="s">
        <v>135</v>
      </c>
      <c r="C115" s="10" t="s">
        <v>74</v>
      </c>
      <c r="D115" s="10" t="s">
        <v>1671</v>
      </c>
      <c r="E115" s="10" t="s">
        <v>170</v>
      </c>
      <c r="F115" s="10"/>
      <c r="G115" s="10" t="s">
        <v>215</v>
      </c>
      <c r="H115" s="10" t="s">
        <v>628</v>
      </c>
      <c r="I115" s="10" t="s">
        <v>133</v>
      </c>
      <c r="J115" s="10" t="s">
        <v>218</v>
      </c>
      <c r="K115" s="34">
        <v>156078</v>
      </c>
      <c r="L115" s="10">
        <v>19</v>
      </c>
      <c r="M115" s="34">
        <v>20629</v>
      </c>
      <c r="N115" s="34">
        <v>135449</v>
      </c>
      <c r="O115" s="62" t="s">
        <v>97</v>
      </c>
      <c r="P115" s="10" t="s">
        <v>98</v>
      </c>
      <c r="Q115" s="10" t="s">
        <v>79</v>
      </c>
      <c r="R115" s="10">
        <v>0.80100000000000005</v>
      </c>
      <c r="S115" s="10" t="s">
        <v>630</v>
      </c>
      <c r="T115" s="69">
        <v>0.69</v>
      </c>
      <c r="U115" s="10" t="s">
        <v>79</v>
      </c>
      <c r="V115" s="10">
        <v>1E-3</v>
      </c>
      <c r="W115" s="10">
        <v>2.2629999999999999</v>
      </c>
      <c r="X115" s="10" t="s">
        <v>631</v>
      </c>
      <c r="Y115" s="10">
        <v>0.13600000000000001</v>
      </c>
      <c r="Z115" s="10">
        <v>16.837</v>
      </c>
      <c r="AA115" s="10" t="s">
        <v>633</v>
      </c>
      <c r="AB115" s="69">
        <v>0.22539999999999999</v>
      </c>
      <c r="AC115" s="10" t="s">
        <v>140</v>
      </c>
      <c r="AD115" s="10" t="s">
        <v>145</v>
      </c>
    </row>
    <row r="116" spans="1:30" ht="14.25" hidden="1">
      <c r="A116" s="10" t="s">
        <v>52</v>
      </c>
      <c r="B116" s="10" t="s">
        <v>135</v>
      </c>
      <c r="C116" s="10" t="s">
        <v>74</v>
      </c>
      <c r="D116" s="10" t="s">
        <v>1671</v>
      </c>
      <c r="E116" s="10" t="s">
        <v>1663</v>
      </c>
      <c r="F116" s="10"/>
      <c r="G116" s="10" t="s">
        <v>215</v>
      </c>
      <c r="H116" s="10" t="s">
        <v>1664</v>
      </c>
      <c r="I116" s="10" t="s">
        <v>133</v>
      </c>
      <c r="J116" s="10" t="s">
        <v>218</v>
      </c>
      <c r="K116" s="34">
        <v>217995</v>
      </c>
      <c r="L116" s="10">
        <v>19</v>
      </c>
      <c r="M116" s="34">
        <v>16761</v>
      </c>
      <c r="N116" s="10" t="s">
        <v>1665</v>
      </c>
      <c r="O116" s="62" t="s">
        <v>97</v>
      </c>
      <c r="P116" s="10" t="s">
        <v>98</v>
      </c>
      <c r="Q116" s="10" t="s">
        <v>79</v>
      </c>
      <c r="R116" s="10">
        <v>0.61899999999999999</v>
      </c>
      <c r="S116" s="10" t="s">
        <v>1690</v>
      </c>
      <c r="T116" s="10">
        <v>0.26200000000000001</v>
      </c>
      <c r="U116" s="10" t="s">
        <v>79</v>
      </c>
      <c r="V116" s="10">
        <v>0.08</v>
      </c>
      <c r="W116" s="10">
        <v>0.50700000000000001</v>
      </c>
      <c r="X116" s="10" t="s">
        <v>1691</v>
      </c>
      <c r="Y116" s="10">
        <v>0.19900000000000001</v>
      </c>
      <c r="Z116" s="10">
        <v>3.0230000000000001</v>
      </c>
      <c r="AA116" s="10" t="s">
        <v>1692</v>
      </c>
      <c r="AB116" s="10">
        <v>0.59799999999999998</v>
      </c>
      <c r="AC116" s="10" t="s">
        <v>140</v>
      </c>
      <c r="AD116" s="10" t="s">
        <v>145</v>
      </c>
    </row>
    <row r="117" spans="1:30" ht="14.25" hidden="1">
      <c r="A117" s="10" t="s">
        <v>52</v>
      </c>
      <c r="B117" s="10" t="s">
        <v>135</v>
      </c>
      <c r="C117" s="10" t="s">
        <v>74</v>
      </c>
      <c r="D117" s="10" t="s">
        <v>164</v>
      </c>
      <c r="E117" s="10" t="s">
        <v>1650</v>
      </c>
      <c r="F117" s="10"/>
      <c r="G117" s="10" t="s">
        <v>165</v>
      </c>
      <c r="H117" s="10" t="s">
        <v>1651</v>
      </c>
      <c r="I117" s="10" t="s">
        <v>133</v>
      </c>
      <c r="J117" s="10" t="s">
        <v>218</v>
      </c>
      <c r="K117" s="34">
        <v>193638</v>
      </c>
      <c r="L117" s="10">
        <v>41</v>
      </c>
      <c r="M117" s="10">
        <v>6915</v>
      </c>
      <c r="N117" s="34">
        <v>186723</v>
      </c>
      <c r="O117" s="62" t="s">
        <v>97</v>
      </c>
      <c r="P117" s="10" t="s">
        <v>98</v>
      </c>
      <c r="Q117" s="10" t="s">
        <v>79</v>
      </c>
      <c r="R117" s="10">
        <v>0.21099999999999999</v>
      </c>
      <c r="S117" s="10" t="s">
        <v>1759</v>
      </c>
      <c r="T117" s="10">
        <v>1.776E-7</v>
      </c>
      <c r="U117" s="10" t="s">
        <v>79</v>
      </c>
      <c r="V117" s="10">
        <v>0.115</v>
      </c>
      <c r="W117" s="10">
        <v>0.19600000000000001</v>
      </c>
      <c r="X117" s="10" t="s">
        <v>1760</v>
      </c>
      <c r="Y117" s="37">
        <v>7.3649999999999998E-6</v>
      </c>
      <c r="Z117" s="10">
        <v>0.34399999999999997</v>
      </c>
      <c r="AA117" s="10" t="s">
        <v>1761</v>
      </c>
      <c r="AB117" s="37">
        <v>0.4355</v>
      </c>
      <c r="AC117" s="10" t="s">
        <v>140</v>
      </c>
      <c r="AD117" s="10" t="s">
        <v>145</v>
      </c>
    </row>
    <row r="118" spans="1:30" ht="14.25" hidden="1">
      <c r="A118" s="10" t="s">
        <v>52</v>
      </c>
      <c r="B118" s="10" t="s">
        <v>135</v>
      </c>
      <c r="C118" s="10" t="s">
        <v>74</v>
      </c>
      <c r="D118" s="10" t="s">
        <v>164</v>
      </c>
      <c r="E118" s="10" t="s">
        <v>1655</v>
      </c>
      <c r="F118" s="10"/>
      <c r="G118" s="10" t="s">
        <v>165</v>
      </c>
      <c r="H118" s="10" t="s">
        <v>1656</v>
      </c>
      <c r="I118" s="10" t="s">
        <v>133</v>
      </c>
      <c r="J118" s="10" t="s">
        <v>218</v>
      </c>
      <c r="K118" s="34">
        <v>198014</v>
      </c>
      <c r="L118" s="10">
        <v>41</v>
      </c>
      <c r="M118" s="10">
        <v>1028</v>
      </c>
      <c r="N118" s="34">
        <v>196986</v>
      </c>
      <c r="O118" s="62" t="s">
        <v>97</v>
      </c>
      <c r="P118" s="10" t="s">
        <v>98</v>
      </c>
      <c r="Q118" s="10" t="s">
        <v>79</v>
      </c>
      <c r="R118" s="10">
        <v>1.359</v>
      </c>
      <c r="S118" s="10" t="s">
        <v>1699</v>
      </c>
      <c r="T118" s="10">
        <v>0.66700000000000004</v>
      </c>
      <c r="U118" s="10" t="s">
        <v>79</v>
      </c>
      <c r="V118" s="10">
        <v>0.16700000000000001</v>
      </c>
      <c r="W118" s="10">
        <v>1.1539999999999999</v>
      </c>
      <c r="X118" s="10" t="s">
        <v>1700</v>
      </c>
      <c r="Y118" s="10">
        <v>0.879</v>
      </c>
      <c r="Z118" s="10" t="s">
        <v>79</v>
      </c>
      <c r="AA118" s="10" t="s">
        <v>1701</v>
      </c>
      <c r="AB118" s="10">
        <v>0.11600000000000001</v>
      </c>
      <c r="AC118" s="10" t="s">
        <v>140</v>
      </c>
      <c r="AD118" s="10" t="s">
        <v>145</v>
      </c>
    </row>
    <row r="119" spans="1:30" ht="14.25" hidden="1">
      <c r="A119" s="10" t="s">
        <v>52</v>
      </c>
      <c r="B119" s="10" t="s">
        <v>135</v>
      </c>
      <c r="C119" s="10" t="s">
        <v>74</v>
      </c>
      <c r="D119" s="10" t="s">
        <v>164</v>
      </c>
      <c r="E119" s="10" t="s">
        <v>170</v>
      </c>
      <c r="F119" s="10"/>
      <c r="G119" s="10" t="s">
        <v>165</v>
      </c>
      <c r="H119" s="10" t="s">
        <v>628</v>
      </c>
      <c r="I119" s="10" t="s">
        <v>133</v>
      </c>
      <c r="J119" s="10" t="s">
        <v>218</v>
      </c>
      <c r="K119" s="34">
        <v>156078</v>
      </c>
      <c r="L119" s="10">
        <v>41</v>
      </c>
      <c r="M119" s="34">
        <v>20629</v>
      </c>
      <c r="N119" s="34">
        <v>135449</v>
      </c>
      <c r="O119" s="62" t="s">
        <v>97</v>
      </c>
      <c r="P119" s="10" t="s">
        <v>98</v>
      </c>
      <c r="Q119" s="10" t="s">
        <v>79</v>
      </c>
      <c r="R119" s="10">
        <v>0.53900000000000003</v>
      </c>
      <c r="S119" s="10" t="s">
        <v>1733</v>
      </c>
      <c r="T119" s="10">
        <v>3.0000000000000001E-3</v>
      </c>
      <c r="U119" s="10" t="s">
        <v>79</v>
      </c>
      <c r="V119" s="10">
        <v>8.0000000000000002E-3</v>
      </c>
      <c r="W119" s="10">
        <v>0.48899999999999999</v>
      </c>
      <c r="X119" s="10" t="s">
        <v>1734</v>
      </c>
      <c r="Y119" s="10">
        <v>4.0000000000000001E-3</v>
      </c>
      <c r="Z119" s="10">
        <v>0.193</v>
      </c>
      <c r="AA119" s="10" t="s">
        <v>1735</v>
      </c>
      <c r="AB119" s="10">
        <v>8.8999999999999996E-2</v>
      </c>
      <c r="AC119" s="10" t="s">
        <v>140</v>
      </c>
      <c r="AD119" s="10" t="s">
        <v>145</v>
      </c>
    </row>
    <row r="120" spans="1:30" ht="14.25" hidden="1">
      <c r="A120" s="10" t="s">
        <v>52</v>
      </c>
      <c r="B120" s="10" t="s">
        <v>135</v>
      </c>
      <c r="C120" s="10" t="s">
        <v>74</v>
      </c>
      <c r="D120" s="10" t="s">
        <v>164</v>
      </c>
      <c r="E120" s="10" t="s">
        <v>1663</v>
      </c>
      <c r="F120" s="10"/>
      <c r="G120" s="10" t="s">
        <v>165</v>
      </c>
      <c r="H120" s="10" t="s">
        <v>1664</v>
      </c>
      <c r="I120" s="10" t="s">
        <v>133</v>
      </c>
      <c r="J120" s="10" t="s">
        <v>218</v>
      </c>
      <c r="K120" s="34">
        <v>217995</v>
      </c>
      <c r="L120" s="10">
        <v>41</v>
      </c>
      <c r="M120" s="34">
        <v>16761</v>
      </c>
      <c r="N120" s="10" t="s">
        <v>1665</v>
      </c>
      <c r="O120" s="62" t="s">
        <v>97</v>
      </c>
      <c r="P120" s="10" t="s">
        <v>98</v>
      </c>
      <c r="Q120" s="10" t="s">
        <v>79</v>
      </c>
      <c r="R120" s="10">
        <v>0.64100000000000001</v>
      </c>
      <c r="S120" s="10" t="s">
        <v>1706</v>
      </c>
      <c r="T120" s="10">
        <v>0.05</v>
      </c>
      <c r="U120" s="10" t="s">
        <v>79</v>
      </c>
      <c r="V120" s="10">
        <v>5.0000000000000001E-3</v>
      </c>
      <c r="W120" s="10">
        <v>0.63400000000000001</v>
      </c>
      <c r="X120" s="10" t="s">
        <v>1707</v>
      </c>
      <c r="Y120" s="10">
        <v>9.7000000000000003E-2</v>
      </c>
      <c r="Z120" s="10">
        <v>9.1999999999999998E-2</v>
      </c>
      <c r="AA120" s="10" t="s">
        <v>1708</v>
      </c>
      <c r="AB120" s="69">
        <v>0.02</v>
      </c>
      <c r="AC120" s="10" t="s">
        <v>140</v>
      </c>
      <c r="AD120" s="10" t="s">
        <v>145</v>
      </c>
    </row>
    <row r="121" spans="1:30" ht="14.25" hidden="1">
      <c r="A121" s="23" t="s">
        <v>52</v>
      </c>
      <c r="B121" s="23" t="s">
        <v>160</v>
      </c>
      <c r="C121" s="23" t="s">
        <v>74</v>
      </c>
      <c r="D121" s="23" t="s">
        <v>75</v>
      </c>
      <c r="E121" s="14" t="s">
        <v>496</v>
      </c>
      <c r="F121" s="23"/>
      <c r="G121" s="23" t="s">
        <v>113</v>
      </c>
      <c r="H121" s="23" t="s">
        <v>79</v>
      </c>
      <c r="I121" s="23" t="s">
        <v>133</v>
      </c>
      <c r="J121" s="23" t="s">
        <v>133</v>
      </c>
      <c r="K121" s="23" t="s">
        <v>79</v>
      </c>
      <c r="L121" s="23">
        <v>43</v>
      </c>
      <c r="M121" s="23" t="s">
        <v>79</v>
      </c>
      <c r="N121" s="23" t="s">
        <v>79</v>
      </c>
      <c r="O121" s="23" t="s">
        <v>97</v>
      </c>
      <c r="P121" s="23" t="s">
        <v>98</v>
      </c>
      <c r="Q121" s="23" t="s">
        <v>79</v>
      </c>
      <c r="R121" s="23">
        <v>0.998</v>
      </c>
      <c r="S121" s="23" t="s">
        <v>1773</v>
      </c>
      <c r="T121" s="23">
        <v>0.42</v>
      </c>
      <c r="U121" s="23">
        <v>43.997999999999998</v>
      </c>
      <c r="V121" s="23">
        <v>0.38700000000000001</v>
      </c>
      <c r="W121" s="23">
        <v>0.999</v>
      </c>
      <c r="X121" s="23" t="s">
        <v>1774</v>
      </c>
      <c r="Y121" s="23">
        <v>0.76700000000000002</v>
      </c>
      <c r="Z121" s="23">
        <v>0.996</v>
      </c>
      <c r="AA121" s="23" t="s">
        <v>1776</v>
      </c>
      <c r="AB121" s="23">
        <v>0.70899999999999996</v>
      </c>
      <c r="AC121" s="23" t="s">
        <v>109</v>
      </c>
      <c r="AD121" s="23" t="s">
        <v>145</v>
      </c>
    </row>
    <row r="122" spans="1:30" ht="14.25" hidden="1">
      <c r="A122" s="38" t="s">
        <v>70</v>
      </c>
      <c r="B122" s="82" t="s">
        <v>196</v>
      </c>
      <c r="C122" s="22" t="s">
        <v>74</v>
      </c>
      <c r="D122" s="22" t="s">
        <v>75</v>
      </c>
      <c r="E122" s="22" t="s">
        <v>1781</v>
      </c>
      <c r="F122" s="22"/>
      <c r="G122" s="22" t="s">
        <v>113</v>
      </c>
      <c r="H122" s="117" t="s">
        <v>1779</v>
      </c>
      <c r="I122" s="22" t="s">
        <v>1414</v>
      </c>
      <c r="J122" s="22" t="s">
        <v>218</v>
      </c>
      <c r="K122" s="22" t="s">
        <v>79</v>
      </c>
      <c r="L122" s="118">
        <v>41</v>
      </c>
      <c r="M122" s="118">
        <v>26122</v>
      </c>
      <c r="N122" s="118">
        <v>461431</v>
      </c>
      <c r="O122" s="22" t="s">
        <v>79</v>
      </c>
      <c r="P122" s="22" t="s">
        <v>98</v>
      </c>
      <c r="Q122" s="22" t="s">
        <v>79</v>
      </c>
      <c r="R122" s="22">
        <v>0.73</v>
      </c>
      <c r="S122" s="22" t="s">
        <v>1782</v>
      </c>
      <c r="T122" s="22">
        <v>5.5E-2</v>
      </c>
      <c r="U122" s="22" t="s">
        <v>79</v>
      </c>
      <c r="V122" s="22" t="s">
        <v>79</v>
      </c>
      <c r="W122" s="22">
        <v>0.70299999999999996</v>
      </c>
      <c r="X122" s="22" t="s">
        <v>1784</v>
      </c>
      <c r="Y122" s="22">
        <v>0.16500000000000001</v>
      </c>
      <c r="Z122" s="22">
        <v>0.46100000000000002</v>
      </c>
      <c r="AA122" s="22" t="s">
        <v>1785</v>
      </c>
      <c r="AB122" s="22">
        <v>0.217</v>
      </c>
      <c r="AC122" s="22" t="s">
        <v>1754</v>
      </c>
      <c r="AD122" s="22" t="s">
        <v>385</v>
      </c>
    </row>
    <row r="123" spans="1:30" ht="14.25" hidden="1">
      <c r="A123" s="14" t="s">
        <v>52</v>
      </c>
      <c r="B123" s="14" t="s">
        <v>20</v>
      </c>
      <c r="C123" s="14" t="s">
        <v>74</v>
      </c>
      <c r="D123" s="14" t="s">
        <v>75</v>
      </c>
      <c r="E123" s="14" t="s">
        <v>1373</v>
      </c>
      <c r="F123" s="14"/>
      <c r="G123" s="14" t="s">
        <v>113</v>
      </c>
      <c r="H123" s="14" t="s">
        <v>1376</v>
      </c>
      <c r="I123" s="14" t="s">
        <v>1788</v>
      </c>
      <c r="J123" s="14" t="s">
        <v>1789</v>
      </c>
      <c r="K123" s="19">
        <f>M123+N123</f>
        <v>117404</v>
      </c>
      <c r="L123" s="14">
        <v>39</v>
      </c>
      <c r="M123" s="19">
        <v>80588</v>
      </c>
      <c r="N123" s="19">
        <v>36816</v>
      </c>
      <c r="O123" s="14" t="s">
        <v>97</v>
      </c>
      <c r="P123" s="14" t="s">
        <v>129</v>
      </c>
      <c r="Q123" s="14" t="s">
        <v>79</v>
      </c>
      <c r="R123" s="14" t="s">
        <v>1403</v>
      </c>
      <c r="S123" s="14" t="s">
        <v>131</v>
      </c>
      <c r="T123" s="14">
        <v>0.27400000000000002</v>
      </c>
      <c r="U123" s="14">
        <v>46.463999999999999</v>
      </c>
      <c r="V123" s="14">
        <v>0.16300000000000001</v>
      </c>
      <c r="W123" s="14">
        <v>-0.05</v>
      </c>
      <c r="X123" s="14" t="s">
        <v>134</v>
      </c>
      <c r="Y123" s="14">
        <v>0.42499999999999999</v>
      </c>
      <c r="Z123" s="14" t="s">
        <v>62</v>
      </c>
      <c r="AA123" s="14" t="s">
        <v>62</v>
      </c>
      <c r="AB123" s="14" t="s">
        <v>62</v>
      </c>
      <c r="AC123" s="14" t="s">
        <v>140</v>
      </c>
      <c r="AD123" s="14" t="s">
        <v>145</v>
      </c>
    </row>
    <row r="124" spans="1:30" ht="14.25" hidden="1">
      <c r="A124" s="14" t="s">
        <v>52</v>
      </c>
      <c r="B124" s="14" t="s">
        <v>71</v>
      </c>
      <c r="C124" s="14" t="s">
        <v>74</v>
      </c>
      <c r="D124" s="14" t="s">
        <v>75</v>
      </c>
      <c r="E124" s="14" t="s">
        <v>1794</v>
      </c>
      <c r="F124" s="14"/>
      <c r="G124" s="14" t="s">
        <v>113</v>
      </c>
      <c r="H124" s="14" t="s">
        <v>1795</v>
      </c>
      <c r="I124" s="14" t="s">
        <v>133</v>
      </c>
      <c r="J124" s="14" t="s">
        <v>218</v>
      </c>
      <c r="K124" s="19">
        <v>196245</v>
      </c>
      <c r="L124" s="14">
        <v>55</v>
      </c>
      <c r="M124" s="14" t="s">
        <v>79</v>
      </c>
      <c r="N124" s="14" t="s">
        <v>79</v>
      </c>
      <c r="O124" s="14" t="s">
        <v>97</v>
      </c>
      <c r="P124" s="14" t="s">
        <v>98</v>
      </c>
      <c r="Q124" s="14" t="s">
        <v>79</v>
      </c>
      <c r="R124" s="14">
        <v>0.18</v>
      </c>
      <c r="S124" s="14" t="s">
        <v>1797</v>
      </c>
      <c r="T124" s="14">
        <v>0.04</v>
      </c>
      <c r="U124" s="14" t="s">
        <v>62</v>
      </c>
      <c r="V124" s="14" t="s">
        <v>62</v>
      </c>
      <c r="W124" s="14" t="s">
        <v>62</v>
      </c>
      <c r="X124" s="14" t="s">
        <v>62</v>
      </c>
      <c r="Y124" s="14" t="s">
        <v>62</v>
      </c>
      <c r="Z124" s="14" t="s">
        <v>62</v>
      </c>
      <c r="AA124" s="14" t="s">
        <v>62</v>
      </c>
      <c r="AB124" s="14" t="s">
        <v>62</v>
      </c>
      <c r="AC124" s="14" t="s">
        <v>140</v>
      </c>
      <c r="AD124" s="14" t="s">
        <v>145</v>
      </c>
    </row>
    <row r="125" spans="1:30" ht="14.25">
      <c r="A125" s="49" t="s">
        <v>52</v>
      </c>
      <c r="B125" s="49" t="s">
        <v>139</v>
      </c>
      <c r="C125" s="49" t="s">
        <v>74</v>
      </c>
      <c r="D125" s="49" t="s">
        <v>246</v>
      </c>
      <c r="E125" s="49" t="s">
        <v>411</v>
      </c>
      <c r="F125" s="49">
        <v>4</v>
      </c>
      <c r="G125" s="49" t="s">
        <v>248</v>
      </c>
      <c r="H125" s="49" t="s">
        <v>1681</v>
      </c>
      <c r="I125" s="49" t="s">
        <v>133</v>
      </c>
      <c r="J125" s="49" t="s">
        <v>218</v>
      </c>
      <c r="K125" s="50">
        <v>218754</v>
      </c>
      <c r="L125" s="119">
        <v>17</v>
      </c>
      <c r="M125" s="50">
        <v>55917</v>
      </c>
      <c r="N125" s="50">
        <v>162837</v>
      </c>
      <c r="O125" s="49" t="s">
        <v>97</v>
      </c>
      <c r="P125" s="49" t="s">
        <v>98</v>
      </c>
      <c r="Q125" s="49">
        <v>20.678999999999998</v>
      </c>
      <c r="R125" s="51">
        <v>1.48</v>
      </c>
      <c r="S125" s="49" t="s">
        <v>1722</v>
      </c>
      <c r="T125" s="49">
        <v>0.38100000000000001</v>
      </c>
      <c r="U125" s="49">
        <v>58.323999999999998</v>
      </c>
      <c r="V125" s="49" t="s">
        <v>1723</v>
      </c>
      <c r="W125" s="49">
        <v>1.3720000000000001</v>
      </c>
      <c r="X125" s="49" t="s">
        <v>1724</v>
      </c>
      <c r="Y125" s="49">
        <v>0.35399999999999998</v>
      </c>
      <c r="Z125" s="49">
        <v>2.1589999999999998</v>
      </c>
      <c r="AA125" s="49" t="s">
        <v>1725</v>
      </c>
      <c r="AB125" s="49">
        <v>0.88100000000000001</v>
      </c>
      <c r="AC125" s="49" t="s">
        <v>140</v>
      </c>
      <c r="AD125" s="49" t="s">
        <v>1689</v>
      </c>
    </row>
    <row r="126" spans="1:30" ht="14.25" hidden="1">
      <c r="A126" s="14" t="s">
        <v>52</v>
      </c>
      <c r="B126" s="14" t="s">
        <v>139</v>
      </c>
      <c r="C126" s="14" t="s">
        <v>74</v>
      </c>
      <c r="D126" s="14" t="s">
        <v>622</v>
      </c>
      <c r="E126" s="14" t="s">
        <v>411</v>
      </c>
      <c r="F126" s="14"/>
      <c r="G126" s="14" t="s">
        <v>215</v>
      </c>
      <c r="H126" s="14" t="s">
        <v>1681</v>
      </c>
      <c r="I126" s="14" t="s">
        <v>133</v>
      </c>
      <c r="J126" s="14" t="s">
        <v>218</v>
      </c>
      <c r="K126" s="19">
        <v>218754</v>
      </c>
      <c r="L126" s="14">
        <v>18</v>
      </c>
      <c r="M126" s="19">
        <v>55917</v>
      </c>
      <c r="N126" s="19">
        <v>162837</v>
      </c>
      <c r="O126" s="62" t="s">
        <v>97</v>
      </c>
      <c r="P126" s="14" t="s">
        <v>98</v>
      </c>
      <c r="Q126" s="14">
        <v>17.571000000000002</v>
      </c>
      <c r="R126" s="14">
        <v>0.79500000000000004</v>
      </c>
      <c r="S126" s="14" t="s">
        <v>1684</v>
      </c>
      <c r="T126" s="14">
        <v>0.42599999999999999</v>
      </c>
      <c r="U126" s="113">
        <v>19.71</v>
      </c>
      <c r="V126" s="14">
        <v>0.28899999999999998</v>
      </c>
      <c r="W126" s="14">
        <v>0.95099999999999996</v>
      </c>
      <c r="X126" s="14" t="s">
        <v>1686</v>
      </c>
      <c r="Y126" s="14">
        <v>0.89700000000000002</v>
      </c>
      <c r="Z126" s="14">
        <v>2.2160000000000002</v>
      </c>
      <c r="AA126" s="14" t="s">
        <v>1687</v>
      </c>
      <c r="AB126" s="14">
        <v>0.56100000000000005</v>
      </c>
      <c r="AC126" s="14" t="s">
        <v>140</v>
      </c>
      <c r="AD126" s="14" t="s">
        <v>1689</v>
      </c>
    </row>
    <row r="127" spans="1:30" ht="14.25" hidden="1">
      <c r="A127" s="14" t="s">
        <v>52</v>
      </c>
      <c r="B127" s="14" t="s">
        <v>139</v>
      </c>
      <c r="C127" s="14" t="s">
        <v>74</v>
      </c>
      <c r="D127" s="14" t="s">
        <v>164</v>
      </c>
      <c r="E127" s="14" t="s">
        <v>411</v>
      </c>
      <c r="F127" s="14"/>
      <c r="G127" s="14" t="s">
        <v>165</v>
      </c>
      <c r="H127" s="14" t="s">
        <v>1681</v>
      </c>
      <c r="I127" s="14" t="s">
        <v>133</v>
      </c>
      <c r="J127" s="14" t="s">
        <v>218</v>
      </c>
      <c r="K127" s="19">
        <v>218754</v>
      </c>
      <c r="L127" s="14">
        <v>39</v>
      </c>
      <c r="M127" s="19">
        <v>55917</v>
      </c>
      <c r="N127" s="19">
        <v>162837</v>
      </c>
      <c r="O127" s="62" t="s">
        <v>97</v>
      </c>
      <c r="P127" s="14" t="s">
        <v>98</v>
      </c>
      <c r="Q127" s="14">
        <v>25.347999999999999</v>
      </c>
      <c r="R127" s="14">
        <v>0.53100000000000003</v>
      </c>
      <c r="S127" s="14" t="s">
        <v>1814</v>
      </c>
      <c r="T127" s="14" t="s">
        <v>1815</v>
      </c>
      <c r="U127" s="14">
        <v>90.638000000000005</v>
      </c>
      <c r="V127" s="14" t="s">
        <v>1723</v>
      </c>
      <c r="W127" s="14">
        <v>0.38600000000000001</v>
      </c>
      <c r="X127" s="14" t="s">
        <v>1816</v>
      </c>
      <c r="Y127" s="14" t="s">
        <v>1723</v>
      </c>
      <c r="Z127" s="14">
        <v>0.129</v>
      </c>
      <c r="AA127" s="14" t="s">
        <v>1817</v>
      </c>
      <c r="AB127" s="14">
        <v>2.6800000000000001E-2</v>
      </c>
      <c r="AC127" s="14" t="s">
        <v>140</v>
      </c>
      <c r="AD127" s="14" t="s">
        <v>1689</v>
      </c>
    </row>
    <row r="128" spans="1:30" ht="14.25" hidden="1">
      <c r="A128" s="14" t="s">
        <v>52</v>
      </c>
      <c r="B128" s="14" t="s">
        <v>20</v>
      </c>
      <c r="C128" s="14" t="s">
        <v>74</v>
      </c>
      <c r="D128" s="14" t="s">
        <v>75</v>
      </c>
      <c r="E128" s="14" t="s">
        <v>1429</v>
      </c>
      <c r="F128" s="14"/>
      <c r="G128" s="14" t="s">
        <v>113</v>
      </c>
      <c r="H128" s="14" t="s">
        <v>1430</v>
      </c>
      <c r="I128" s="14" t="s">
        <v>1820</v>
      </c>
      <c r="J128" s="14" t="s">
        <v>1821</v>
      </c>
      <c r="K128" s="19">
        <f>M128+N128</f>
        <v>91269</v>
      </c>
      <c r="L128" s="14">
        <v>39</v>
      </c>
      <c r="M128" s="19">
        <v>41719</v>
      </c>
      <c r="N128" s="19">
        <v>49550</v>
      </c>
      <c r="O128" s="14" t="s">
        <v>97</v>
      </c>
      <c r="P128" s="14" t="s">
        <v>129</v>
      </c>
      <c r="Q128" s="14" t="s">
        <v>79</v>
      </c>
      <c r="R128" s="14">
        <v>-0.02</v>
      </c>
      <c r="S128" s="14" t="s">
        <v>134</v>
      </c>
      <c r="T128" s="14">
        <v>0.71099999999999997</v>
      </c>
      <c r="U128" s="14">
        <v>68.492000000000004</v>
      </c>
      <c r="V128" s="14">
        <v>2E-3</v>
      </c>
      <c r="W128" s="14">
        <v>-0.04</v>
      </c>
      <c r="X128" s="14" t="s">
        <v>1434</v>
      </c>
      <c r="Y128" s="14">
        <v>0.54700000000000004</v>
      </c>
      <c r="Z128" s="14" t="s">
        <v>62</v>
      </c>
      <c r="AA128" s="14" t="s">
        <v>62</v>
      </c>
      <c r="AB128" s="14" t="s">
        <v>62</v>
      </c>
      <c r="AC128" s="14" t="s">
        <v>140</v>
      </c>
      <c r="AD128" s="14" t="s">
        <v>145</v>
      </c>
    </row>
    <row r="129" spans="1:30" ht="14.25" hidden="1">
      <c r="A129" s="38" t="s">
        <v>52</v>
      </c>
      <c r="B129" s="38" t="s">
        <v>142</v>
      </c>
      <c r="C129" s="38" t="s">
        <v>74</v>
      </c>
      <c r="D129" s="38" t="s">
        <v>246</v>
      </c>
      <c r="E129" s="38" t="s">
        <v>1206</v>
      </c>
      <c r="F129" s="38"/>
      <c r="G129" s="38" t="s">
        <v>248</v>
      </c>
      <c r="H129" s="38" t="s">
        <v>1208</v>
      </c>
      <c r="I129" s="38" t="s">
        <v>133</v>
      </c>
      <c r="J129" s="38" t="s">
        <v>1209</v>
      </c>
      <c r="K129" s="38" t="s">
        <v>1210</v>
      </c>
      <c r="L129" s="38">
        <v>13</v>
      </c>
      <c r="M129" s="78">
        <v>18382</v>
      </c>
      <c r="N129" s="78">
        <v>27969</v>
      </c>
      <c r="O129" s="38" t="s">
        <v>97</v>
      </c>
      <c r="P129" s="38" t="s">
        <v>98</v>
      </c>
      <c r="Q129" s="38" t="s">
        <v>79</v>
      </c>
      <c r="R129" s="38">
        <v>1.1559999999999999</v>
      </c>
      <c r="S129" s="38" t="s">
        <v>1739</v>
      </c>
      <c r="T129" s="38">
        <v>0.79300000000000004</v>
      </c>
      <c r="U129" s="38" t="s">
        <v>79</v>
      </c>
      <c r="V129" s="38" t="s">
        <v>1220</v>
      </c>
      <c r="W129" s="38">
        <v>0.91</v>
      </c>
      <c r="X129" s="38" t="s">
        <v>1740</v>
      </c>
      <c r="Y129" s="38">
        <v>0.86599999999999999</v>
      </c>
      <c r="Z129" s="38">
        <v>2.508</v>
      </c>
      <c r="AA129" s="38" t="s">
        <v>1741</v>
      </c>
      <c r="AB129" s="38">
        <v>0.89200000000000002</v>
      </c>
      <c r="AC129" s="38" t="s">
        <v>140</v>
      </c>
      <c r="AD129" s="38" t="s">
        <v>112</v>
      </c>
    </row>
    <row r="130" spans="1:30" ht="14.25" hidden="1">
      <c r="A130" s="38" t="s">
        <v>52</v>
      </c>
      <c r="B130" s="38" t="s">
        <v>142</v>
      </c>
      <c r="C130" s="29" t="s">
        <v>74</v>
      </c>
      <c r="D130" s="33" t="s">
        <v>622</v>
      </c>
      <c r="E130" s="38" t="s">
        <v>1206</v>
      </c>
      <c r="F130" s="38"/>
      <c r="G130" s="38" t="s">
        <v>215</v>
      </c>
      <c r="H130" s="38" t="s">
        <v>1208</v>
      </c>
      <c r="I130" s="38" t="s">
        <v>133</v>
      </c>
      <c r="J130" s="38" t="s">
        <v>1209</v>
      </c>
      <c r="K130" s="38" t="s">
        <v>1210</v>
      </c>
      <c r="L130" s="38">
        <v>10</v>
      </c>
      <c r="M130" s="78">
        <v>18382</v>
      </c>
      <c r="N130" s="78">
        <v>27969</v>
      </c>
      <c r="O130" s="38" t="s">
        <v>97</v>
      </c>
      <c r="P130" s="38" t="s">
        <v>98</v>
      </c>
      <c r="Q130" s="38" t="s">
        <v>79</v>
      </c>
      <c r="R130" s="38">
        <v>1.6679999999999999</v>
      </c>
      <c r="S130" s="38" t="s">
        <v>1742</v>
      </c>
      <c r="T130" s="38">
        <v>0.313</v>
      </c>
      <c r="U130" s="38" t="s">
        <v>79</v>
      </c>
      <c r="V130" s="38" t="s">
        <v>1743</v>
      </c>
      <c r="W130" s="38">
        <v>3.0659999999999998</v>
      </c>
      <c r="X130" s="38" t="s">
        <v>1744</v>
      </c>
      <c r="Y130" s="38">
        <v>0.112</v>
      </c>
      <c r="Z130" s="38">
        <v>0.13600000000000001</v>
      </c>
      <c r="AA130" s="38" t="s">
        <v>1745</v>
      </c>
      <c r="AB130" s="38">
        <v>0.69499999999999995</v>
      </c>
      <c r="AC130" s="38" t="s">
        <v>140</v>
      </c>
      <c r="AD130" s="38" t="s">
        <v>112</v>
      </c>
    </row>
    <row r="131" spans="1:30" ht="14.25" hidden="1">
      <c r="A131" s="38" t="s">
        <v>52</v>
      </c>
      <c r="B131" s="38" t="s">
        <v>142</v>
      </c>
      <c r="C131" s="38" t="s">
        <v>74</v>
      </c>
      <c r="D131" s="38" t="s">
        <v>164</v>
      </c>
      <c r="E131" s="38" t="s">
        <v>1206</v>
      </c>
      <c r="F131" s="33"/>
      <c r="G131" s="33" t="s">
        <v>165</v>
      </c>
      <c r="H131" s="38" t="s">
        <v>1208</v>
      </c>
      <c r="I131" s="38" t="s">
        <v>133</v>
      </c>
      <c r="J131" s="38" t="s">
        <v>1209</v>
      </c>
      <c r="K131" s="38" t="s">
        <v>1210</v>
      </c>
      <c r="L131" s="38">
        <v>28</v>
      </c>
      <c r="M131" s="78">
        <v>18382</v>
      </c>
      <c r="N131" s="78">
        <v>27969</v>
      </c>
      <c r="O131" s="38" t="s">
        <v>97</v>
      </c>
      <c r="P131" s="38" t="s">
        <v>98</v>
      </c>
      <c r="Q131" s="38" t="s">
        <v>79</v>
      </c>
      <c r="R131" s="38">
        <v>2.1669999999999998</v>
      </c>
      <c r="S131" s="38" t="s">
        <v>1746</v>
      </c>
      <c r="T131" s="38">
        <v>2E-3</v>
      </c>
      <c r="U131" s="38" t="s">
        <v>79</v>
      </c>
      <c r="V131" s="38">
        <v>0.14899999999999999</v>
      </c>
      <c r="W131" s="38">
        <v>2.2010000000000001</v>
      </c>
      <c r="X131" s="38" t="s">
        <v>1747</v>
      </c>
      <c r="Y131" s="114">
        <v>0.03</v>
      </c>
      <c r="Z131" s="38">
        <v>1.875</v>
      </c>
      <c r="AA131" s="38" t="s">
        <v>1748</v>
      </c>
      <c r="AB131" s="38">
        <v>0.63900000000000001</v>
      </c>
      <c r="AC131" s="38" t="s">
        <v>140</v>
      </c>
      <c r="AD131" s="38" t="s">
        <v>112</v>
      </c>
    </row>
    <row r="132" spans="1:30" ht="14.25" hidden="1">
      <c r="A132" s="14" t="s">
        <v>52</v>
      </c>
      <c r="B132" s="14" t="s">
        <v>20</v>
      </c>
      <c r="C132" s="14" t="s">
        <v>74</v>
      </c>
      <c r="D132" s="14" t="s">
        <v>75</v>
      </c>
      <c r="E132" s="14" t="s">
        <v>1509</v>
      </c>
      <c r="F132" s="97"/>
      <c r="G132" s="14" t="s">
        <v>113</v>
      </c>
      <c r="H132" s="14" t="s">
        <v>1510</v>
      </c>
      <c r="I132" s="14" t="s">
        <v>1846</v>
      </c>
      <c r="J132" s="14" t="s">
        <v>1847</v>
      </c>
      <c r="K132" s="19">
        <f>M132+N132</f>
        <v>51516</v>
      </c>
      <c r="L132" s="14">
        <v>39</v>
      </c>
      <c r="M132" s="19">
        <v>40152</v>
      </c>
      <c r="N132" s="19">
        <v>11364</v>
      </c>
      <c r="O132" s="14" t="s">
        <v>97</v>
      </c>
      <c r="P132" s="14" t="s">
        <v>129</v>
      </c>
      <c r="Q132" s="14" t="s">
        <v>79</v>
      </c>
      <c r="R132" s="14">
        <v>7.0000000000000007E-2</v>
      </c>
      <c r="S132" s="14" t="s">
        <v>1396</v>
      </c>
      <c r="T132" s="14">
        <v>0.17399999999999999</v>
      </c>
      <c r="U132" s="14">
        <v>52.600999999999999</v>
      </c>
      <c r="V132" s="14">
        <v>5.8000000000000003E-2</v>
      </c>
      <c r="W132" s="14">
        <v>0.09</v>
      </c>
      <c r="X132" s="14" t="s">
        <v>1385</v>
      </c>
      <c r="Y132" s="14">
        <v>0.25800000000000001</v>
      </c>
      <c r="Z132" s="14" t="s">
        <v>62</v>
      </c>
      <c r="AA132" s="14" t="s">
        <v>62</v>
      </c>
      <c r="AB132" s="14" t="s">
        <v>62</v>
      </c>
      <c r="AC132" s="14" t="s">
        <v>140</v>
      </c>
      <c r="AD132" s="14" t="s">
        <v>145</v>
      </c>
    </row>
    <row r="133" spans="1:30" ht="14.25" hidden="1">
      <c r="A133" s="23" t="s">
        <v>52</v>
      </c>
      <c r="B133" s="23" t="s">
        <v>148</v>
      </c>
      <c r="C133" s="23" t="s">
        <v>74</v>
      </c>
      <c r="D133" s="23" t="s">
        <v>246</v>
      </c>
      <c r="E133" s="23" t="s">
        <v>1749</v>
      </c>
      <c r="F133" s="23"/>
      <c r="G133" s="23" t="s">
        <v>248</v>
      </c>
      <c r="H133" s="115" t="s">
        <v>1750</v>
      </c>
      <c r="I133" s="23" t="s">
        <v>133</v>
      </c>
      <c r="J133" s="23"/>
      <c r="K133" s="25">
        <v>2597856</v>
      </c>
      <c r="L133" s="23">
        <v>10</v>
      </c>
      <c r="M133" s="25">
        <v>122616</v>
      </c>
      <c r="N133" s="25">
        <v>2475240</v>
      </c>
      <c r="O133" s="23" t="s">
        <v>97</v>
      </c>
      <c r="P133" s="23" t="s">
        <v>98</v>
      </c>
      <c r="Q133" s="23" t="s">
        <v>79</v>
      </c>
      <c r="R133" s="23">
        <v>1.07</v>
      </c>
      <c r="S133" s="23" t="s">
        <v>1751</v>
      </c>
      <c r="T133" s="23">
        <v>0.66700000000000004</v>
      </c>
      <c r="U133" s="23">
        <v>7.593</v>
      </c>
      <c r="V133" s="23">
        <v>0.57599999999999996</v>
      </c>
      <c r="W133" s="23">
        <v>0.95199999999999996</v>
      </c>
      <c r="X133" s="23" t="s">
        <v>1752</v>
      </c>
      <c r="Y133" s="23">
        <v>0.81799999999999995</v>
      </c>
      <c r="Z133" s="23">
        <v>4.3760000000000003</v>
      </c>
      <c r="AA133" s="23" t="s">
        <v>1753</v>
      </c>
      <c r="AB133" s="23">
        <v>0.39300000000000002</v>
      </c>
      <c r="AC133" s="23" t="s">
        <v>1754</v>
      </c>
      <c r="AD133" s="23" t="s">
        <v>145</v>
      </c>
    </row>
    <row r="134" spans="1:30" ht="14.25" hidden="1">
      <c r="A134" s="23" t="s">
        <v>52</v>
      </c>
      <c r="B134" s="23" t="s">
        <v>148</v>
      </c>
      <c r="C134" s="23" t="s">
        <v>74</v>
      </c>
      <c r="D134" s="23" t="s">
        <v>246</v>
      </c>
      <c r="E134" s="23" t="s">
        <v>1755</v>
      </c>
      <c r="F134" s="23"/>
      <c r="G134" s="23" t="s">
        <v>248</v>
      </c>
      <c r="H134" s="23" t="s">
        <v>1750</v>
      </c>
      <c r="I134" s="23" t="s">
        <v>133</v>
      </c>
      <c r="J134" s="23"/>
      <c r="K134" s="25">
        <v>2095324</v>
      </c>
      <c r="L134" s="23">
        <v>10</v>
      </c>
      <c r="M134" s="25">
        <v>32519</v>
      </c>
      <c r="N134" s="25">
        <v>2062805</v>
      </c>
      <c r="O134" s="23" t="s">
        <v>97</v>
      </c>
      <c r="P134" s="23" t="s">
        <v>98</v>
      </c>
      <c r="Q134" s="23" t="s">
        <v>79</v>
      </c>
      <c r="R134" s="23">
        <v>1.36</v>
      </c>
      <c r="S134" s="23" t="s">
        <v>1756</v>
      </c>
      <c r="T134" s="23">
        <v>0.42199999999999999</v>
      </c>
      <c r="U134" s="23">
        <v>11.488</v>
      </c>
      <c r="V134" s="23">
        <v>0.24399999999999999</v>
      </c>
      <c r="W134" s="23">
        <v>0.98899999999999999</v>
      </c>
      <c r="X134" s="23" t="s">
        <v>1757</v>
      </c>
      <c r="Y134" s="23">
        <v>0.98099999999999998</v>
      </c>
      <c r="Z134" s="23">
        <v>363.45100000000002</v>
      </c>
      <c r="AA134" s="23" t="s">
        <v>1758</v>
      </c>
      <c r="AB134" s="23">
        <v>0.154</v>
      </c>
      <c r="AC134" s="23" t="s">
        <v>1754</v>
      </c>
      <c r="AD134" s="23" t="s">
        <v>145</v>
      </c>
    </row>
    <row r="135" spans="1:30" ht="14.25" hidden="1">
      <c r="A135" s="23" t="s">
        <v>52</v>
      </c>
      <c r="B135" s="23" t="s">
        <v>148</v>
      </c>
      <c r="C135" s="23" t="s">
        <v>74</v>
      </c>
      <c r="D135" s="23" t="s">
        <v>246</v>
      </c>
      <c r="E135" s="23" t="s">
        <v>1762</v>
      </c>
      <c r="F135" s="23"/>
      <c r="G135" s="23" t="s">
        <v>248</v>
      </c>
      <c r="H135" s="23" t="s">
        <v>1750</v>
      </c>
      <c r="I135" s="23" t="s">
        <v>133</v>
      </c>
      <c r="J135" s="23"/>
      <c r="K135" s="25">
        <v>1086211</v>
      </c>
      <c r="L135" s="23">
        <v>10</v>
      </c>
      <c r="M135" s="25">
        <v>13769</v>
      </c>
      <c r="N135" s="25">
        <v>1072442</v>
      </c>
      <c r="O135" s="23" t="s">
        <v>97</v>
      </c>
      <c r="P135" s="23" t="s">
        <v>98</v>
      </c>
      <c r="Q135" s="23" t="s">
        <v>79</v>
      </c>
      <c r="R135" s="23">
        <v>1.37</v>
      </c>
      <c r="S135" s="23" t="s">
        <v>1763</v>
      </c>
      <c r="T135" s="23">
        <v>0.61499999999999999</v>
      </c>
      <c r="U135" s="23">
        <v>13.803000000000001</v>
      </c>
      <c r="V135" s="23">
        <v>0.129</v>
      </c>
      <c r="W135" s="23">
        <v>0.40799999999999997</v>
      </c>
      <c r="X135" s="23" t="s">
        <v>1764</v>
      </c>
      <c r="Y135" s="23">
        <v>0.221</v>
      </c>
      <c r="Z135" s="23">
        <v>0.246</v>
      </c>
      <c r="AA135" s="23" t="s">
        <v>1765</v>
      </c>
      <c r="AB135" s="23">
        <v>0.84</v>
      </c>
      <c r="AC135" s="23" t="s">
        <v>1754</v>
      </c>
      <c r="AD135" s="23" t="s">
        <v>145</v>
      </c>
    </row>
    <row r="136" spans="1:30" ht="14.25" hidden="1">
      <c r="A136" s="23" t="s">
        <v>52</v>
      </c>
      <c r="B136" s="23" t="s">
        <v>148</v>
      </c>
      <c r="C136" s="23" t="s">
        <v>74</v>
      </c>
      <c r="D136" s="23" t="s">
        <v>622</v>
      </c>
      <c r="E136" s="23" t="s">
        <v>1749</v>
      </c>
      <c r="F136" s="23"/>
      <c r="G136" s="23" t="s">
        <v>215</v>
      </c>
      <c r="H136" s="23" t="s">
        <v>1750</v>
      </c>
      <c r="I136" s="23" t="s">
        <v>133</v>
      </c>
      <c r="J136" s="23"/>
      <c r="K136" s="25">
        <v>2597856</v>
      </c>
      <c r="L136" s="23">
        <v>8</v>
      </c>
      <c r="M136" s="23">
        <v>122616</v>
      </c>
      <c r="N136" s="23">
        <v>2475240</v>
      </c>
      <c r="O136" s="23" t="s">
        <v>97</v>
      </c>
      <c r="P136" s="23" t="s">
        <v>98</v>
      </c>
      <c r="Q136" s="23" t="s">
        <v>79</v>
      </c>
      <c r="R136" s="23">
        <v>0.95</v>
      </c>
      <c r="S136" s="23" t="s">
        <v>1766</v>
      </c>
      <c r="T136" s="23">
        <v>0.88800000000000001</v>
      </c>
      <c r="U136" s="116">
        <v>22.91</v>
      </c>
      <c r="V136" s="23">
        <v>2E-3</v>
      </c>
      <c r="W136" s="23">
        <v>0.59699999999999998</v>
      </c>
      <c r="X136" s="23" t="s">
        <v>1767</v>
      </c>
      <c r="Y136" s="23">
        <v>0.115</v>
      </c>
      <c r="Z136" s="23">
        <v>0.65800000000000003</v>
      </c>
      <c r="AA136" s="23" t="s">
        <v>1768</v>
      </c>
      <c r="AB136" s="23">
        <v>0.88100000000000001</v>
      </c>
      <c r="AC136" s="23" t="s">
        <v>1754</v>
      </c>
      <c r="AD136" s="23" t="s">
        <v>145</v>
      </c>
    </row>
    <row r="137" spans="1:30" ht="14.25" hidden="1">
      <c r="A137" s="23" t="s">
        <v>52</v>
      </c>
      <c r="B137" s="23" t="s">
        <v>148</v>
      </c>
      <c r="C137" s="23" t="s">
        <v>74</v>
      </c>
      <c r="D137" s="23" t="s">
        <v>622</v>
      </c>
      <c r="E137" s="23" t="s">
        <v>1755</v>
      </c>
      <c r="F137" s="23"/>
      <c r="G137" s="23" t="s">
        <v>215</v>
      </c>
      <c r="H137" s="23" t="s">
        <v>1750</v>
      </c>
      <c r="I137" s="23" t="s">
        <v>133</v>
      </c>
      <c r="J137" s="23"/>
      <c r="K137" s="25">
        <v>2095324</v>
      </c>
      <c r="L137" s="23">
        <v>8</v>
      </c>
      <c r="M137" s="25">
        <v>32519</v>
      </c>
      <c r="N137" s="23">
        <v>2062805</v>
      </c>
      <c r="O137" s="23" t="s">
        <v>97</v>
      </c>
      <c r="P137" s="23" t="s">
        <v>98</v>
      </c>
      <c r="Q137" s="23" t="s">
        <v>79</v>
      </c>
      <c r="R137" s="23">
        <v>1.04</v>
      </c>
      <c r="S137" s="23" t="s">
        <v>1769</v>
      </c>
      <c r="T137" s="23">
        <v>0.95799999999999996</v>
      </c>
      <c r="U137" s="23">
        <v>19.873000000000001</v>
      </c>
      <c r="V137" s="23">
        <v>6.0000000000000001E-3</v>
      </c>
      <c r="W137" s="23">
        <v>1.0189999999999999</v>
      </c>
      <c r="X137" s="23" t="s">
        <v>1770</v>
      </c>
      <c r="Y137" s="23">
        <v>0.97699999999999998</v>
      </c>
      <c r="Z137" s="23">
        <v>195.63800000000001</v>
      </c>
      <c r="AA137" s="23" t="s">
        <v>1771</v>
      </c>
      <c r="AB137" s="23">
        <v>0.32</v>
      </c>
      <c r="AC137" s="23" t="s">
        <v>1754</v>
      </c>
      <c r="AD137" s="23" t="s">
        <v>145</v>
      </c>
    </row>
    <row r="138" spans="1:30" ht="14.25" hidden="1">
      <c r="A138" s="23" t="s">
        <v>52</v>
      </c>
      <c r="B138" s="23" t="s">
        <v>148</v>
      </c>
      <c r="C138" s="23" t="s">
        <v>74</v>
      </c>
      <c r="D138" s="23" t="s">
        <v>622</v>
      </c>
      <c r="E138" s="23" t="s">
        <v>1762</v>
      </c>
      <c r="F138" s="23"/>
      <c r="G138" s="23" t="s">
        <v>215</v>
      </c>
      <c r="H138" s="23" t="s">
        <v>1750</v>
      </c>
      <c r="I138" s="23" t="s">
        <v>133</v>
      </c>
      <c r="J138" s="23"/>
      <c r="K138" s="25">
        <v>1086211</v>
      </c>
      <c r="L138" s="25">
        <v>8</v>
      </c>
      <c r="M138" s="25">
        <v>13769</v>
      </c>
      <c r="N138" s="23">
        <v>1072442</v>
      </c>
      <c r="O138" s="23" t="s">
        <v>97</v>
      </c>
      <c r="P138" s="23" t="s">
        <v>98</v>
      </c>
      <c r="Q138" s="23" t="s">
        <v>79</v>
      </c>
      <c r="R138" s="23">
        <v>0.99</v>
      </c>
      <c r="S138" s="23" t="s">
        <v>1775</v>
      </c>
      <c r="T138" s="23">
        <v>0.98299999999999998</v>
      </c>
      <c r="U138" s="23">
        <v>6.8289999999999997</v>
      </c>
      <c r="V138" s="23">
        <v>0.44700000000000001</v>
      </c>
      <c r="W138" s="23">
        <v>0.93400000000000005</v>
      </c>
      <c r="X138" s="23" t="s">
        <v>1777</v>
      </c>
      <c r="Y138" s="23">
        <v>0.94299999999999995</v>
      </c>
      <c r="Z138" s="23">
        <v>19.099</v>
      </c>
      <c r="AA138" s="23" t="s">
        <v>1778</v>
      </c>
      <c r="AB138" s="116">
        <v>0.53</v>
      </c>
      <c r="AC138" s="23" t="s">
        <v>1754</v>
      </c>
      <c r="AD138" s="23" t="s">
        <v>145</v>
      </c>
    </row>
    <row r="139" spans="1:30" ht="14.25" hidden="1">
      <c r="A139" s="23" t="s">
        <v>52</v>
      </c>
      <c r="B139" s="23" t="s">
        <v>148</v>
      </c>
      <c r="C139" s="23" t="s">
        <v>74</v>
      </c>
      <c r="D139" s="23" t="s">
        <v>164</v>
      </c>
      <c r="E139" s="23" t="s">
        <v>1749</v>
      </c>
      <c r="F139" s="23"/>
      <c r="G139" s="23" t="s">
        <v>165</v>
      </c>
      <c r="H139" s="23" t="s">
        <v>1750</v>
      </c>
      <c r="I139" s="23" t="s">
        <v>133</v>
      </c>
      <c r="J139" s="23"/>
      <c r="K139" s="25">
        <v>2597856</v>
      </c>
      <c r="L139" s="23">
        <v>29</v>
      </c>
      <c r="M139" s="23">
        <v>122616</v>
      </c>
      <c r="N139" s="23">
        <v>2475240</v>
      </c>
      <c r="O139" s="23" t="s">
        <v>97</v>
      </c>
      <c r="P139" s="23" t="s">
        <v>98</v>
      </c>
      <c r="Q139" s="23" t="s">
        <v>79</v>
      </c>
      <c r="R139" s="23">
        <v>1.21</v>
      </c>
      <c r="S139" s="23" t="s">
        <v>1783</v>
      </c>
      <c r="T139" s="23">
        <v>8.4000000000000005E-2</v>
      </c>
      <c r="U139" s="23">
        <v>45.494999999999997</v>
      </c>
      <c r="V139" s="116">
        <v>0.02</v>
      </c>
      <c r="W139" s="23">
        <v>1.2310000000000001</v>
      </c>
      <c r="X139" s="23" t="s">
        <v>1786</v>
      </c>
      <c r="Y139" s="23">
        <v>0.122</v>
      </c>
      <c r="Z139" s="23">
        <v>1.0680000000000001</v>
      </c>
      <c r="AA139" s="23" t="s">
        <v>1787</v>
      </c>
      <c r="AB139" s="23">
        <v>0.91700000000000004</v>
      </c>
      <c r="AC139" s="23" t="s">
        <v>1754</v>
      </c>
      <c r="AD139" s="23" t="s">
        <v>145</v>
      </c>
    </row>
    <row r="140" spans="1:30" ht="14.25" hidden="1">
      <c r="A140" s="23" t="s">
        <v>52</v>
      </c>
      <c r="B140" s="23" t="s">
        <v>148</v>
      </c>
      <c r="C140" s="23" t="s">
        <v>74</v>
      </c>
      <c r="D140" s="23" t="s">
        <v>164</v>
      </c>
      <c r="E140" s="23" t="s">
        <v>1755</v>
      </c>
      <c r="F140" s="23"/>
      <c r="G140" s="23" t="s">
        <v>165</v>
      </c>
      <c r="H140" s="23" t="s">
        <v>1750</v>
      </c>
      <c r="I140" s="23" t="s">
        <v>133</v>
      </c>
      <c r="J140" s="23"/>
      <c r="K140" s="25">
        <v>2095324</v>
      </c>
      <c r="L140" s="23">
        <v>29</v>
      </c>
      <c r="M140" s="23">
        <v>32519</v>
      </c>
      <c r="N140" s="23">
        <v>2062805</v>
      </c>
      <c r="O140" s="23" t="s">
        <v>97</v>
      </c>
      <c r="P140" s="23" t="s">
        <v>98</v>
      </c>
      <c r="Q140" s="23" t="s">
        <v>79</v>
      </c>
      <c r="R140" s="23">
        <v>2.08</v>
      </c>
      <c r="S140" s="23" t="s">
        <v>1791</v>
      </c>
      <c r="T140" s="23">
        <v>1E-3</v>
      </c>
      <c r="U140" s="23">
        <v>37.896000000000001</v>
      </c>
      <c r="V140" s="116">
        <v>0.1</v>
      </c>
      <c r="W140" s="23">
        <v>2.1749999999999998</v>
      </c>
      <c r="X140" s="23" t="s">
        <v>1792</v>
      </c>
      <c r="Y140" s="23">
        <v>5.0000000000000001E-3</v>
      </c>
      <c r="Z140" s="23">
        <v>1.6220000000000001</v>
      </c>
      <c r="AA140" s="23" t="s">
        <v>1793</v>
      </c>
      <c r="AB140" s="23">
        <v>0.69799999999999995</v>
      </c>
      <c r="AC140" s="23" t="s">
        <v>1754</v>
      </c>
      <c r="AD140" s="23" t="s">
        <v>145</v>
      </c>
    </row>
    <row r="141" spans="1:30" ht="14.25" hidden="1">
      <c r="A141" s="23" t="s">
        <v>52</v>
      </c>
      <c r="B141" s="23" t="s">
        <v>148</v>
      </c>
      <c r="C141" s="23" t="s">
        <v>74</v>
      </c>
      <c r="D141" s="23" t="s">
        <v>164</v>
      </c>
      <c r="E141" s="23" t="s">
        <v>1762</v>
      </c>
      <c r="F141" s="23"/>
      <c r="G141" s="23" t="s">
        <v>165</v>
      </c>
      <c r="H141" s="23" t="s">
        <v>1750</v>
      </c>
      <c r="I141" s="23" t="s">
        <v>133</v>
      </c>
      <c r="J141" s="23"/>
      <c r="K141" s="25">
        <v>1086211</v>
      </c>
      <c r="L141" s="23">
        <v>29</v>
      </c>
      <c r="M141" s="23">
        <v>13769</v>
      </c>
      <c r="N141" s="23">
        <v>1072442</v>
      </c>
      <c r="O141" s="23" t="s">
        <v>97</v>
      </c>
      <c r="P141" s="23" t="s">
        <v>98</v>
      </c>
      <c r="Q141" s="23" t="s">
        <v>79</v>
      </c>
      <c r="R141" s="23">
        <v>1.98</v>
      </c>
      <c r="S141" s="23" t="s">
        <v>1798</v>
      </c>
      <c r="T141" s="23">
        <v>1.2E-2</v>
      </c>
      <c r="U141" s="23">
        <v>27.733000000000001</v>
      </c>
      <c r="V141" s="23">
        <v>0.47899999999999998</v>
      </c>
      <c r="W141" s="23">
        <v>1.633</v>
      </c>
      <c r="X141" s="23" t="s">
        <v>1799</v>
      </c>
      <c r="Y141" s="23">
        <v>0.20300000000000001</v>
      </c>
      <c r="Z141" s="23">
        <v>5.6779999999999999</v>
      </c>
      <c r="AA141" s="23" t="s">
        <v>1800</v>
      </c>
      <c r="AB141" s="23">
        <v>0.27900000000000003</v>
      </c>
      <c r="AC141" s="23" t="s">
        <v>1754</v>
      </c>
      <c r="AD141" s="23" t="s">
        <v>145</v>
      </c>
    </row>
    <row r="142" spans="1:30" ht="14.25" hidden="1">
      <c r="A142" s="14" t="s">
        <v>52</v>
      </c>
      <c r="B142" s="14" t="s">
        <v>20</v>
      </c>
      <c r="C142" s="14" t="s">
        <v>74</v>
      </c>
      <c r="D142" s="14" t="s">
        <v>75</v>
      </c>
      <c r="E142" s="14" t="s">
        <v>1490</v>
      </c>
      <c r="F142" s="14"/>
      <c r="G142" s="14" t="s">
        <v>113</v>
      </c>
      <c r="H142" s="14" t="s">
        <v>1491</v>
      </c>
      <c r="I142" s="14" t="s">
        <v>1918</v>
      </c>
      <c r="J142" s="14" t="s">
        <v>1919</v>
      </c>
      <c r="K142" s="19">
        <f>M142+N142</f>
        <v>105396</v>
      </c>
      <c r="L142" s="14">
        <v>39</v>
      </c>
      <c r="M142" s="19">
        <v>72887</v>
      </c>
      <c r="N142" s="19">
        <v>32509</v>
      </c>
      <c r="O142" s="14" t="s">
        <v>97</v>
      </c>
      <c r="P142" s="14" t="s">
        <v>129</v>
      </c>
      <c r="Q142" s="14" t="s">
        <v>79</v>
      </c>
      <c r="R142" s="14" t="s">
        <v>1403</v>
      </c>
      <c r="S142" s="14" t="s">
        <v>131</v>
      </c>
      <c r="T142" s="14">
        <v>0.27400000000000002</v>
      </c>
      <c r="U142" s="14">
        <v>42.363999999999997</v>
      </c>
      <c r="V142" s="14">
        <v>0.28799999999999998</v>
      </c>
      <c r="W142" s="14">
        <v>-0.08</v>
      </c>
      <c r="X142" s="14" t="s">
        <v>134</v>
      </c>
      <c r="Y142" s="14">
        <v>0.16700000000000001</v>
      </c>
      <c r="Z142" s="14" t="s">
        <v>62</v>
      </c>
      <c r="AA142" s="14" t="s">
        <v>62</v>
      </c>
      <c r="AB142" s="14" t="s">
        <v>62</v>
      </c>
      <c r="AC142" s="14" t="s">
        <v>140</v>
      </c>
      <c r="AD142" s="14" t="s">
        <v>145</v>
      </c>
    </row>
    <row r="143" spans="1:30" ht="14.25" hidden="1">
      <c r="A143" s="33" t="s">
        <v>52</v>
      </c>
      <c r="B143" s="33" t="s">
        <v>163</v>
      </c>
      <c r="C143" s="33" t="s">
        <v>74</v>
      </c>
      <c r="D143" s="33" t="s">
        <v>363</v>
      </c>
      <c r="E143" s="33" t="s">
        <v>1923</v>
      </c>
      <c r="F143" s="33"/>
      <c r="G143" s="33" t="s">
        <v>113</v>
      </c>
      <c r="H143" s="33" t="s">
        <v>79</v>
      </c>
      <c r="I143" s="33" t="s">
        <v>133</v>
      </c>
      <c r="J143" s="33" t="s">
        <v>218</v>
      </c>
      <c r="K143" s="35">
        <f>N143+M143</f>
        <v>276101</v>
      </c>
      <c r="L143" s="33">
        <v>56</v>
      </c>
      <c r="M143" s="33">
        <v>2659</v>
      </c>
      <c r="N143" s="33">
        <v>273442</v>
      </c>
      <c r="O143" s="33" t="s">
        <v>97</v>
      </c>
      <c r="P143" s="33" t="s">
        <v>98</v>
      </c>
      <c r="Q143" s="35">
        <v>45242</v>
      </c>
      <c r="R143" s="39" t="s">
        <v>1927</v>
      </c>
      <c r="S143" s="33" t="s">
        <v>1928</v>
      </c>
      <c r="T143" s="33">
        <v>0.14000000000000001</v>
      </c>
      <c r="U143" s="33" t="s">
        <v>79</v>
      </c>
      <c r="V143" s="33">
        <v>0.06</v>
      </c>
      <c r="W143" s="33" t="s">
        <v>1929</v>
      </c>
      <c r="X143" s="33" t="s">
        <v>1930</v>
      </c>
      <c r="Y143" s="33">
        <v>0.95299999999999996</v>
      </c>
      <c r="Z143" s="33" t="s">
        <v>1933</v>
      </c>
      <c r="AA143" s="33" t="s">
        <v>1934</v>
      </c>
      <c r="AB143" s="33">
        <v>0.21</v>
      </c>
      <c r="AC143" s="33" t="s">
        <v>140</v>
      </c>
      <c r="AD143" s="33" t="s">
        <v>385</v>
      </c>
    </row>
    <row r="144" spans="1:30" ht="14.25" hidden="1">
      <c r="A144" s="23" t="s">
        <v>52</v>
      </c>
      <c r="B144" s="23" t="s">
        <v>71</v>
      </c>
      <c r="C144" s="23" t="s">
        <v>74</v>
      </c>
      <c r="D144" s="23" t="s">
        <v>75</v>
      </c>
      <c r="E144" s="23" t="s">
        <v>1938</v>
      </c>
      <c r="F144" s="23"/>
      <c r="G144" s="23" t="s">
        <v>113</v>
      </c>
      <c r="H144" s="23" t="s">
        <v>1939</v>
      </c>
      <c r="I144" s="23" t="s">
        <v>133</v>
      </c>
      <c r="J144" s="23" t="s">
        <v>218</v>
      </c>
      <c r="K144" s="23">
        <v>198.441</v>
      </c>
      <c r="L144" s="23">
        <v>55</v>
      </c>
      <c r="M144" s="23" t="s">
        <v>79</v>
      </c>
      <c r="N144" s="23" t="s">
        <v>79</v>
      </c>
      <c r="O144" s="23" t="s">
        <v>97</v>
      </c>
      <c r="P144" s="23" t="s">
        <v>98</v>
      </c>
      <c r="Q144" s="23" t="s">
        <v>79</v>
      </c>
      <c r="R144" s="23" t="s">
        <v>946</v>
      </c>
      <c r="S144" s="23" t="s">
        <v>1940</v>
      </c>
      <c r="T144" s="23" t="s">
        <v>1941</v>
      </c>
      <c r="U144" s="23" t="s">
        <v>62</v>
      </c>
      <c r="V144" s="23" t="s">
        <v>62</v>
      </c>
      <c r="W144" s="23" t="s">
        <v>62</v>
      </c>
      <c r="X144" s="23" t="s">
        <v>62</v>
      </c>
      <c r="Y144" s="23" t="s">
        <v>62</v>
      </c>
      <c r="Z144" s="23" t="s">
        <v>62</v>
      </c>
      <c r="AA144" s="23" t="s">
        <v>62</v>
      </c>
      <c r="AB144" s="23" t="s">
        <v>62</v>
      </c>
      <c r="AC144" s="23" t="s">
        <v>140</v>
      </c>
      <c r="AD144" s="23" t="s">
        <v>145</v>
      </c>
    </row>
    <row r="145" spans="1:30" ht="14.25" hidden="1">
      <c r="A145" s="33" t="s">
        <v>52</v>
      </c>
      <c r="B145" s="33" t="s">
        <v>66</v>
      </c>
      <c r="C145" s="33" t="s">
        <v>74</v>
      </c>
      <c r="D145" s="33" t="s">
        <v>75</v>
      </c>
      <c r="E145" s="33" t="s">
        <v>128</v>
      </c>
      <c r="F145" s="33"/>
      <c r="G145" s="33" t="s">
        <v>113</v>
      </c>
      <c r="H145" s="33" t="s">
        <v>1945</v>
      </c>
      <c r="I145" s="33" t="s">
        <v>133</v>
      </c>
      <c r="J145" s="33" t="s">
        <v>256</v>
      </c>
      <c r="K145" s="35">
        <v>26554</v>
      </c>
      <c r="L145" s="33">
        <v>51</v>
      </c>
      <c r="M145" s="35">
        <v>11895</v>
      </c>
      <c r="N145" s="35">
        <v>14659</v>
      </c>
      <c r="O145" s="33" t="s">
        <v>97</v>
      </c>
      <c r="P145" s="33" t="s">
        <v>98</v>
      </c>
      <c r="Q145" s="33">
        <v>46.191000000000003</v>
      </c>
      <c r="R145" s="33">
        <v>0.51300000000000001</v>
      </c>
      <c r="S145" s="33" t="s">
        <v>1946</v>
      </c>
      <c r="T145" s="33">
        <v>3.7999999999999999E-2</v>
      </c>
      <c r="U145" s="33">
        <v>54.003</v>
      </c>
      <c r="V145" s="33">
        <v>0.32400000000000001</v>
      </c>
      <c r="W145" s="33">
        <v>0.47399999999999998</v>
      </c>
      <c r="X145" s="33" t="s">
        <v>1947</v>
      </c>
      <c r="Y145" s="33">
        <v>0.127</v>
      </c>
      <c r="Z145" s="33">
        <v>0.53900000000000003</v>
      </c>
      <c r="AA145" s="33" t="s">
        <v>1949</v>
      </c>
      <c r="AB145" s="33">
        <v>0.60199999999999998</v>
      </c>
      <c r="AC145" s="33" t="s">
        <v>140</v>
      </c>
      <c r="AD145" s="33" t="s">
        <v>204</v>
      </c>
    </row>
    <row r="146" spans="1:30" ht="14.25">
      <c r="A146" s="49" t="s">
        <v>52</v>
      </c>
      <c r="B146" s="49" t="s">
        <v>135</v>
      </c>
      <c r="C146" s="49" t="s">
        <v>74</v>
      </c>
      <c r="D146" s="49" t="s">
        <v>75</v>
      </c>
      <c r="E146" s="49" t="s">
        <v>1650</v>
      </c>
      <c r="F146" s="49">
        <v>5</v>
      </c>
      <c r="G146" s="49" t="s">
        <v>113</v>
      </c>
      <c r="H146" s="49" t="s">
        <v>1651</v>
      </c>
      <c r="I146" s="49" t="s">
        <v>133</v>
      </c>
      <c r="J146" s="49" t="s">
        <v>218</v>
      </c>
      <c r="K146" s="50">
        <v>193638</v>
      </c>
      <c r="L146" s="49">
        <v>53</v>
      </c>
      <c r="M146" s="49">
        <v>6915</v>
      </c>
      <c r="N146" s="50">
        <v>186723</v>
      </c>
      <c r="O146" s="49" t="s">
        <v>97</v>
      </c>
      <c r="P146" s="49" t="s">
        <v>98</v>
      </c>
      <c r="Q146" s="49" t="s">
        <v>79</v>
      </c>
      <c r="R146" s="49">
        <v>0.48399999999999999</v>
      </c>
      <c r="S146" s="49" t="s">
        <v>1709</v>
      </c>
      <c r="T146" s="49">
        <v>0.10299999999999999</v>
      </c>
      <c r="U146" s="49" t="s">
        <v>79</v>
      </c>
      <c r="V146" s="124">
        <v>1.9150000000000001E-5</v>
      </c>
      <c r="W146" s="49">
        <v>0.58599999999999997</v>
      </c>
      <c r="X146" s="49" t="s">
        <v>1710</v>
      </c>
      <c r="Y146" s="49">
        <v>0.27800000000000002</v>
      </c>
      <c r="Z146" s="49">
        <v>0.97199999999999998</v>
      </c>
      <c r="AA146" s="49" t="s">
        <v>1711</v>
      </c>
      <c r="AB146" s="49">
        <v>0.98499999999999999</v>
      </c>
      <c r="AC146" s="49" t="s">
        <v>140</v>
      </c>
      <c r="AD146" s="49" t="s">
        <v>145</v>
      </c>
    </row>
    <row r="147" spans="1:30" ht="14.25">
      <c r="A147" s="29" t="s">
        <v>52</v>
      </c>
      <c r="B147" s="29" t="s">
        <v>153</v>
      </c>
      <c r="C147" s="29" t="s">
        <v>74</v>
      </c>
      <c r="D147" s="29" t="s">
        <v>75</v>
      </c>
      <c r="E147" s="29" t="s">
        <v>1650</v>
      </c>
      <c r="F147" s="29">
        <v>5</v>
      </c>
      <c r="G147" s="29" t="s">
        <v>113</v>
      </c>
      <c r="H147" s="29"/>
      <c r="I147" s="29" t="s">
        <v>133</v>
      </c>
      <c r="J147" s="29" t="s">
        <v>1078</v>
      </c>
      <c r="K147" s="29">
        <f>M147+N147</f>
        <v>299999</v>
      </c>
      <c r="L147" s="29">
        <v>43</v>
      </c>
      <c r="M147" s="29">
        <v>16410</v>
      </c>
      <c r="N147" s="29">
        <v>283589</v>
      </c>
      <c r="O147" s="29" t="s">
        <v>97</v>
      </c>
      <c r="P147" s="29" t="s">
        <v>98</v>
      </c>
      <c r="Q147" s="29" t="s">
        <v>79</v>
      </c>
      <c r="R147" s="29" t="s">
        <v>1241</v>
      </c>
      <c r="S147" s="29" t="s">
        <v>1822</v>
      </c>
      <c r="T147" s="29" t="s">
        <v>1823</v>
      </c>
      <c r="U147" s="29" t="s">
        <v>79</v>
      </c>
      <c r="V147" s="29">
        <v>0.106</v>
      </c>
      <c r="W147" s="29" t="s">
        <v>1824</v>
      </c>
      <c r="X147" s="29" t="s">
        <v>1825</v>
      </c>
      <c r="Y147" s="29" t="s">
        <v>1826</v>
      </c>
      <c r="Z147" s="29" t="s">
        <v>1827</v>
      </c>
      <c r="AA147" s="29" t="s">
        <v>1828</v>
      </c>
      <c r="AB147" s="29" t="s">
        <v>1829</v>
      </c>
      <c r="AC147" s="29" t="s">
        <v>140</v>
      </c>
      <c r="AD147" s="29" t="s">
        <v>145</v>
      </c>
    </row>
    <row r="148" spans="1:30" ht="14.25" hidden="1">
      <c r="A148" s="23" t="s">
        <v>52</v>
      </c>
      <c r="B148" s="23" t="s">
        <v>148</v>
      </c>
      <c r="C148" s="23" t="s">
        <v>74</v>
      </c>
      <c r="D148" s="23" t="s">
        <v>75</v>
      </c>
      <c r="E148" s="23" t="s">
        <v>1755</v>
      </c>
      <c r="F148" s="23"/>
      <c r="G148" s="23" t="s">
        <v>113</v>
      </c>
      <c r="H148" s="23" t="s">
        <v>1750</v>
      </c>
      <c r="I148" s="23" t="s">
        <v>133</v>
      </c>
      <c r="J148" s="23"/>
      <c r="K148" s="25">
        <v>2095324</v>
      </c>
      <c r="L148" s="23">
        <v>32</v>
      </c>
      <c r="M148" s="23">
        <v>32519</v>
      </c>
      <c r="N148" s="23">
        <v>2062805</v>
      </c>
      <c r="O148" s="23" t="s">
        <v>97</v>
      </c>
      <c r="P148" s="23" t="s">
        <v>98</v>
      </c>
      <c r="Q148" s="23" t="s">
        <v>79</v>
      </c>
      <c r="R148" s="23">
        <v>1.51</v>
      </c>
      <c r="S148" s="23" t="s">
        <v>1806</v>
      </c>
      <c r="T148" s="116">
        <v>0.16</v>
      </c>
      <c r="U148" s="23">
        <v>52.908000000000001</v>
      </c>
      <c r="V148" s="23">
        <v>8.0000000000000002E-3</v>
      </c>
      <c r="W148" s="23">
        <v>1.3080000000000001</v>
      </c>
      <c r="X148" s="23" t="s">
        <v>1807</v>
      </c>
      <c r="Y148" s="23">
        <v>0.45900000000000002</v>
      </c>
      <c r="Z148" s="23">
        <v>2.1139999999999999</v>
      </c>
      <c r="AA148" s="23" t="s">
        <v>1808</v>
      </c>
      <c r="AB148" s="23">
        <v>0.51900000000000002</v>
      </c>
      <c r="AC148" s="23" t="s">
        <v>1754</v>
      </c>
      <c r="AD148" s="23" t="s">
        <v>145</v>
      </c>
    </row>
    <row r="149" spans="1:30" ht="14.25" hidden="1">
      <c r="A149" s="29" t="s">
        <v>52</v>
      </c>
      <c r="B149" s="29" t="s">
        <v>153</v>
      </c>
      <c r="C149" s="29" t="s">
        <v>74</v>
      </c>
      <c r="D149" s="29" t="s">
        <v>164</v>
      </c>
      <c r="E149" s="29" t="s">
        <v>1650</v>
      </c>
      <c r="F149" s="29"/>
      <c r="G149" s="29" t="s">
        <v>165</v>
      </c>
      <c r="H149" s="29"/>
      <c r="I149" s="29" t="s">
        <v>133</v>
      </c>
      <c r="J149" s="29" t="s">
        <v>1078</v>
      </c>
      <c r="K149" s="29">
        <f t="shared" ref="K149:K152" si="19">M149+N149</f>
        <v>299999</v>
      </c>
      <c r="L149" s="29">
        <v>31</v>
      </c>
      <c r="M149" s="29">
        <v>16410</v>
      </c>
      <c r="N149" s="29">
        <v>283589</v>
      </c>
      <c r="O149" s="29" t="s">
        <v>97</v>
      </c>
      <c r="P149" s="29" t="s">
        <v>98</v>
      </c>
      <c r="Q149" s="29" t="s">
        <v>79</v>
      </c>
      <c r="R149" s="29" t="s">
        <v>1980</v>
      </c>
      <c r="S149" s="29" t="s">
        <v>1981</v>
      </c>
      <c r="T149" s="29" t="s">
        <v>1165</v>
      </c>
      <c r="U149" s="29" t="s">
        <v>79</v>
      </c>
      <c r="V149" s="29">
        <v>0.95099999999999996</v>
      </c>
      <c r="W149" s="29" t="s">
        <v>1837</v>
      </c>
      <c r="X149" s="29" t="s">
        <v>1982</v>
      </c>
      <c r="Y149" s="29" t="s">
        <v>1983</v>
      </c>
      <c r="Z149" s="29" t="s">
        <v>1611</v>
      </c>
      <c r="AA149" s="29" t="s">
        <v>1984</v>
      </c>
      <c r="AB149" s="29" t="s">
        <v>1985</v>
      </c>
      <c r="AC149" s="29" t="s">
        <v>140</v>
      </c>
      <c r="AD149" s="29" t="s">
        <v>145</v>
      </c>
    </row>
    <row r="150" spans="1:30" ht="14.25" hidden="1">
      <c r="A150" s="29" t="s">
        <v>52</v>
      </c>
      <c r="B150" s="29" t="s">
        <v>153</v>
      </c>
      <c r="C150" s="29" t="s">
        <v>74</v>
      </c>
      <c r="D150" s="29" t="s">
        <v>164</v>
      </c>
      <c r="E150" s="29" t="s">
        <v>170</v>
      </c>
      <c r="F150" s="29"/>
      <c r="G150" s="29" t="s">
        <v>165</v>
      </c>
      <c r="H150" s="29"/>
      <c r="I150" s="29" t="s">
        <v>133</v>
      </c>
      <c r="J150" s="29" t="s">
        <v>1078</v>
      </c>
      <c r="K150" s="29">
        <f t="shared" si="19"/>
        <v>224365</v>
      </c>
      <c r="L150" s="29">
        <v>31</v>
      </c>
      <c r="M150" s="29">
        <v>37253</v>
      </c>
      <c r="N150" s="29">
        <v>187112</v>
      </c>
      <c r="O150" s="29" t="s">
        <v>97</v>
      </c>
      <c r="P150" s="29" t="s">
        <v>98</v>
      </c>
      <c r="Q150" s="29" t="s">
        <v>79</v>
      </c>
      <c r="R150" s="29" t="s">
        <v>1850</v>
      </c>
      <c r="S150" s="29" t="s">
        <v>1851</v>
      </c>
      <c r="T150" s="29" t="s">
        <v>1165</v>
      </c>
      <c r="U150" s="29" t="s">
        <v>79</v>
      </c>
      <c r="V150" s="29">
        <v>0.184</v>
      </c>
      <c r="W150" s="29" t="s">
        <v>1085</v>
      </c>
      <c r="X150" s="29" t="s">
        <v>1852</v>
      </c>
      <c r="Y150" s="29" t="s">
        <v>1853</v>
      </c>
      <c r="Z150" s="29" t="s">
        <v>1854</v>
      </c>
      <c r="AA150" s="29" t="s">
        <v>1855</v>
      </c>
      <c r="AB150" s="29" t="s">
        <v>1856</v>
      </c>
      <c r="AC150" s="29" t="s">
        <v>140</v>
      </c>
      <c r="AD150" s="29" t="s">
        <v>145</v>
      </c>
    </row>
    <row r="151" spans="1:30" ht="14.25" hidden="1">
      <c r="A151" s="29" t="s">
        <v>52</v>
      </c>
      <c r="B151" s="29" t="s">
        <v>153</v>
      </c>
      <c r="C151" s="29" t="s">
        <v>74</v>
      </c>
      <c r="D151" s="29" t="s">
        <v>164</v>
      </c>
      <c r="E151" s="29" t="s">
        <v>1604</v>
      </c>
      <c r="F151" s="29"/>
      <c r="G151" s="29" t="s">
        <v>165</v>
      </c>
      <c r="H151" s="29"/>
      <c r="I151" s="29" t="s">
        <v>133</v>
      </c>
      <c r="J151" s="29" t="s">
        <v>1078</v>
      </c>
      <c r="K151" s="29">
        <f t="shared" si="19"/>
        <v>342499</v>
      </c>
      <c r="L151" s="29">
        <v>36</v>
      </c>
      <c r="M151" s="29">
        <v>49078</v>
      </c>
      <c r="N151" s="29">
        <v>293421</v>
      </c>
      <c r="O151" s="29" t="s">
        <v>97</v>
      </c>
      <c r="P151" s="29" t="s">
        <v>98</v>
      </c>
      <c r="Q151" s="29" t="s">
        <v>79</v>
      </c>
      <c r="R151" s="29" t="s">
        <v>1864</v>
      </c>
      <c r="S151" s="29" t="s">
        <v>1865</v>
      </c>
      <c r="T151" s="29" t="s">
        <v>1165</v>
      </c>
      <c r="U151" s="29" t="s">
        <v>79</v>
      </c>
      <c r="V151" s="29">
        <v>0.48399999999999999</v>
      </c>
      <c r="W151" s="29" t="s">
        <v>1866</v>
      </c>
      <c r="X151" s="29" t="s">
        <v>1867</v>
      </c>
      <c r="Y151" s="29" t="s">
        <v>1868</v>
      </c>
      <c r="Z151" s="29" t="s">
        <v>1869</v>
      </c>
      <c r="AA151" s="29" t="s">
        <v>1870</v>
      </c>
      <c r="AB151" s="29" t="s">
        <v>1871</v>
      </c>
      <c r="AC151" s="29" t="s">
        <v>140</v>
      </c>
      <c r="AD151" s="29" t="s">
        <v>145</v>
      </c>
    </row>
    <row r="152" spans="1:30" ht="14.25" hidden="1">
      <c r="A152" s="29" t="s">
        <v>52</v>
      </c>
      <c r="B152" s="29" t="s">
        <v>153</v>
      </c>
      <c r="C152" s="29" t="s">
        <v>74</v>
      </c>
      <c r="D152" s="29" t="s">
        <v>164</v>
      </c>
      <c r="E152" s="29" t="s">
        <v>1834</v>
      </c>
      <c r="F152" s="29"/>
      <c r="G152" s="29" t="s">
        <v>165</v>
      </c>
      <c r="H152" s="29"/>
      <c r="I152" s="29" t="s">
        <v>133</v>
      </c>
      <c r="J152" s="29" t="s">
        <v>1078</v>
      </c>
      <c r="K152" s="29">
        <f t="shared" si="19"/>
        <v>285244</v>
      </c>
      <c r="L152" s="29">
        <v>36</v>
      </c>
      <c r="M152" s="29">
        <v>1655</v>
      </c>
      <c r="N152" s="29">
        <v>283589</v>
      </c>
      <c r="O152" s="29" t="s">
        <v>97</v>
      </c>
      <c r="P152" s="29" t="s">
        <v>98</v>
      </c>
      <c r="Q152" s="29" t="s">
        <v>79</v>
      </c>
      <c r="R152" s="29" t="s">
        <v>1872</v>
      </c>
      <c r="S152" s="29" t="s">
        <v>1874</v>
      </c>
      <c r="T152" s="29" t="s">
        <v>1165</v>
      </c>
      <c r="U152" s="29" t="s">
        <v>79</v>
      </c>
      <c r="V152" s="29">
        <v>0.92100000000000004</v>
      </c>
      <c r="W152" s="29" t="s">
        <v>1875</v>
      </c>
      <c r="X152" s="29" t="s">
        <v>1876</v>
      </c>
      <c r="Y152" s="29" t="s">
        <v>682</v>
      </c>
      <c r="Z152" s="29" t="s">
        <v>1877</v>
      </c>
      <c r="AA152" s="29" t="s">
        <v>1879</v>
      </c>
      <c r="AB152" s="29" t="s">
        <v>1610</v>
      </c>
      <c r="AC152" s="29" t="s">
        <v>140</v>
      </c>
      <c r="AD152" s="29" t="s">
        <v>145</v>
      </c>
    </row>
    <row r="153" spans="1:30" ht="14.25" hidden="1">
      <c r="A153" s="10" t="s">
        <v>52</v>
      </c>
      <c r="B153" s="10" t="s">
        <v>63</v>
      </c>
      <c r="C153" s="10" t="s">
        <v>74</v>
      </c>
      <c r="D153" s="10" t="s">
        <v>164</v>
      </c>
      <c r="E153" s="10" t="s">
        <v>883</v>
      </c>
      <c r="F153" s="10"/>
      <c r="G153" s="10" t="s">
        <v>165</v>
      </c>
      <c r="H153" s="10" t="s">
        <v>884</v>
      </c>
      <c r="I153" s="10" t="s">
        <v>133</v>
      </c>
      <c r="J153" s="10" t="s">
        <v>218</v>
      </c>
      <c r="K153" s="34">
        <v>342499</v>
      </c>
      <c r="L153" s="10">
        <v>24</v>
      </c>
      <c r="M153" s="34">
        <v>7759</v>
      </c>
      <c r="N153" s="34">
        <v>334740</v>
      </c>
      <c r="O153" s="10" t="s">
        <v>79</v>
      </c>
      <c r="P153" s="10" t="s">
        <v>98</v>
      </c>
      <c r="Q153" s="10" t="s">
        <v>79</v>
      </c>
      <c r="R153" s="10">
        <v>4.09</v>
      </c>
      <c r="S153" s="10" t="s">
        <v>1880</v>
      </c>
      <c r="T153" s="10" t="s">
        <v>1881</v>
      </c>
      <c r="U153" s="10" t="s">
        <v>79</v>
      </c>
      <c r="V153" s="10">
        <v>0.878</v>
      </c>
      <c r="W153" s="10">
        <v>2.68</v>
      </c>
      <c r="X153" s="10" t="s">
        <v>1882</v>
      </c>
      <c r="Y153" s="10">
        <v>3.1E-2</v>
      </c>
      <c r="Z153" s="10">
        <v>6.65</v>
      </c>
      <c r="AA153" s="10" t="s">
        <v>1883</v>
      </c>
      <c r="AB153" s="10">
        <v>0.36299999999999999</v>
      </c>
      <c r="AC153" s="10" t="s">
        <v>140</v>
      </c>
      <c r="AD153" s="10" t="s">
        <v>112</v>
      </c>
    </row>
    <row r="154" spans="1:30" ht="14.25" hidden="1">
      <c r="A154" s="23" t="s">
        <v>52</v>
      </c>
      <c r="B154" s="23" t="s">
        <v>148</v>
      </c>
      <c r="C154" s="23" t="s">
        <v>74</v>
      </c>
      <c r="D154" s="23" t="s">
        <v>75</v>
      </c>
      <c r="E154" s="23" t="s">
        <v>1762</v>
      </c>
      <c r="F154" s="23"/>
      <c r="G154" s="23" t="s">
        <v>113</v>
      </c>
      <c r="H154" s="23" t="s">
        <v>1750</v>
      </c>
      <c r="I154" s="23" t="s">
        <v>133</v>
      </c>
      <c r="J154" s="23"/>
      <c r="K154" s="25">
        <v>1086211</v>
      </c>
      <c r="L154" s="23">
        <v>32</v>
      </c>
      <c r="M154" s="23">
        <v>13769</v>
      </c>
      <c r="N154" s="23">
        <v>1072442</v>
      </c>
      <c r="O154" s="23" t="s">
        <v>97</v>
      </c>
      <c r="P154" s="23" t="s">
        <v>98</v>
      </c>
      <c r="Q154" s="23" t="s">
        <v>79</v>
      </c>
      <c r="R154" s="23">
        <v>1.38</v>
      </c>
      <c r="S154" s="23" t="s">
        <v>1811</v>
      </c>
      <c r="T154" s="23">
        <v>0.46600000000000003</v>
      </c>
      <c r="U154" s="23">
        <v>49.058999999999997</v>
      </c>
      <c r="V154" s="23">
        <v>2.1000000000000001E-2</v>
      </c>
      <c r="W154" s="23">
        <v>0.86799999999999999</v>
      </c>
      <c r="X154" s="23" t="s">
        <v>1812</v>
      </c>
      <c r="Y154" s="23">
        <v>0.79100000000000004</v>
      </c>
      <c r="Z154" s="23">
        <v>8.9410000000000007</v>
      </c>
      <c r="AA154" s="23" t="s">
        <v>1813</v>
      </c>
      <c r="AB154" s="23">
        <v>0.25</v>
      </c>
      <c r="AC154" s="23" t="s">
        <v>1754</v>
      </c>
      <c r="AD154" s="23" t="s">
        <v>145</v>
      </c>
    </row>
    <row r="155" spans="1:30" ht="14.25" hidden="1">
      <c r="A155" s="62" t="s">
        <v>70</v>
      </c>
      <c r="B155" s="62" t="s">
        <v>19</v>
      </c>
      <c r="C155" s="62" t="s">
        <v>74</v>
      </c>
      <c r="D155" s="62" t="s">
        <v>246</v>
      </c>
      <c r="E155" s="62" t="s">
        <v>1630</v>
      </c>
      <c r="F155" s="62"/>
      <c r="G155" s="62" t="s">
        <v>248</v>
      </c>
      <c r="H155" s="62" t="s">
        <v>1632</v>
      </c>
      <c r="I155" s="62" t="s">
        <v>133</v>
      </c>
      <c r="J155" s="62" t="s">
        <v>218</v>
      </c>
      <c r="K155" s="109">
        <v>341725</v>
      </c>
      <c r="L155" s="62">
        <v>12</v>
      </c>
      <c r="M155" s="62">
        <v>8597</v>
      </c>
      <c r="N155" s="109">
        <f t="shared" ref="N155:N160" si="20">K155-M155</f>
        <v>333128</v>
      </c>
      <c r="O155" s="62" t="s">
        <v>97</v>
      </c>
      <c r="P155" s="62" t="s">
        <v>98</v>
      </c>
      <c r="Q155" s="62">
        <v>17.286300000000001</v>
      </c>
      <c r="R155" s="62">
        <v>0.97899999999999998</v>
      </c>
      <c r="S155" s="62" t="s">
        <v>1888</v>
      </c>
      <c r="T155" s="62">
        <v>0.97099999999999997</v>
      </c>
      <c r="U155" s="62">
        <v>34.570599999999999</v>
      </c>
      <c r="V155" s="62">
        <v>4.5500000000000002E-3</v>
      </c>
      <c r="W155" s="120">
        <v>0.68300000000000005</v>
      </c>
      <c r="X155" s="62" t="s">
        <v>1889</v>
      </c>
      <c r="Y155" s="62">
        <v>0.52100000000000002</v>
      </c>
      <c r="Z155" s="62">
        <v>0.11600000000000001</v>
      </c>
      <c r="AA155" s="62" t="s">
        <v>1890</v>
      </c>
      <c r="AB155" s="62">
        <v>0.747</v>
      </c>
      <c r="AC155" s="62" t="s">
        <v>109</v>
      </c>
      <c r="AD155" s="62" t="s">
        <v>145</v>
      </c>
    </row>
    <row r="156" spans="1:30" ht="14.25" hidden="1">
      <c r="A156" s="62" t="s">
        <v>70</v>
      </c>
      <c r="B156" s="62" t="s">
        <v>19</v>
      </c>
      <c r="C156" s="62" t="s">
        <v>74</v>
      </c>
      <c r="D156" s="62" t="s">
        <v>246</v>
      </c>
      <c r="E156" s="62" t="s">
        <v>1697</v>
      </c>
      <c r="F156" s="62"/>
      <c r="G156" s="62" t="s">
        <v>248</v>
      </c>
      <c r="H156" s="62" t="s">
        <v>1698</v>
      </c>
      <c r="I156" s="62" t="s">
        <v>133</v>
      </c>
      <c r="J156" s="62" t="s">
        <v>218</v>
      </c>
      <c r="K156" s="109">
        <v>334352</v>
      </c>
      <c r="L156" s="62">
        <v>12</v>
      </c>
      <c r="M156" s="62">
        <v>1224</v>
      </c>
      <c r="N156" s="109">
        <f t="shared" si="20"/>
        <v>333128</v>
      </c>
      <c r="O156" s="62" t="s">
        <v>97</v>
      </c>
      <c r="P156" s="62" t="s">
        <v>98</v>
      </c>
      <c r="Q156" s="62">
        <v>17.286300000000001</v>
      </c>
      <c r="R156" s="62">
        <v>0.28699999999999998</v>
      </c>
      <c r="S156" s="62" t="s">
        <v>1893</v>
      </c>
      <c r="T156" s="62">
        <v>0.22800000000000001</v>
      </c>
      <c r="U156" s="62">
        <v>11.5946</v>
      </c>
      <c r="V156" s="62">
        <v>0.77137999999999995</v>
      </c>
      <c r="W156" s="62">
        <v>0.13600000000000001</v>
      </c>
      <c r="X156" s="62" t="s">
        <v>1894</v>
      </c>
      <c r="Y156" s="62">
        <v>0.17</v>
      </c>
      <c r="Z156" s="62">
        <v>0.89400000000000002</v>
      </c>
      <c r="AA156" s="62" t="s">
        <v>1895</v>
      </c>
      <c r="AB156" s="62">
        <v>0.99199999999999999</v>
      </c>
      <c r="AC156" s="62" t="s">
        <v>109</v>
      </c>
      <c r="AD156" s="62" t="s">
        <v>145</v>
      </c>
    </row>
    <row r="157" spans="1:30" ht="14.25" hidden="1">
      <c r="A157" s="62" t="s">
        <v>70</v>
      </c>
      <c r="B157" s="62" t="s">
        <v>19</v>
      </c>
      <c r="C157" s="62" t="s">
        <v>74</v>
      </c>
      <c r="D157" s="62" t="s">
        <v>622</v>
      </c>
      <c r="E157" s="62" t="s">
        <v>1630</v>
      </c>
      <c r="F157" s="62"/>
      <c r="G157" s="62" t="s">
        <v>215</v>
      </c>
      <c r="H157" s="62" t="s">
        <v>1632</v>
      </c>
      <c r="I157" s="62" t="s">
        <v>133</v>
      </c>
      <c r="J157" s="62" t="s">
        <v>218</v>
      </c>
      <c r="K157" s="109">
        <v>341725</v>
      </c>
      <c r="L157" s="62">
        <v>9</v>
      </c>
      <c r="M157" s="62">
        <v>8597</v>
      </c>
      <c r="N157" s="109">
        <f t="shared" si="20"/>
        <v>333128</v>
      </c>
      <c r="O157" s="62" t="s">
        <v>97</v>
      </c>
      <c r="P157" s="62" t="s">
        <v>98</v>
      </c>
      <c r="Q157" s="62">
        <v>14.9826</v>
      </c>
      <c r="R157" s="62">
        <v>0.99</v>
      </c>
      <c r="S157" s="62" t="s">
        <v>1896</v>
      </c>
      <c r="T157" s="62">
        <v>0.98699999999999999</v>
      </c>
      <c r="U157" s="121">
        <v>49.825000000000003</v>
      </c>
      <c r="V157" s="62">
        <v>2.0000000000000001E-4</v>
      </c>
      <c r="W157" s="62">
        <v>0.36699999999999999</v>
      </c>
      <c r="X157" s="62" t="s">
        <v>1899</v>
      </c>
      <c r="Y157" s="62">
        <v>0.14599999999999999</v>
      </c>
      <c r="Z157" s="62">
        <v>1.883</v>
      </c>
      <c r="AA157" s="62" t="s">
        <v>1900</v>
      </c>
      <c r="AB157" s="62">
        <v>0.83899999999999997</v>
      </c>
      <c r="AC157" s="62" t="s">
        <v>109</v>
      </c>
      <c r="AD157" s="62" t="s">
        <v>145</v>
      </c>
    </row>
    <row r="158" spans="1:30" ht="14.25" hidden="1">
      <c r="A158" s="62" t="s">
        <v>70</v>
      </c>
      <c r="B158" s="62" t="s">
        <v>19</v>
      </c>
      <c r="C158" s="62" t="s">
        <v>74</v>
      </c>
      <c r="D158" s="62" t="s">
        <v>622</v>
      </c>
      <c r="E158" s="62" t="s">
        <v>1697</v>
      </c>
      <c r="F158" s="62"/>
      <c r="G158" s="62" t="s">
        <v>215</v>
      </c>
      <c r="H158" s="62" t="s">
        <v>1698</v>
      </c>
      <c r="I158" s="62" t="s">
        <v>133</v>
      </c>
      <c r="J158" s="62" t="s">
        <v>218</v>
      </c>
      <c r="K158" s="109">
        <v>334352</v>
      </c>
      <c r="L158" s="62">
        <v>9</v>
      </c>
      <c r="M158" s="62">
        <v>1224</v>
      </c>
      <c r="N158" s="109">
        <f t="shared" si="20"/>
        <v>333128</v>
      </c>
      <c r="O158" s="62" t="s">
        <v>97</v>
      </c>
      <c r="P158" s="62" t="s">
        <v>98</v>
      </c>
      <c r="Q158" s="62">
        <v>14.9826</v>
      </c>
      <c r="R158" s="62">
        <v>5.3369999999999997</v>
      </c>
      <c r="S158" s="62" t="s">
        <v>1901</v>
      </c>
      <c r="T158" s="62">
        <v>0.23599999999999999</v>
      </c>
      <c r="U158" s="121">
        <v>33.582999999999998</v>
      </c>
      <c r="V158" s="62">
        <v>2.9100000000000001E-2</v>
      </c>
      <c r="W158" s="62">
        <v>0.871</v>
      </c>
      <c r="X158" s="62" t="s">
        <v>1902</v>
      </c>
      <c r="Y158" s="62">
        <v>0.93600000000000005</v>
      </c>
      <c r="Z158" s="62">
        <v>3.6709999999999998</v>
      </c>
      <c r="AA158" s="62" t="s">
        <v>1903</v>
      </c>
      <c r="AB158" s="62">
        <v>0.84599999999999997</v>
      </c>
      <c r="AC158" s="62" t="s">
        <v>109</v>
      </c>
      <c r="AD158" s="62" t="s">
        <v>145</v>
      </c>
    </row>
    <row r="159" spans="1:30" ht="14.25" hidden="1">
      <c r="A159" s="62" t="s">
        <v>70</v>
      </c>
      <c r="B159" s="62" t="s">
        <v>19</v>
      </c>
      <c r="C159" s="62" t="s">
        <v>74</v>
      </c>
      <c r="D159" s="62" t="s">
        <v>164</v>
      </c>
      <c r="E159" s="62" t="s">
        <v>1630</v>
      </c>
      <c r="F159" s="62"/>
      <c r="G159" s="62" t="s">
        <v>165</v>
      </c>
      <c r="H159" s="62" t="s">
        <v>1632</v>
      </c>
      <c r="I159" s="62" t="s">
        <v>133</v>
      </c>
      <c r="J159" s="62" t="s">
        <v>218</v>
      </c>
      <c r="K159" s="109">
        <v>341725</v>
      </c>
      <c r="L159" s="62">
        <v>30</v>
      </c>
      <c r="M159" s="62">
        <v>8597</v>
      </c>
      <c r="N159" s="109">
        <f t="shared" si="20"/>
        <v>333128</v>
      </c>
      <c r="O159" s="62" t="s">
        <v>97</v>
      </c>
      <c r="P159" s="62" t="s">
        <v>98</v>
      </c>
      <c r="Q159" s="62">
        <v>15.7614</v>
      </c>
      <c r="R159" s="62">
        <v>0.72099999999999997</v>
      </c>
      <c r="S159" s="62" t="s">
        <v>1906</v>
      </c>
      <c r="T159" s="62">
        <v>0.22800000000000001</v>
      </c>
      <c r="U159" s="62">
        <v>70.743099999999998</v>
      </c>
      <c r="V159" s="62">
        <v>6.45E-3</v>
      </c>
      <c r="W159" s="62">
        <v>1.018</v>
      </c>
      <c r="X159" s="62" t="s">
        <v>1907</v>
      </c>
      <c r="Y159" s="62">
        <v>0.95599999999999996</v>
      </c>
      <c r="Z159" s="62">
        <v>5.8999999999999997E-2</v>
      </c>
      <c r="AA159" s="62" t="s">
        <v>1908</v>
      </c>
      <c r="AB159" s="62">
        <v>2.1999999999999999E-2</v>
      </c>
      <c r="AC159" s="62" t="s">
        <v>109</v>
      </c>
      <c r="AD159" s="62" t="s">
        <v>145</v>
      </c>
    </row>
    <row r="160" spans="1:30" ht="14.25" hidden="1">
      <c r="A160" s="62" t="s">
        <v>70</v>
      </c>
      <c r="B160" s="62" t="s">
        <v>19</v>
      </c>
      <c r="C160" s="62" t="s">
        <v>74</v>
      </c>
      <c r="D160" s="62" t="s">
        <v>164</v>
      </c>
      <c r="E160" s="62" t="s">
        <v>1697</v>
      </c>
      <c r="F160" s="62"/>
      <c r="G160" s="62" t="s">
        <v>165</v>
      </c>
      <c r="H160" s="62" t="s">
        <v>1698</v>
      </c>
      <c r="I160" s="62" t="s">
        <v>133</v>
      </c>
      <c r="J160" s="62" t="s">
        <v>218</v>
      </c>
      <c r="K160" s="109">
        <v>334352</v>
      </c>
      <c r="L160" s="62">
        <v>30</v>
      </c>
      <c r="M160" s="62">
        <v>1224</v>
      </c>
      <c r="N160" s="109">
        <f t="shared" si="20"/>
        <v>333128</v>
      </c>
      <c r="O160" s="62" t="s">
        <v>97</v>
      </c>
      <c r="P160" s="62" t="s">
        <v>98</v>
      </c>
      <c r="Q160" s="62">
        <v>15.7614</v>
      </c>
      <c r="R160" s="62">
        <v>0.72199999999999998</v>
      </c>
      <c r="S160" s="62" t="s">
        <v>1909</v>
      </c>
      <c r="T160" s="62">
        <v>0.63300000000000001</v>
      </c>
      <c r="U160" s="62">
        <v>65.641999999999996</v>
      </c>
      <c r="V160" s="62">
        <v>1.882E-2</v>
      </c>
      <c r="W160" s="62">
        <v>0.78500000000000003</v>
      </c>
      <c r="X160" s="62" t="s">
        <v>1912</v>
      </c>
      <c r="Y160" s="62">
        <v>0.77600000000000002</v>
      </c>
      <c r="Z160" s="62">
        <v>4.0000000000000001E-3</v>
      </c>
      <c r="AA160" s="62" t="s">
        <v>1913</v>
      </c>
      <c r="AB160" s="62">
        <v>7.8E-2</v>
      </c>
      <c r="AC160" s="62" t="s">
        <v>109</v>
      </c>
      <c r="AD160" s="62" t="s">
        <v>145</v>
      </c>
    </row>
    <row r="161" spans="1:30" ht="14.25" hidden="1">
      <c r="A161" s="23" t="s">
        <v>52</v>
      </c>
      <c r="B161" s="23" t="s">
        <v>148</v>
      </c>
      <c r="C161" s="23" t="s">
        <v>74</v>
      </c>
      <c r="D161" s="23" t="s">
        <v>75</v>
      </c>
      <c r="E161" s="23" t="s">
        <v>1749</v>
      </c>
      <c r="F161" s="23"/>
      <c r="G161" s="23" t="s">
        <v>113</v>
      </c>
      <c r="H161" s="23" t="s">
        <v>1750</v>
      </c>
      <c r="I161" s="23" t="s">
        <v>133</v>
      </c>
      <c r="J161" s="23"/>
      <c r="K161" s="25">
        <v>2597856</v>
      </c>
      <c r="L161" s="23">
        <v>32</v>
      </c>
      <c r="M161" s="23">
        <v>122616</v>
      </c>
      <c r="N161" s="23">
        <v>2475240</v>
      </c>
      <c r="O161" s="23" t="s">
        <v>97</v>
      </c>
      <c r="P161" s="23" t="s">
        <v>98</v>
      </c>
      <c r="Q161" s="23" t="s">
        <v>79</v>
      </c>
      <c r="R161" s="23">
        <v>1.18</v>
      </c>
      <c r="S161" s="23" t="s">
        <v>1802</v>
      </c>
      <c r="T161" s="23">
        <v>0.158</v>
      </c>
      <c r="U161" s="23">
        <v>38.790999999999997</v>
      </c>
      <c r="V161" s="23">
        <v>0.159</v>
      </c>
      <c r="W161" s="23">
        <v>1.19</v>
      </c>
      <c r="X161" s="23" t="s">
        <v>1804</v>
      </c>
      <c r="Y161" s="23">
        <v>0.28299999999999997</v>
      </c>
      <c r="Z161" s="23">
        <v>1.335</v>
      </c>
      <c r="AA161" s="23" t="s">
        <v>1805</v>
      </c>
      <c r="AB161" s="23">
        <v>0.51100000000000001</v>
      </c>
      <c r="AC161" s="23" t="s">
        <v>1754</v>
      </c>
      <c r="AD161" s="23" t="s">
        <v>145</v>
      </c>
    </row>
    <row r="162" spans="1:30" ht="14.25" hidden="1">
      <c r="A162" s="38" t="s">
        <v>70</v>
      </c>
      <c r="B162" s="82" t="s">
        <v>177</v>
      </c>
      <c r="C162" s="41" t="s">
        <v>74</v>
      </c>
      <c r="D162" s="82" t="s">
        <v>75</v>
      </c>
      <c r="E162" s="41" t="s">
        <v>2056</v>
      </c>
      <c r="F162" s="41"/>
      <c r="G162" s="41" t="s">
        <v>2057</v>
      </c>
      <c r="H162" s="41" t="s">
        <v>2058</v>
      </c>
      <c r="I162" s="41" t="s">
        <v>133</v>
      </c>
      <c r="J162" s="41" t="s">
        <v>2059</v>
      </c>
      <c r="K162" s="41" t="s">
        <v>79</v>
      </c>
      <c r="L162" s="41" t="s">
        <v>79</v>
      </c>
      <c r="M162" s="130">
        <v>3751</v>
      </c>
      <c r="N162" s="130">
        <v>372016</v>
      </c>
      <c r="O162" s="41" t="s">
        <v>79</v>
      </c>
      <c r="P162" s="41" t="s">
        <v>98</v>
      </c>
      <c r="Q162" s="41" t="s">
        <v>79</v>
      </c>
      <c r="R162" s="130">
        <v>1.004</v>
      </c>
      <c r="S162" s="41" t="s">
        <v>2060</v>
      </c>
      <c r="T162" s="41">
        <v>0.3</v>
      </c>
      <c r="U162" s="41" t="s">
        <v>79</v>
      </c>
      <c r="V162" s="41" t="s">
        <v>79</v>
      </c>
      <c r="W162" s="41" t="s">
        <v>79</v>
      </c>
      <c r="X162" s="41" t="s">
        <v>79</v>
      </c>
      <c r="Y162" s="41" t="s">
        <v>79</v>
      </c>
      <c r="Z162" s="41" t="s">
        <v>79</v>
      </c>
      <c r="AA162" s="41" t="s">
        <v>79</v>
      </c>
      <c r="AB162" s="41" t="s">
        <v>79</v>
      </c>
      <c r="AC162" s="41" t="s">
        <v>109</v>
      </c>
      <c r="AD162" s="41" t="s">
        <v>204</v>
      </c>
    </row>
    <row r="163" spans="1:30" ht="14.25" hidden="1">
      <c r="A163" s="23" t="s">
        <v>1585</v>
      </c>
      <c r="B163" s="23" t="s">
        <v>156</v>
      </c>
      <c r="C163" s="23" t="s">
        <v>74</v>
      </c>
      <c r="D163" s="23" t="s">
        <v>164</v>
      </c>
      <c r="E163" s="23" t="s">
        <v>477</v>
      </c>
      <c r="F163" s="23"/>
      <c r="G163" s="23" t="s">
        <v>165</v>
      </c>
      <c r="H163" s="23" t="s">
        <v>1680</v>
      </c>
      <c r="I163" s="14" t="s">
        <v>133</v>
      </c>
      <c r="J163" s="23" t="s">
        <v>218</v>
      </c>
      <c r="K163" s="23">
        <v>177860</v>
      </c>
      <c r="L163" s="23">
        <v>41</v>
      </c>
      <c r="M163" s="23">
        <v>13178</v>
      </c>
      <c r="N163" s="23">
        <v>164682</v>
      </c>
      <c r="O163" s="23" t="s">
        <v>97</v>
      </c>
      <c r="P163" s="23" t="s">
        <v>98</v>
      </c>
      <c r="Q163" s="23" t="s">
        <v>79</v>
      </c>
      <c r="R163" s="23">
        <v>0.43</v>
      </c>
      <c r="S163" s="23" t="s">
        <v>1726</v>
      </c>
      <c r="T163" s="14">
        <v>8.0000000000000007E-5</v>
      </c>
      <c r="U163" s="23">
        <v>48.75</v>
      </c>
      <c r="V163" s="23">
        <v>0.16</v>
      </c>
      <c r="W163" s="23" t="s">
        <v>934</v>
      </c>
      <c r="X163" s="23" t="s">
        <v>1727</v>
      </c>
      <c r="Y163" s="23" t="s">
        <v>1728</v>
      </c>
      <c r="Z163" s="23" t="s">
        <v>1729</v>
      </c>
      <c r="AA163" s="23" t="s">
        <v>1730</v>
      </c>
      <c r="AB163" s="23" t="s">
        <v>1731</v>
      </c>
      <c r="AC163" s="23" t="s">
        <v>109</v>
      </c>
      <c r="AD163" s="23" t="s">
        <v>155</v>
      </c>
    </row>
    <row r="164" spans="1:30" ht="14.25" hidden="1">
      <c r="A164" s="23" t="s">
        <v>1585</v>
      </c>
      <c r="B164" s="23" t="s">
        <v>156</v>
      </c>
      <c r="C164" s="23" t="s">
        <v>74</v>
      </c>
      <c r="D164" s="23" t="s">
        <v>246</v>
      </c>
      <c r="E164" s="23" t="s">
        <v>477</v>
      </c>
      <c r="F164" s="23"/>
      <c r="G164" s="23" t="s">
        <v>248</v>
      </c>
      <c r="H164" s="23" t="s">
        <v>1680</v>
      </c>
      <c r="I164" s="14" t="s">
        <v>133</v>
      </c>
      <c r="J164" s="23" t="s">
        <v>218</v>
      </c>
      <c r="K164" s="23">
        <v>177860</v>
      </c>
      <c r="L164" s="23">
        <v>17</v>
      </c>
      <c r="M164" s="23">
        <v>13178</v>
      </c>
      <c r="N164" s="23">
        <v>164682</v>
      </c>
      <c r="O164" s="23" t="s">
        <v>97</v>
      </c>
      <c r="P164" s="23" t="s">
        <v>98</v>
      </c>
      <c r="Q164" s="23" t="s">
        <v>79</v>
      </c>
      <c r="R164" s="23">
        <v>1.82</v>
      </c>
      <c r="S164" s="23" t="s">
        <v>1924</v>
      </c>
      <c r="T164" s="23">
        <v>0.1</v>
      </c>
      <c r="U164" s="23">
        <v>17.22</v>
      </c>
      <c r="V164" s="23">
        <v>0.37</v>
      </c>
      <c r="W164" s="23">
        <v>2.21</v>
      </c>
      <c r="X164" s="23" t="s">
        <v>1925</v>
      </c>
      <c r="Y164" s="23">
        <v>0.1</v>
      </c>
      <c r="Z164" s="23">
        <v>402.69</v>
      </c>
      <c r="AA164" s="23" t="s">
        <v>1926</v>
      </c>
      <c r="AB164" s="23">
        <v>0.14000000000000001</v>
      </c>
      <c r="AC164" s="23" t="s">
        <v>109</v>
      </c>
      <c r="AD164" s="23" t="s">
        <v>155</v>
      </c>
    </row>
    <row r="165" spans="1:30" ht="14.25" hidden="1">
      <c r="A165" s="23" t="s">
        <v>1585</v>
      </c>
      <c r="B165" s="23" t="s">
        <v>156</v>
      </c>
      <c r="C165" s="23" t="s">
        <v>74</v>
      </c>
      <c r="D165" s="23" t="s">
        <v>622</v>
      </c>
      <c r="E165" s="23" t="s">
        <v>477</v>
      </c>
      <c r="F165" s="23"/>
      <c r="G165" s="23" t="s">
        <v>215</v>
      </c>
      <c r="H165" s="23" t="s">
        <v>1680</v>
      </c>
      <c r="I165" s="14" t="s">
        <v>133</v>
      </c>
      <c r="J165" s="23" t="s">
        <v>218</v>
      </c>
      <c r="K165" s="23">
        <v>177860</v>
      </c>
      <c r="L165" s="23">
        <v>19</v>
      </c>
      <c r="M165" s="23">
        <v>13178</v>
      </c>
      <c r="N165" s="23">
        <v>164682</v>
      </c>
      <c r="O165" s="23" t="s">
        <v>97</v>
      </c>
      <c r="P165" s="23" t="s">
        <v>98</v>
      </c>
      <c r="Q165" s="23" t="s">
        <v>79</v>
      </c>
      <c r="R165" s="23">
        <v>0.74</v>
      </c>
      <c r="S165" s="23" t="s">
        <v>1935</v>
      </c>
      <c r="T165" s="23">
        <v>0.53</v>
      </c>
      <c r="U165" s="23">
        <v>27.87</v>
      </c>
      <c r="V165" s="23">
        <v>0.06</v>
      </c>
      <c r="W165" s="23">
        <v>1.04</v>
      </c>
      <c r="X165" s="14" t="s">
        <v>1936</v>
      </c>
      <c r="Y165" s="23">
        <v>0.95</v>
      </c>
      <c r="Z165" s="23">
        <v>0.91</v>
      </c>
      <c r="AA165" s="23" t="s">
        <v>1937</v>
      </c>
      <c r="AB165" s="23">
        <v>0.97</v>
      </c>
      <c r="AC165" s="23" t="s">
        <v>109</v>
      </c>
      <c r="AD165" s="23" t="s">
        <v>155</v>
      </c>
    </row>
    <row r="166" spans="1:30" ht="14.25" hidden="1">
      <c r="A166" s="23" t="s">
        <v>52</v>
      </c>
      <c r="B166" s="23" t="s">
        <v>160</v>
      </c>
      <c r="C166" s="23" t="s">
        <v>74</v>
      </c>
      <c r="D166" s="23" t="s">
        <v>246</v>
      </c>
      <c r="E166" s="14" t="s">
        <v>496</v>
      </c>
      <c r="F166" s="23"/>
      <c r="G166" s="23" t="s">
        <v>248</v>
      </c>
      <c r="H166" s="23" t="s">
        <v>79</v>
      </c>
      <c r="I166" s="23" t="s">
        <v>133</v>
      </c>
      <c r="J166" s="23" t="s">
        <v>133</v>
      </c>
      <c r="K166" s="23" t="s">
        <v>79</v>
      </c>
      <c r="L166" s="23">
        <v>15</v>
      </c>
      <c r="M166" s="23" t="s">
        <v>79</v>
      </c>
      <c r="N166" s="23" t="s">
        <v>79</v>
      </c>
      <c r="O166" s="23" t="s">
        <v>97</v>
      </c>
      <c r="P166" s="23" t="s">
        <v>98</v>
      </c>
      <c r="Q166" s="23" t="s">
        <v>79</v>
      </c>
      <c r="R166" s="23">
        <v>0.99</v>
      </c>
      <c r="S166" s="23" t="s">
        <v>1942</v>
      </c>
      <c r="T166" s="23">
        <v>6.0000000000000001E-3</v>
      </c>
      <c r="U166" s="23">
        <v>10.212</v>
      </c>
      <c r="V166" s="23">
        <v>0.14699999999999999</v>
      </c>
      <c r="W166" s="23">
        <v>0.98699999999999999</v>
      </c>
      <c r="X166" s="23" t="s">
        <v>1943</v>
      </c>
      <c r="Y166" s="23">
        <v>1.4999999999999999E-2</v>
      </c>
      <c r="Z166" s="23">
        <v>0.98499999999999999</v>
      </c>
      <c r="AA166" s="23" t="s">
        <v>1944</v>
      </c>
      <c r="AB166" s="23">
        <v>0.72799999999999998</v>
      </c>
      <c r="AC166" s="23" t="s">
        <v>109</v>
      </c>
      <c r="AD166" s="23" t="s">
        <v>145</v>
      </c>
    </row>
    <row r="167" spans="1:30" ht="14.25" hidden="1">
      <c r="A167" s="23" t="s">
        <v>52</v>
      </c>
      <c r="B167" s="23" t="s">
        <v>160</v>
      </c>
      <c r="C167" s="23" t="s">
        <v>74</v>
      </c>
      <c r="D167" s="14" t="s">
        <v>622</v>
      </c>
      <c r="E167" s="14" t="s">
        <v>496</v>
      </c>
      <c r="F167" s="23"/>
      <c r="G167" s="23" t="s">
        <v>215</v>
      </c>
      <c r="H167" s="23" t="s">
        <v>79</v>
      </c>
      <c r="I167" s="23" t="s">
        <v>133</v>
      </c>
      <c r="J167" s="23" t="s">
        <v>133</v>
      </c>
      <c r="K167" s="23" t="s">
        <v>79</v>
      </c>
      <c r="L167" s="23">
        <v>11</v>
      </c>
      <c r="M167" s="23" t="s">
        <v>79</v>
      </c>
      <c r="N167" s="23" t="s">
        <v>79</v>
      </c>
      <c r="O167" s="23" t="s">
        <v>97</v>
      </c>
      <c r="P167" s="23" t="s">
        <v>98</v>
      </c>
      <c r="Q167" s="23" t="s">
        <v>79</v>
      </c>
      <c r="R167" s="23">
        <v>0.997</v>
      </c>
      <c r="S167" s="23" t="s">
        <v>1948</v>
      </c>
      <c r="T167" s="23">
        <v>0.53700000000000003</v>
      </c>
      <c r="U167" s="23">
        <v>12.48</v>
      </c>
      <c r="V167" s="23">
        <v>0.188</v>
      </c>
      <c r="W167" s="23">
        <v>0.995</v>
      </c>
      <c r="X167" s="23" t="s">
        <v>1950</v>
      </c>
      <c r="Y167" s="23">
        <v>0.46200000000000002</v>
      </c>
      <c r="Z167" s="23">
        <v>1.022</v>
      </c>
      <c r="AA167" s="23" t="s">
        <v>1951</v>
      </c>
      <c r="AB167" s="23">
        <v>0.623</v>
      </c>
      <c r="AC167" s="23" t="s">
        <v>109</v>
      </c>
      <c r="AD167" s="23" t="s">
        <v>145</v>
      </c>
    </row>
    <row r="168" spans="1:30" ht="14.25" hidden="1">
      <c r="A168" s="23" t="s">
        <v>52</v>
      </c>
      <c r="B168" s="23" t="s">
        <v>160</v>
      </c>
      <c r="C168" s="23" t="s">
        <v>74</v>
      </c>
      <c r="D168" s="23" t="s">
        <v>164</v>
      </c>
      <c r="E168" s="14" t="s">
        <v>496</v>
      </c>
      <c r="F168" s="14"/>
      <c r="G168" s="14" t="s">
        <v>165</v>
      </c>
      <c r="H168" s="23" t="s">
        <v>79</v>
      </c>
      <c r="I168" s="23" t="s">
        <v>133</v>
      </c>
      <c r="J168" s="23" t="s">
        <v>133</v>
      </c>
      <c r="K168" s="23" t="s">
        <v>79</v>
      </c>
      <c r="L168" s="23">
        <v>28</v>
      </c>
      <c r="M168" s="23" t="s">
        <v>79</v>
      </c>
      <c r="N168" s="23" t="s">
        <v>79</v>
      </c>
      <c r="O168" s="23" t="s">
        <v>97</v>
      </c>
      <c r="P168" s="23" t="s">
        <v>98</v>
      </c>
      <c r="Q168" s="23" t="s">
        <v>79</v>
      </c>
      <c r="R168" s="23">
        <v>0.99199999999999999</v>
      </c>
      <c r="S168" s="23" t="s">
        <v>1952</v>
      </c>
      <c r="T168" s="23">
        <v>1E-3</v>
      </c>
      <c r="U168" s="23">
        <v>17.286000000000001</v>
      </c>
      <c r="V168" s="23">
        <v>0.92400000000000004</v>
      </c>
      <c r="W168" s="23">
        <v>0.99199999999999999</v>
      </c>
      <c r="X168" s="23" t="s">
        <v>1953</v>
      </c>
      <c r="Y168" s="23">
        <v>1.6E-2</v>
      </c>
      <c r="Z168" s="23">
        <v>1</v>
      </c>
      <c r="AA168" s="23" t="s">
        <v>1954</v>
      </c>
      <c r="AB168" s="23">
        <v>0.999</v>
      </c>
      <c r="AC168" s="23" t="s">
        <v>109</v>
      </c>
      <c r="AD168" s="23" t="s">
        <v>145</v>
      </c>
    </row>
    <row r="169" spans="1:30" ht="14.25" hidden="1">
      <c r="A169" s="23" t="s">
        <v>70</v>
      </c>
      <c r="B169" s="23" t="s">
        <v>72</v>
      </c>
      <c r="C169" s="23" t="s">
        <v>74</v>
      </c>
      <c r="D169" s="23" t="s">
        <v>75</v>
      </c>
      <c r="E169" s="23" t="s">
        <v>76</v>
      </c>
      <c r="F169" s="40"/>
      <c r="G169" s="40" t="s">
        <v>79</v>
      </c>
      <c r="H169" s="43" t="s">
        <v>81</v>
      </c>
      <c r="I169" s="23" t="s">
        <v>91</v>
      </c>
      <c r="J169" s="40" t="s">
        <v>91</v>
      </c>
      <c r="K169" s="44">
        <f>M169+N169</f>
        <v>322580</v>
      </c>
      <c r="L169" s="23">
        <v>39</v>
      </c>
      <c r="M169" s="40">
        <v>113769</v>
      </c>
      <c r="N169" s="44">
        <v>208811</v>
      </c>
      <c r="O169" s="40" t="s">
        <v>97</v>
      </c>
      <c r="P169" s="23" t="s">
        <v>98</v>
      </c>
      <c r="Q169" s="23" t="s">
        <v>99</v>
      </c>
      <c r="R169" s="23" t="s">
        <v>400</v>
      </c>
      <c r="S169" s="23" t="s">
        <v>101</v>
      </c>
      <c r="T169" s="23" t="s">
        <v>102</v>
      </c>
      <c r="U169" s="23" t="s">
        <v>79</v>
      </c>
      <c r="V169" s="23" t="s">
        <v>104</v>
      </c>
      <c r="W169" s="23" t="s">
        <v>79</v>
      </c>
      <c r="X169" s="23" t="s">
        <v>79</v>
      </c>
      <c r="Y169" s="23" t="s">
        <v>79</v>
      </c>
      <c r="Z169" s="23" t="s">
        <v>79</v>
      </c>
      <c r="AA169" s="23" t="s">
        <v>79</v>
      </c>
      <c r="AB169" s="23" t="s">
        <v>107</v>
      </c>
      <c r="AC169" s="23" t="s">
        <v>109</v>
      </c>
      <c r="AD169" s="23" t="s">
        <v>112</v>
      </c>
    </row>
    <row r="170" spans="1:30" ht="14.25" hidden="1">
      <c r="A170" s="29" t="s">
        <v>52</v>
      </c>
      <c r="B170" s="29" t="s">
        <v>161</v>
      </c>
      <c r="C170" s="29" t="s">
        <v>74</v>
      </c>
      <c r="D170" s="29" t="s">
        <v>246</v>
      </c>
      <c r="E170" s="29" t="s">
        <v>505</v>
      </c>
      <c r="F170" s="29"/>
      <c r="G170" s="29" t="s">
        <v>248</v>
      </c>
      <c r="H170" s="29" t="s">
        <v>1955</v>
      </c>
      <c r="I170" s="29" t="s">
        <v>133</v>
      </c>
      <c r="J170" s="29" t="s">
        <v>834</v>
      </c>
      <c r="K170" s="29">
        <v>403124</v>
      </c>
      <c r="L170" s="29">
        <v>11</v>
      </c>
      <c r="M170" s="29">
        <v>24955</v>
      </c>
      <c r="N170" s="29">
        <v>378169</v>
      </c>
      <c r="O170" s="29" t="s">
        <v>97</v>
      </c>
      <c r="P170" s="29" t="s">
        <v>98</v>
      </c>
      <c r="Q170" s="29" t="s">
        <v>79</v>
      </c>
      <c r="R170" s="29">
        <v>1.5</v>
      </c>
      <c r="S170" s="29" t="s">
        <v>1956</v>
      </c>
      <c r="T170" s="29" t="s">
        <v>1613</v>
      </c>
      <c r="U170" s="29" t="s">
        <v>1957</v>
      </c>
      <c r="V170" s="29" t="s">
        <v>1958</v>
      </c>
      <c r="W170" s="29" t="s">
        <v>1959</v>
      </c>
      <c r="X170" s="29" t="s">
        <v>1960</v>
      </c>
      <c r="Y170" s="29" t="s">
        <v>1961</v>
      </c>
      <c r="Z170" s="29">
        <v>4.54</v>
      </c>
      <c r="AA170" s="29" t="s">
        <v>1962</v>
      </c>
      <c r="AB170" s="29" t="s">
        <v>1963</v>
      </c>
      <c r="AC170" s="29" t="s">
        <v>140</v>
      </c>
      <c r="AD170" s="29" t="s">
        <v>155</v>
      </c>
    </row>
    <row r="171" spans="1:30" ht="14.25" hidden="1">
      <c r="A171" s="29" t="s">
        <v>52</v>
      </c>
      <c r="B171" s="29" t="s">
        <v>153</v>
      </c>
      <c r="C171" s="29" t="s">
        <v>74</v>
      </c>
      <c r="D171" s="29" t="s">
        <v>75</v>
      </c>
      <c r="E171" s="29" t="s">
        <v>1834</v>
      </c>
      <c r="F171" s="29"/>
      <c r="G171" s="29" t="s">
        <v>113</v>
      </c>
      <c r="H171" s="29"/>
      <c r="I171" s="29" t="s">
        <v>133</v>
      </c>
      <c r="J171" s="29" t="s">
        <v>1078</v>
      </c>
      <c r="K171" s="29">
        <f>M171+N171</f>
        <v>285244</v>
      </c>
      <c r="L171" s="29">
        <v>52</v>
      </c>
      <c r="M171" s="29">
        <v>1655</v>
      </c>
      <c r="N171" s="29">
        <v>283589</v>
      </c>
      <c r="O171" s="29" t="s">
        <v>97</v>
      </c>
      <c r="P171" s="29" t="s">
        <v>98</v>
      </c>
      <c r="Q171" s="29" t="s">
        <v>79</v>
      </c>
      <c r="R171" s="29" t="s">
        <v>1837</v>
      </c>
      <c r="S171" s="29" t="s">
        <v>1838</v>
      </c>
      <c r="T171" s="29" t="s">
        <v>1839</v>
      </c>
      <c r="U171" s="29" t="s">
        <v>79</v>
      </c>
      <c r="V171" s="29">
        <v>0.80200000000000005</v>
      </c>
      <c r="W171" s="29" t="s">
        <v>1840</v>
      </c>
      <c r="X171" s="29" t="s">
        <v>1841</v>
      </c>
      <c r="Y171" s="29" t="s">
        <v>1842</v>
      </c>
      <c r="Z171" s="29" t="s">
        <v>1843</v>
      </c>
      <c r="AA171" s="29" t="s">
        <v>1844</v>
      </c>
      <c r="AB171" s="29" t="s">
        <v>1845</v>
      </c>
      <c r="AC171" s="29" t="s">
        <v>140</v>
      </c>
      <c r="AD171" s="29" t="s">
        <v>145</v>
      </c>
    </row>
    <row r="172" spans="1:30" ht="14.25" hidden="1">
      <c r="A172" s="29" t="s">
        <v>52</v>
      </c>
      <c r="B172" s="29" t="s">
        <v>161</v>
      </c>
      <c r="C172" s="29" t="s">
        <v>74</v>
      </c>
      <c r="D172" s="29" t="s">
        <v>459</v>
      </c>
      <c r="E172" s="29" t="s">
        <v>505</v>
      </c>
      <c r="F172" s="29"/>
      <c r="G172" s="29" t="s">
        <v>215</v>
      </c>
      <c r="H172" s="29" t="s">
        <v>1955</v>
      </c>
      <c r="I172" s="29" t="s">
        <v>133</v>
      </c>
      <c r="J172" s="29" t="s">
        <v>834</v>
      </c>
      <c r="K172" s="29">
        <v>403124</v>
      </c>
      <c r="L172" s="29">
        <v>14</v>
      </c>
      <c r="M172" s="29">
        <v>24955</v>
      </c>
      <c r="N172" s="29">
        <v>378169</v>
      </c>
      <c r="O172" s="29" t="s">
        <v>97</v>
      </c>
      <c r="P172" s="29" t="s">
        <v>98</v>
      </c>
      <c r="Q172" s="29" t="s">
        <v>79</v>
      </c>
      <c r="R172" s="29">
        <v>0.71</v>
      </c>
      <c r="S172" s="29" t="s">
        <v>1973</v>
      </c>
      <c r="T172" s="29" t="s">
        <v>1974</v>
      </c>
      <c r="U172" s="29" t="s">
        <v>1975</v>
      </c>
      <c r="V172" s="29" t="s">
        <v>1729</v>
      </c>
      <c r="W172" s="29" t="s">
        <v>1976</v>
      </c>
      <c r="X172" s="29" t="s">
        <v>1977</v>
      </c>
      <c r="Y172" s="29" t="s">
        <v>478</v>
      </c>
      <c r="Z172" s="29">
        <v>0.13</v>
      </c>
      <c r="AA172" s="29" t="s">
        <v>1978</v>
      </c>
      <c r="AB172" s="29" t="s">
        <v>1979</v>
      </c>
      <c r="AC172" s="29" t="s">
        <v>140</v>
      </c>
      <c r="AD172" s="29" t="s">
        <v>155</v>
      </c>
    </row>
    <row r="173" spans="1:30" ht="14.25" hidden="1">
      <c r="A173" s="29" t="s">
        <v>52</v>
      </c>
      <c r="B173" s="29" t="s">
        <v>161</v>
      </c>
      <c r="C173" s="29" t="s">
        <v>74</v>
      </c>
      <c r="D173" s="29" t="s">
        <v>164</v>
      </c>
      <c r="E173" s="29" t="s">
        <v>505</v>
      </c>
      <c r="F173" s="29"/>
      <c r="G173" s="29" t="s">
        <v>165</v>
      </c>
      <c r="H173" s="29" t="s">
        <v>1955</v>
      </c>
      <c r="I173" s="29" t="s">
        <v>133</v>
      </c>
      <c r="J173" s="29" t="s">
        <v>834</v>
      </c>
      <c r="K173" s="29">
        <v>403124</v>
      </c>
      <c r="L173" s="29">
        <v>30</v>
      </c>
      <c r="M173" s="29">
        <v>24955</v>
      </c>
      <c r="N173" s="29">
        <v>378169</v>
      </c>
      <c r="O173" s="29" t="s">
        <v>97</v>
      </c>
      <c r="P173" s="29" t="s">
        <v>98</v>
      </c>
      <c r="Q173" s="29" t="s">
        <v>79</v>
      </c>
      <c r="R173" s="29">
        <v>0.46</v>
      </c>
      <c r="S173" s="29" t="s">
        <v>1986</v>
      </c>
      <c r="T173" s="125">
        <v>5.1679999999999999E-4</v>
      </c>
      <c r="U173" s="29" t="s">
        <v>1987</v>
      </c>
      <c r="V173" s="29" t="s">
        <v>1988</v>
      </c>
      <c r="W173" s="29">
        <v>0.44</v>
      </c>
      <c r="X173" s="29" t="s">
        <v>1989</v>
      </c>
      <c r="Y173" s="125">
        <v>1.6230000000000001E-3</v>
      </c>
      <c r="Z173" s="29">
        <v>0.48</v>
      </c>
      <c r="AA173" s="29" t="s">
        <v>1990</v>
      </c>
      <c r="AB173" s="125">
        <v>0.50319999999999998</v>
      </c>
      <c r="AC173" s="29" t="s">
        <v>140</v>
      </c>
      <c r="AD173" s="29" t="s">
        <v>155</v>
      </c>
    </row>
    <row r="174" spans="1:30" ht="14.25" hidden="1">
      <c r="A174" s="33" t="s">
        <v>52</v>
      </c>
      <c r="B174" s="33" t="s">
        <v>163</v>
      </c>
      <c r="C174" s="33" t="s">
        <v>74</v>
      </c>
      <c r="D174" s="33" t="s">
        <v>1991</v>
      </c>
      <c r="E174" s="33" t="s">
        <v>1923</v>
      </c>
      <c r="F174" s="33"/>
      <c r="G174" s="33" t="s">
        <v>248</v>
      </c>
      <c r="H174" s="33" t="s">
        <v>79</v>
      </c>
      <c r="I174" s="33" t="s">
        <v>133</v>
      </c>
      <c r="J174" s="33" t="s">
        <v>218</v>
      </c>
      <c r="K174" s="35">
        <f t="shared" ref="K174:K175" si="21">N174+M174</f>
        <v>276101</v>
      </c>
      <c r="L174" s="33">
        <v>17</v>
      </c>
      <c r="M174" s="33">
        <v>2659</v>
      </c>
      <c r="N174" s="33">
        <v>273442</v>
      </c>
      <c r="O174" s="33" t="s">
        <v>97</v>
      </c>
      <c r="P174" s="33" t="s">
        <v>98</v>
      </c>
      <c r="Q174" s="35">
        <v>37584</v>
      </c>
      <c r="R174" s="39" t="s">
        <v>1992</v>
      </c>
      <c r="S174" s="33" t="s">
        <v>1993</v>
      </c>
      <c r="T174" s="33">
        <v>0.18099999999999999</v>
      </c>
      <c r="U174" s="33" t="s">
        <v>79</v>
      </c>
      <c r="V174" s="33">
        <v>0.223</v>
      </c>
      <c r="W174" s="33" t="s">
        <v>1994</v>
      </c>
      <c r="X174" s="33" t="s">
        <v>1995</v>
      </c>
      <c r="Y174" s="33">
        <v>6.8000000000000005E-2</v>
      </c>
      <c r="Z174" s="33" t="s">
        <v>1996</v>
      </c>
      <c r="AA174" s="33" t="s">
        <v>1997</v>
      </c>
      <c r="AB174" s="33">
        <v>0.69899999999999995</v>
      </c>
      <c r="AC174" s="33" t="s">
        <v>140</v>
      </c>
      <c r="AD174" s="33" t="s">
        <v>385</v>
      </c>
    </row>
    <row r="175" spans="1:30" ht="14.25" hidden="1">
      <c r="A175" s="33" t="s">
        <v>52</v>
      </c>
      <c r="B175" s="33" t="s">
        <v>163</v>
      </c>
      <c r="C175" s="33" t="s">
        <v>74</v>
      </c>
      <c r="D175" s="33" t="s">
        <v>1998</v>
      </c>
      <c r="E175" s="33" t="s">
        <v>1923</v>
      </c>
      <c r="F175" s="33"/>
      <c r="G175" s="33" t="s">
        <v>165</v>
      </c>
      <c r="H175" s="33" t="s">
        <v>79</v>
      </c>
      <c r="I175" s="33" t="s">
        <v>133</v>
      </c>
      <c r="J175" s="33" t="s">
        <v>218</v>
      </c>
      <c r="K175" s="35">
        <f t="shared" si="21"/>
        <v>276101</v>
      </c>
      <c r="L175" s="33">
        <v>42</v>
      </c>
      <c r="M175" s="33">
        <v>2659</v>
      </c>
      <c r="N175" s="33">
        <v>273442</v>
      </c>
      <c r="O175" s="33" t="s">
        <v>97</v>
      </c>
      <c r="P175" s="33" t="s">
        <v>98</v>
      </c>
      <c r="Q175" s="35">
        <v>42065</v>
      </c>
      <c r="R175" s="39" t="s">
        <v>1999</v>
      </c>
      <c r="S175" s="33" t="s">
        <v>2000</v>
      </c>
      <c r="T175" s="33">
        <v>8.9999999999999993E-3</v>
      </c>
      <c r="U175" s="33" t="s">
        <v>79</v>
      </c>
      <c r="V175" s="33">
        <v>0.78800000000000003</v>
      </c>
      <c r="W175" s="33" t="s">
        <v>2001</v>
      </c>
      <c r="X175" s="33" t="s">
        <v>2002</v>
      </c>
      <c r="Y175" s="33">
        <v>1.6E-2</v>
      </c>
      <c r="Z175" s="33" t="s">
        <v>2003</v>
      </c>
      <c r="AA175" s="33" t="s">
        <v>2004</v>
      </c>
      <c r="AB175" s="33">
        <v>9.9000000000000005E-2</v>
      </c>
      <c r="AC175" s="33" t="s">
        <v>140</v>
      </c>
      <c r="AD175" s="33" t="s">
        <v>385</v>
      </c>
    </row>
    <row r="176" spans="1:30" ht="14.25" hidden="1">
      <c r="A176" s="23" t="s">
        <v>52</v>
      </c>
      <c r="B176" s="23" t="s">
        <v>84</v>
      </c>
      <c r="C176" s="23" t="s">
        <v>74</v>
      </c>
      <c r="D176" s="23" t="s">
        <v>75</v>
      </c>
      <c r="E176" s="14" t="s">
        <v>2113</v>
      </c>
      <c r="F176" s="23"/>
      <c r="G176" s="23" t="s">
        <v>113</v>
      </c>
      <c r="H176" s="14" t="s">
        <v>2114</v>
      </c>
      <c r="I176" s="23" t="s">
        <v>133</v>
      </c>
      <c r="J176" s="14" t="s">
        <v>1321</v>
      </c>
      <c r="K176" s="14">
        <f>SUM(M176:N176)</f>
        <v>121885</v>
      </c>
      <c r="L176" s="23">
        <v>53</v>
      </c>
      <c r="M176" s="14">
        <v>12906</v>
      </c>
      <c r="N176" s="14">
        <v>108979</v>
      </c>
      <c r="O176" s="23" t="s">
        <v>97</v>
      </c>
      <c r="P176" s="23" t="s">
        <v>98</v>
      </c>
      <c r="Q176" s="14" t="s">
        <v>79</v>
      </c>
      <c r="R176" s="23">
        <v>1.1642999999999999</v>
      </c>
      <c r="S176" s="23" t="s">
        <v>2118</v>
      </c>
      <c r="T176" s="23">
        <v>0.59819999999999995</v>
      </c>
      <c r="U176" s="23">
        <v>65.754400000000004</v>
      </c>
      <c r="V176" s="23">
        <v>8.0100000000000005E-2</v>
      </c>
      <c r="W176" s="23">
        <v>1.0193000000000001</v>
      </c>
      <c r="X176" s="23" t="s">
        <v>2119</v>
      </c>
      <c r="Y176" s="23">
        <v>0.96260000000000001</v>
      </c>
      <c r="Z176" s="14" t="s">
        <v>62</v>
      </c>
      <c r="AA176" s="14" t="s">
        <v>62</v>
      </c>
      <c r="AB176" s="14" t="s">
        <v>62</v>
      </c>
      <c r="AC176" s="23" t="s">
        <v>140</v>
      </c>
      <c r="AD176" s="23" t="s">
        <v>204</v>
      </c>
    </row>
    <row r="177" spans="1:30" ht="14.25" hidden="1">
      <c r="A177" s="33" t="s">
        <v>52</v>
      </c>
      <c r="B177" s="33" t="s">
        <v>163</v>
      </c>
      <c r="C177" s="33" t="s">
        <v>74</v>
      </c>
      <c r="D177" s="33" t="s">
        <v>622</v>
      </c>
      <c r="E177" s="33" t="s">
        <v>1923</v>
      </c>
      <c r="F177" s="33"/>
      <c r="G177" s="33" t="s">
        <v>215</v>
      </c>
      <c r="H177" s="33" t="s">
        <v>79</v>
      </c>
      <c r="I177" s="33" t="s">
        <v>133</v>
      </c>
      <c r="J177" s="33" t="s">
        <v>218</v>
      </c>
      <c r="K177" s="35">
        <f t="shared" ref="K177:K179" si="22">N177+M177</f>
        <v>276101</v>
      </c>
      <c r="L177" s="33">
        <v>17</v>
      </c>
      <c r="M177" s="33">
        <v>2659</v>
      </c>
      <c r="N177" s="33">
        <v>273442</v>
      </c>
      <c r="O177" s="33" t="s">
        <v>97</v>
      </c>
      <c r="P177" s="33" t="s">
        <v>98</v>
      </c>
      <c r="Q177" s="35">
        <v>39582</v>
      </c>
      <c r="R177" s="39" t="s">
        <v>2005</v>
      </c>
      <c r="S177" s="33" t="s">
        <v>2006</v>
      </c>
      <c r="T177" s="33">
        <v>0.121</v>
      </c>
      <c r="U177" s="33" t="s">
        <v>79</v>
      </c>
      <c r="V177" s="33">
        <v>0.189</v>
      </c>
      <c r="W177" s="33" t="s">
        <v>2007</v>
      </c>
      <c r="X177" s="33" t="s">
        <v>2008</v>
      </c>
      <c r="Y177" s="33">
        <v>0.41599999999999998</v>
      </c>
      <c r="Z177" s="33" t="s">
        <v>2009</v>
      </c>
      <c r="AA177" s="33" t="s">
        <v>2010</v>
      </c>
      <c r="AB177" s="33">
        <v>0.56899999999999995</v>
      </c>
      <c r="AC177" s="33" t="s">
        <v>140</v>
      </c>
      <c r="AD177" s="33" t="s">
        <v>385</v>
      </c>
    </row>
    <row r="178" spans="1:30" ht="14.25" hidden="1">
      <c r="A178" s="33" t="s">
        <v>52</v>
      </c>
      <c r="B178" s="33" t="s">
        <v>163</v>
      </c>
      <c r="C178" s="33" t="s">
        <v>74</v>
      </c>
      <c r="D178" s="33" t="s">
        <v>1991</v>
      </c>
      <c r="E178" s="33" t="s">
        <v>365</v>
      </c>
      <c r="F178" s="33"/>
      <c r="G178" s="33" t="s">
        <v>248</v>
      </c>
      <c r="H178" s="33" t="s">
        <v>79</v>
      </c>
      <c r="I178" s="33" t="s">
        <v>133</v>
      </c>
      <c r="J178" s="33" t="s">
        <v>218</v>
      </c>
      <c r="K178" s="35">
        <f t="shared" si="22"/>
        <v>278090</v>
      </c>
      <c r="L178" s="33">
        <v>17</v>
      </c>
      <c r="M178" s="33">
        <v>4648</v>
      </c>
      <c r="N178" s="33">
        <v>273442</v>
      </c>
      <c r="O178" s="33" t="s">
        <v>97</v>
      </c>
      <c r="P178" s="33" t="s">
        <v>98</v>
      </c>
      <c r="Q178" s="35">
        <v>37584</v>
      </c>
      <c r="R178" s="39" t="s">
        <v>2011</v>
      </c>
      <c r="S178" s="33" t="s">
        <v>2012</v>
      </c>
      <c r="T178" s="33">
        <v>0.14199999999999999</v>
      </c>
      <c r="U178" s="33" t="s">
        <v>79</v>
      </c>
      <c r="V178" s="33">
        <v>6.6000000000000003E-2</v>
      </c>
      <c r="W178" s="33" t="s">
        <v>2013</v>
      </c>
      <c r="X178" s="33" t="s">
        <v>2014</v>
      </c>
      <c r="Y178" s="33">
        <v>5.1999999999999998E-2</v>
      </c>
      <c r="Z178" s="33" t="s">
        <v>2015</v>
      </c>
      <c r="AA178" s="33" t="s">
        <v>2016</v>
      </c>
      <c r="AB178" s="33">
        <v>7.2999999999999995E-2</v>
      </c>
      <c r="AC178" s="33" t="s">
        <v>109</v>
      </c>
      <c r="AD178" s="33" t="s">
        <v>385</v>
      </c>
    </row>
    <row r="179" spans="1:30" ht="14.25" hidden="1">
      <c r="A179" s="33" t="s">
        <v>52</v>
      </c>
      <c r="B179" s="33" t="s">
        <v>163</v>
      </c>
      <c r="C179" s="33" t="s">
        <v>74</v>
      </c>
      <c r="D179" s="33" t="s">
        <v>1998</v>
      </c>
      <c r="E179" s="33" t="s">
        <v>365</v>
      </c>
      <c r="F179" s="33"/>
      <c r="G179" s="33" t="s">
        <v>165</v>
      </c>
      <c r="H179" s="33" t="s">
        <v>79</v>
      </c>
      <c r="I179" s="33" t="s">
        <v>133</v>
      </c>
      <c r="J179" s="33" t="s">
        <v>218</v>
      </c>
      <c r="K179" s="35">
        <f t="shared" si="22"/>
        <v>278090</v>
      </c>
      <c r="L179" s="33">
        <v>42</v>
      </c>
      <c r="M179" s="33">
        <v>4648</v>
      </c>
      <c r="N179" s="33">
        <v>273442</v>
      </c>
      <c r="O179" s="33" t="s">
        <v>97</v>
      </c>
      <c r="P179" s="33" t="s">
        <v>98</v>
      </c>
      <c r="Q179" s="35">
        <v>42065</v>
      </c>
      <c r="R179" s="39" t="s">
        <v>2017</v>
      </c>
      <c r="S179" s="33" t="s">
        <v>2018</v>
      </c>
      <c r="T179" s="33" t="s">
        <v>2019</v>
      </c>
      <c r="U179" s="33" t="s">
        <v>79</v>
      </c>
      <c r="V179" s="33">
        <v>0.46</v>
      </c>
      <c r="W179" s="33" t="s">
        <v>2020</v>
      </c>
      <c r="X179" s="33" t="s">
        <v>2021</v>
      </c>
      <c r="Y179" s="33">
        <v>1E-3</v>
      </c>
      <c r="Z179" s="33" t="s">
        <v>2022</v>
      </c>
      <c r="AA179" s="33" t="s">
        <v>2023</v>
      </c>
      <c r="AB179" s="33">
        <v>0.14000000000000001</v>
      </c>
      <c r="AC179" s="33" t="s">
        <v>109</v>
      </c>
      <c r="AD179" s="33" t="s">
        <v>385</v>
      </c>
    </row>
    <row r="180" spans="1:30" ht="14.25" hidden="1">
      <c r="A180" s="33" t="s">
        <v>52</v>
      </c>
      <c r="B180" s="33" t="s">
        <v>21</v>
      </c>
      <c r="C180" s="33" t="s">
        <v>74</v>
      </c>
      <c r="D180" s="33" t="s">
        <v>75</v>
      </c>
      <c r="E180" s="33" t="s">
        <v>1565</v>
      </c>
      <c r="F180" s="33"/>
      <c r="G180" s="33" t="s">
        <v>113</v>
      </c>
      <c r="H180" s="33" t="s">
        <v>79</v>
      </c>
      <c r="I180" s="33" t="s">
        <v>133</v>
      </c>
      <c r="J180" s="33" t="s">
        <v>218</v>
      </c>
      <c r="K180" s="33">
        <f>M180+N180</f>
        <v>260086</v>
      </c>
      <c r="L180" s="33">
        <v>55</v>
      </c>
      <c r="M180" s="33">
        <v>503</v>
      </c>
      <c r="N180" s="33">
        <v>259583</v>
      </c>
      <c r="O180" s="33" t="s">
        <v>97</v>
      </c>
      <c r="P180" s="33" t="s">
        <v>98</v>
      </c>
      <c r="Q180" s="33" t="s">
        <v>1354</v>
      </c>
      <c r="R180" s="33">
        <v>0.127</v>
      </c>
      <c r="S180" s="33" t="s">
        <v>1571</v>
      </c>
      <c r="T180" s="84">
        <v>5.2348849835812103E-2</v>
      </c>
      <c r="U180" s="84">
        <v>50.849365635394598</v>
      </c>
      <c r="V180" s="84">
        <v>0.51918961088945803</v>
      </c>
      <c r="W180" s="33">
        <v>6.5000000000000002E-2</v>
      </c>
      <c r="X180" s="33" t="s">
        <v>1572</v>
      </c>
      <c r="Y180" s="84">
        <v>9.0415338206360801E-2</v>
      </c>
      <c r="Z180" s="33">
        <v>0.193</v>
      </c>
      <c r="AA180" s="33" t="s">
        <v>1573</v>
      </c>
      <c r="AB180" s="84">
        <v>0.65422278034714298</v>
      </c>
      <c r="AC180" s="33" t="s">
        <v>109</v>
      </c>
      <c r="AD180" s="33" t="s">
        <v>385</v>
      </c>
    </row>
    <row r="181" spans="1:30" ht="14.25" hidden="1">
      <c r="A181" s="33" t="s">
        <v>52</v>
      </c>
      <c r="B181" s="33" t="s">
        <v>163</v>
      </c>
      <c r="C181" s="33" t="s">
        <v>74</v>
      </c>
      <c r="D181" s="33" t="s">
        <v>622</v>
      </c>
      <c r="E181" s="33" t="s">
        <v>365</v>
      </c>
      <c r="F181" s="33"/>
      <c r="G181" s="33" t="s">
        <v>215</v>
      </c>
      <c r="H181" s="33" t="s">
        <v>79</v>
      </c>
      <c r="I181" s="33" t="s">
        <v>133</v>
      </c>
      <c r="J181" s="33" t="s">
        <v>218</v>
      </c>
      <c r="K181" s="35">
        <f>N181+M181</f>
        <v>278090</v>
      </c>
      <c r="L181" s="33">
        <v>17</v>
      </c>
      <c r="M181" s="33">
        <v>4648</v>
      </c>
      <c r="N181" s="33">
        <v>273442</v>
      </c>
      <c r="O181" s="33" t="s">
        <v>97</v>
      </c>
      <c r="P181" s="33" t="s">
        <v>98</v>
      </c>
      <c r="Q181" s="35">
        <v>39582</v>
      </c>
      <c r="R181" s="39" t="s">
        <v>2024</v>
      </c>
      <c r="S181" s="33" t="s">
        <v>2025</v>
      </c>
      <c r="T181" s="33">
        <v>0.161</v>
      </c>
      <c r="U181" s="33" t="s">
        <v>79</v>
      </c>
      <c r="V181" s="33">
        <v>3.5000000000000003E-2</v>
      </c>
      <c r="W181" s="33" t="s">
        <v>2026</v>
      </c>
      <c r="X181" s="33" t="s">
        <v>2027</v>
      </c>
      <c r="Y181" s="33">
        <v>0.54</v>
      </c>
      <c r="Z181" s="33" t="s">
        <v>2028</v>
      </c>
      <c r="AA181" s="33" t="s">
        <v>2029</v>
      </c>
      <c r="AB181" s="33">
        <v>0.83599999999999997</v>
      </c>
      <c r="AC181" s="33" t="s">
        <v>109</v>
      </c>
      <c r="AD181" s="33" t="s">
        <v>385</v>
      </c>
    </row>
    <row r="182" spans="1:30" ht="14.25" hidden="1">
      <c r="A182" s="29" t="s">
        <v>52</v>
      </c>
      <c r="B182" s="29" t="s">
        <v>73</v>
      </c>
      <c r="C182" s="29" t="s">
        <v>74</v>
      </c>
      <c r="D182" s="29" t="s">
        <v>75</v>
      </c>
      <c r="E182" s="29" t="s">
        <v>2130</v>
      </c>
      <c r="F182" s="29"/>
      <c r="G182" s="29" t="s">
        <v>113</v>
      </c>
      <c r="H182" s="29" t="s">
        <v>2131</v>
      </c>
      <c r="I182" s="29" t="s">
        <v>133</v>
      </c>
      <c r="J182" s="29" t="s">
        <v>218</v>
      </c>
      <c r="K182" s="42">
        <v>75450</v>
      </c>
      <c r="L182" s="42">
        <v>55</v>
      </c>
      <c r="M182" s="42">
        <v>6481</v>
      </c>
      <c r="N182" s="42">
        <v>68969</v>
      </c>
      <c r="O182" s="29" t="s">
        <v>97</v>
      </c>
      <c r="P182" s="29" t="s">
        <v>98</v>
      </c>
      <c r="Q182" s="29">
        <v>33.4</v>
      </c>
      <c r="R182" s="29">
        <v>0.95269999999999999</v>
      </c>
      <c r="S182" s="29" t="s">
        <v>2133</v>
      </c>
      <c r="T182" s="138" t="s">
        <v>2134</v>
      </c>
      <c r="U182" s="29">
        <v>49.460799999999999</v>
      </c>
      <c r="V182" s="29">
        <v>0.14510000000000001</v>
      </c>
      <c r="W182" s="29">
        <v>0.72789999999999999</v>
      </c>
      <c r="X182" s="29" t="s">
        <v>2135</v>
      </c>
      <c r="Y182" s="29">
        <v>0.50339999999999996</v>
      </c>
      <c r="Z182" s="29">
        <v>0.64549999999999996</v>
      </c>
      <c r="AA182" s="29" t="s">
        <v>2136</v>
      </c>
      <c r="AB182" s="29">
        <v>0.71460000000000001</v>
      </c>
      <c r="AC182" s="29" t="s">
        <v>109</v>
      </c>
      <c r="AD182" s="29" t="s">
        <v>145</v>
      </c>
    </row>
    <row r="183" spans="1:30" ht="14.25" hidden="1">
      <c r="A183" s="33" t="s">
        <v>70</v>
      </c>
      <c r="B183" s="33" t="s">
        <v>175</v>
      </c>
      <c r="C183" s="33" t="s">
        <v>74</v>
      </c>
      <c r="D183" s="33" t="s">
        <v>2043</v>
      </c>
      <c r="E183" s="33" t="s">
        <v>562</v>
      </c>
      <c r="F183" s="33"/>
      <c r="G183" s="33" t="s">
        <v>248</v>
      </c>
      <c r="H183" s="33" t="s">
        <v>2044</v>
      </c>
      <c r="I183" s="33" t="s">
        <v>133</v>
      </c>
      <c r="J183" s="33" t="s">
        <v>218</v>
      </c>
      <c r="K183" s="35">
        <v>214620</v>
      </c>
      <c r="L183" s="33">
        <v>17</v>
      </c>
      <c r="M183" s="35">
        <v>4320</v>
      </c>
      <c r="N183" s="35">
        <f t="shared" ref="N183:N184" si="23">K183-M183</f>
        <v>210300</v>
      </c>
      <c r="O183" s="33" t="s">
        <v>79</v>
      </c>
      <c r="P183" s="33" t="s">
        <v>98</v>
      </c>
      <c r="Q183" s="33" t="s">
        <v>79</v>
      </c>
      <c r="R183" s="33">
        <v>1.742</v>
      </c>
      <c r="S183" s="33" t="s">
        <v>2045</v>
      </c>
      <c r="T183" s="33">
        <v>0.33700000000000002</v>
      </c>
      <c r="U183" s="33">
        <v>18.312000000000001</v>
      </c>
      <c r="V183" s="33">
        <v>0.30599999999999999</v>
      </c>
      <c r="W183" s="33">
        <v>1.129</v>
      </c>
      <c r="X183" s="33" t="s">
        <v>2047</v>
      </c>
      <c r="Y183" s="33">
        <v>0.88100000000000001</v>
      </c>
      <c r="Z183" s="33" t="s">
        <v>1165</v>
      </c>
      <c r="AA183" s="33" t="s">
        <v>2049</v>
      </c>
      <c r="AB183" s="33">
        <v>0.108</v>
      </c>
      <c r="AC183" s="10" t="s">
        <v>140</v>
      </c>
      <c r="AD183" s="33" t="s">
        <v>385</v>
      </c>
    </row>
    <row r="184" spans="1:30" ht="14.25" hidden="1">
      <c r="A184" s="33" t="s">
        <v>70</v>
      </c>
      <c r="B184" s="33" t="s">
        <v>175</v>
      </c>
      <c r="C184" s="33" t="s">
        <v>74</v>
      </c>
      <c r="D184" s="33" t="s">
        <v>164</v>
      </c>
      <c r="E184" s="33" t="s">
        <v>562</v>
      </c>
      <c r="F184" s="33"/>
      <c r="G184" s="33" t="s">
        <v>165</v>
      </c>
      <c r="H184" s="33" t="s">
        <v>2044</v>
      </c>
      <c r="I184" s="33" t="s">
        <v>133</v>
      </c>
      <c r="J184" s="33" t="s">
        <v>218</v>
      </c>
      <c r="K184" s="35">
        <v>214620</v>
      </c>
      <c r="L184" s="33">
        <v>41</v>
      </c>
      <c r="M184" s="35">
        <v>4320</v>
      </c>
      <c r="N184" s="35">
        <f t="shared" si="23"/>
        <v>210300</v>
      </c>
      <c r="O184" s="33" t="s">
        <v>79</v>
      </c>
      <c r="P184" s="33" t="s">
        <v>98</v>
      </c>
      <c r="Q184" s="33" t="s">
        <v>79</v>
      </c>
      <c r="R184" s="33">
        <v>0.48799999999999999</v>
      </c>
      <c r="S184" s="33" t="s">
        <v>2050</v>
      </c>
      <c r="T184" s="33">
        <v>2.5000000000000001E-2</v>
      </c>
      <c r="U184" s="129">
        <v>49.7</v>
      </c>
      <c r="V184" s="129">
        <v>0.14000000000000001</v>
      </c>
      <c r="W184" s="33">
        <v>0.73299999999999998</v>
      </c>
      <c r="X184" s="33" t="s">
        <v>2051</v>
      </c>
      <c r="Y184" s="33">
        <v>0.505</v>
      </c>
      <c r="Z184" s="33">
        <v>0.307</v>
      </c>
      <c r="AA184" s="33" t="s">
        <v>2052</v>
      </c>
      <c r="AB184" s="129">
        <v>0.47</v>
      </c>
      <c r="AC184" s="10" t="s">
        <v>140</v>
      </c>
      <c r="AD184" s="33" t="s">
        <v>385</v>
      </c>
    </row>
    <row r="185" spans="1:30" ht="14.25" hidden="1">
      <c r="A185" s="23" t="s">
        <v>52</v>
      </c>
      <c r="B185" s="23" t="s">
        <v>24</v>
      </c>
      <c r="C185" s="23" t="s">
        <v>74</v>
      </c>
      <c r="D185" s="23" t="s">
        <v>75</v>
      </c>
      <c r="E185" s="23" t="s">
        <v>1534</v>
      </c>
      <c r="F185" s="23"/>
      <c r="G185" s="23" t="s">
        <v>113</v>
      </c>
      <c r="H185" s="131" t="s">
        <v>1533</v>
      </c>
      <c r="I185" s="23" t="s">
        <v>133</v>
      </c>
      <c r="J185" s="23" t="s">
        <v>256</v>
      </c>
      <c r="K185" s="23">
        <v>602604</v>
      </c>
      <c r="L185" s="25">
        <v>37</v>
      </c>
      <c r="M185" s="25">
        <v>129080</v>
      </c>
      <c r="N185" s="25">
        <v>473524</v>
      </c>
      <c r="O185" s="23" t="s">
        <v>97</v>
      </c>
      <c r="P185" s="23" t="s">
        <v>98</v>
      </c>
      <c r="Q185" s="23">
        <v>18.132000000000001</v>
      </c>
      <c r="R185" s="23">
        <v>0.79</v>
      </c>
      <c r="S185" s="23" t="s">
        <v>2075</v>
      </c>
      <c r="T185" s="23">
        <v>0.17799999999999999</v>
      </c>
      <c r="U185" s="23">
        <v>124</v>
      </c>
      <c r="V185" s="128">
        <v>1.35E-11</v>
      </c>
      <c r="W185" s="23">
        <v>0.87</v>
      </c>
      <c r="X185" s="23" t="s">
        <v>2076</v>
      </c>
      <c r="Y185" s="23">
        <v>0.47199999999999998</v>
      </c>
      <c r="Z185" s="23">
        <v>1.65</v>
      </c>
      <c r="AA185" s="23" t="s">
        <v>2077</v>
      </c>
      <c r="AB185" s="23">
        <v>0.443</v>
      </c>
      <c r="AC185" s="23" t="s">
        <v>109</v>
      </c>
      <c r="AD185" s="23" t="s">
        <v>385</v>
      </c>
    </row>
    <row r="186" spans="1:30" ht="14.25">
      <c r="A186" s="14" t="s">
        <v>70</v>
      </c>
      <c r="B186" s="14" t="s">
        <v>211</v>
      </c>
      <c r="C186" s="14" t="s">
        <v>74</v>
      </c>
      <c r="D186" s="14" t="s">
        <v>246</v>
      </c>
      <c r="E186" s="14" t="s">
        <v>411</v>
      </c>
      <c r="F186" s="14">
        <v>4</v>
      </c>
      <c r="G186" s="14" t="s">
        <v>248</v>
      </c>
      <c r="H186" s="14" t="s">
        <v>1693</v>
      </c>
      <c r="I186" s="14" t="s">
        <v>133</v>
      </c>
      <c r="J186" s="14" t="s">
        <v>218</v>
      </c>
      <c r="K186" s="19">
        <v>361088</v>
      </c>
      <c r="L186" s="14">
        <v>17</v>
      </c>
      <c r="M186" s="19">
        <v>95462</v>
      </c>
      <c r="N186" s="19">
        <v>265626</v>
      </c>
      <c r="O186" s="14" t="s">
        <v>79</v>
      </c>
      <c r="P186" s="14" t="s">
        <v>98</v>
      </c>
      <c r="Q186" s="14" t="s">
        <v>79</v>
      </c>
      <c r="R186" s="14">
        <v>1.01</v>
      </c>
      <c r="S186" s="14" t="s">
        <v>2061</v>
      </c>
      <c r="T186" s="14">
        <v>0.97099999999999997</v>
      </c>
      <c r="U186" s="14">
        <v>8.3800000000000008</v>
      </c>
      <c r="V186" s="14">
        <v>0.81799999999999995</v>
      </c>
      <c r="W186" s="14">
        <v>0.94</v>
      </c>
      <c r="X186" s="14" t="s">
        <v>2062</v>
      </c>
      <c r="Y186" s="14">
        <v>0.80400000000000005</v>
      </c>
      <c r="Z186" s="14">
        <v>0.15</v>
      </c>
      <c r="AA186" s="14" t="s">
        <v>2063</v>
      </c>
      <c r="AB186" s="14">
        <v>0.36199999999999999</v>
      </c>
      <c r="AC186" s="14" t="s">
        <v>140</v>
      </c>
      <c r="AD186" s="14" t="s">
        <v>1689</v>
      </c>
    </row>
    <row r="187" spans="1:30" ht="14.25" hidden="1">
      <c r="A187" s="14" t="s">
        <v>70</v>
      </c>
      <c r="B187" s="14" t="s">
        <v>211</v>
      </c>
      <c r="C187" s="14" t="s">
        <v>74</v>
      </c>
      <c r="D187" s="14" t="s">
        <v>622</v>
      </c>
      <c r="E187" s="14" t="s">
        <v>411</v>
      </c>
      <c r="F187" s="14"/>
      <c r="G187" s="14" t="s">
        <v>215</v>
      </c>
      <c r="H187" s="14" t="s">
        <v>1693</v>
      </c>
      <c r="I187" s="14" t="s">
        <v>133</v>
      </c>
      <c r="J187" s="14" t="s">
        <v>218</v>
      </c>
      <c r="K187" s="19">
        <v>361088</v>
      </c>
      <c r="L187" s="14">
        <v>22</v>
      </c>
      <c r="M187" s="19">
        <v>95462</v>
      </c>
      <c r="N187" s="19">
        <v>265626</v>
      </c>
      <c r="O187" s="14" t="s">
        <v>79</v>
      </c>
      <c r="P187" s="14" t="s">
        <v>98</v>
      </c>
      <c r="Q187" s="14" t="s">
        <v>79</v>
      </c>
      <c r="R187" s="14">
        <v>0.57999999999999996</v>
      </c>
      <c r="S187" s="14" t="s">
        <v>1694</v>
      </c>
      <c r="T187" s="14">
        <v>1.4999999999999999E-2</v>
      </c>
      <c r="U187" s="14">
        <v>24.88</v>
      </c>
      <c r="V187" s="14">
        <v>9.7500000000000003E-2</v>
      </c>
      <c r="W187" s="14">
        <v>0.74</v>
      </c>
      <c r="X187" s="14" t="s">
        <v>1695</v>
      </c>
      <c r="Y187" s="14">
        <v>0.78800000000000003</v>
      </c>
      <c r="Z187" s="14">
        <v>0.78</v>
      </c>
      <c r="AA187" s="14" t="s">
        <v>1696</v>
      </c>
      <c r="AB187" s="14">
        <v>0.375</v>
      </c>
      <c r="AC187" s="14" t="s">
        <v>140</v>
      </c>
      <c r="AD187" s="14" t="s">
        <v>1689</v>
      </c>
    </row>
    <row r="188" spans="1:30" ht="14.25" hidden="1">
      <c r="A188" s="14" t="s">
        <v>70</v>
      </c>
      <c r="B188" s="14" t="s">
        <v>211</v>
      </c>
      <c r="C188" s="14" t="s">
        <v>74</v>
      </c>
      <c r="D188" s="14" t="s">
        <v>164</v>
      </c>
      <c r="E188" s="14" t="s">
        <v>411</v>
      </c>
      <c r="F188" s="14"/>
      <c r="G188" s="14" t="s">
        <v>165</v>
      </c>
      <c r="H188" s="14" t="s">
        <v>1693</v>
      </c>
      <c r="I188" s="14" t="s">
        <v>133</v>
      </c>
      <c r="J188" s="14" t="s">
        <v>218</v>
      </c>
      <c r="K188" s="19">
        <v>361088</v>
      </c>
      <c r="L188" s="14">
        <v>43</v>
      </c>
      <c r="M188" s="19">
        <v>95462</v>
      </c>
      <c r="N188" s="19">
        <v>265626</v>
      </c>
      <c r="O188" s="14" t="s">
        <v>79</v>
      </c>
      <c r="P188" s="14" t="s">
        <v>98</v>
      </c>
      <c r="Q188" s="14" t="s">
        <v>79</v>
      </c>
      <c r="R188" s="14">
        <v>0.51</v>
      </c>
      <c r="S188" s="14" t="s">
        <v>2064</v>
      </c>
      <c r="T188" s="46">
        <v>2.3099999999999999E-5</v>
      </c>
      <c r="U188" s="14">
        <v>64.92</v>
      </c>
      <c r="V188" s="46">
        <v>2.24E-4</v>
      </c>
      <c r="W188" s="14">
        <v>0.46</v>
      </c>
      <c r="X188" s="14" t="s">
        <v>2065</v>
      </c>
      <c r="Y188" s="14" t="s">
        <v>2066</v>
      </c>
      <c r="Z188" s="14">
        <v>0.15</v>
      </c>
      <c r="AA188" s="14" t="s">
        <v>2067</v>
      </c>
      <c r="AB188" s="14">
        <v>0.01</v>
      </c>
      <c r="AC188" s="14" t="s">
        <v>140</v>
      </c>
      <c r="AD188" s="14" t="s">
        <v>1689</v>
      </c>
    </row>
    <row r="189" spans="1:30" ht="14.25" hidden="1">
      <c r="A189" s="23" t="s">
        <v>52</v>
      </c>
      <c r="B189" s="23" t="s">
        <v>24</v>
      </c>
      <c r="C189" s="23" t="s">
        <v>74</v>
      </c>
      <c r="D189" s="23" t="s">
        <v>246</v>
      </c>
      <c r="E189" s="23" t="s">
        <v>1534</v>
      </c>
      <c r="F189" s="23"/>
      <c r="G189" s="23" t="s">
        <v>248</v>
      </c>
      <c r="H189" s="131" t="s">
        <v>1533</v>
      </c>
      <c r="I189" s="23" t="s">
        <v>133</v>
      </c>
      <c r="J189" s="23" t="s">
        <v>256</v>
      </c>
      <c r="K189" s="23">
        <v>602604</v>
      </c>
      <c r="L189" s="25">
        <v>9</v>
      </c>
      <c r="M189" s="25">
        <v>129080</v>
      </c>
      <c r="N189" s="25">
        <v>473524</v>
      </c>
      <c r="O189" s="23" t="s">
        <v>97</v>
      </c>
      <c r="P189" s="23" t="s">
        <v>98</v>
      </c>
      <c r="Q189" s="23">
        <v>10.983000000000001</v>
      </c>
      <c r="R189" s="23">
        <v>1.87</v>
      </c>
      <c r="S189" s="23" t="s">
        <v>2069</v>
      </c>
      <c r="T189" s="128">
        <v>1E-3</v>
      </c>
      <c r="U189" s="23">
        <v>9.86</v>
      </c>
      <c r="V189" s="23">
        <v>0.27500000000000002</v>
      </c>
      <c r="W189" s="23">
        <v>1.56</v>
      </c>
      <c r="X189" s="23" t="s">
        <v>2070</v>
      </c>
      <c r="Y189" s="23">
        <v>8.1000000000000003E-2</v>
      </c>
      <c r="Z189" s="23">
        <v>0.71</v>
      </c>
      <c r="AA189" s="23" t="s">
        <v>2071</v>
      </c>
      <c r="AB189" s="23">
        <v>0.88500000000000001</v>
      </c>
      <c r="AC189" s="23" t="s">
        <v>109</v>
      </c>
      <c r="AD189" s="23" t="s">
        <v>385</v>
      </c>
    </row>
    <row r="190" spans="1:30" ht="14.25" hidden="1">
      <c r="A190" s="23" t="s">
        <v>52</v>
      </c>
      <c r="B190" s="23" t="s">
        <v>24</v>
      </c>
      <c r="C190" s="23" t="s">
        <v>74</v>
      </c>
      <c r="D190" s="23" t="s">
        <v>459</v>
      </c>
      <c r="E190" s="23" t="s">
        <v>1534</v>
      </c>
      <c r="F190" s="23"/>
      <c r="G190" s="23" t="s">
        <v>215</v>
      </c>
      <c r="H190" s="131" t="s">
        <v>1533</v>
      </c>
      <c r="I190" s="23" t="s">
        <v>133</v>
      </c>
      <c r="J190" s="23" t="s">
        <v>256</v>
      </c>
      <c r="K190" s="23">
        <v>602604</v>
      </c>
      <c r="L190" s="25">
        <v>10</v>
      </c>
      <c r="M190" s="25">
        <v>129080</v>
      </c>
      <c r="N190" s="25">
        <v>473524</v>
      </c>
      <c r="O190" s="23" t="s">
        <v>97</v>
      </c>
      <c r="P190" s="23" t="s">
        <v>98</v>
      </c>
      <c r="Q190" s="23">
        <v>18.628</v>
      </c>
      <c r="R190" s="23">
        <v>0.84</v>
      </c>
      <c r="S190" s="23" t="s">
        <v>2072</v>
      </c>
      <c r="T190" s="23">
        <v>0.309</v>
      </c>
      <c r="U190" s="23">
        <v>9.26</v>
      </c>
      <c r="V190" s="23">
        <v>0.41399999999999998</v>
      </c>
      <c r="W190" s="23">
        <v>0.9</v>
      </c>
      <c r="X190" s="23" t="s">
        <v>2073</v>
      </c>
      <c r="Y190" s="23">
        <v>0.63900000000000001</v>
      </c>
      <c r="Z190" s="23">
        <v>2.39</v>
      </c>
      <c r="AA190" s="23" t="s">
        <v>2074</v>
      </c>
      <c r="AB190" s="23">
        <v>0.35199999999999998</v>
      </c>
      <c r="AC190" s="23" t="s">
        <v>109</v>
      </c>
      <c r="AD190" s="23" t="s">
        <v>385</v>
      </c>
    </row>
    <row r="191" spans="1:30" ht="14.25" hidden="1">
      <c r="A191" s="33" t="s">
        <v>52</v>
      </c>
      <c r="B191" s="33" t="s">
        <v>21</v>
      </c>
      <c r="C191" s="33" t="s">
        <v>74</v>
      </c>
      <c r="D191" s="33" t="s">
        <v>75</v>
      </c>
      <c r="E191" s="33" t="s">
        <v>1526</v>
      </c>
      <c r="F191" s="33"/>
      <c r="G191" s="33" t="s">
        <v>113</v>
      </c>
      <c r="H191" s="33" t="s">
        <v>79</v>
      </c>
      <c r="I191" s="33" t="s">
        <v>133</v>
      </c>
      <c r="J191" s="33" t="s">
        <v>218</v>
      </c>
      <c r="K191" s="33">
        <f>M191+N191</f>
        <v>315123</v>
      </c>
      <c r="L191" s="33">
        <v>55</v>
      </c>
      <c r="M191" s="33">
        <v>22867</v>
      </c>
      <c r="N191" s="33">
        <v>292256</v>
      </c>
      <c r="O191" s="33" t="s">
        <v>97</v>
      </c>
      <c r="P191" s="33" t="s">
        <v>98</v>
      </c>
      <c r="Q191" s="33" t="s">
        <v>1354</v>
      </c>
      <c r="R191" s="33">
        <v>0.73799999999999999</v>
      </c>
      <c r="S191" s="33" t="s">
        <v>1535</v>
      </c>
      <c r="T191" s="84">
        <v>7.1629831392131693E-2</v>
      </c>
      <c r="U191" s="84">
        <v>54.985982931458601</v>
      </c>
      <c r="V191" s="84">
        <v>0.36223121223614402</v>
      </c>
      <c r="W191" s="33">
        <v>0.82199999999999995</v>
      </c>
      <c r="X191" s="33" t="s">
        <v>1537</v>
      </c>
      <c r="Y191" s="84">
        <v>0.43723398701586602</v>
      </c>
      <c r="Z191" s="33">
        <v>1.07</v>
      </c>
      <c r="AA191" s="33" t="s">
        <v>1538</v>
      </c>
      <c r="AB191" s="84">
        <v>0.907605245952676</v>
      </c>
      <c r="AC191" s="33" t="s">
        <v>109</v>
      </c>
      <c r="AD191" s="33" t="s">
        <v>385</v>
      </c>
    </row>
    <row r="192" spans="1:30" ht="14.25" hidden="1">
      <c r="A192" s="23" t="s">
        <v>52</v>
      </c>
      <c r="B192" s="23" t="s">
        <v>24</v>
      </c>
      <c r="C192" s="23" t="s">
        <v>74</v>
      </c>
      <c r="D192" s="23" t="s">
        <v>164</v>
      </c>
      <c r="E192" s="23" t="s">
        <v>1534</v>
      </c>
      <c r="F192" s="23"/>
      <c r="G192" s="23" t="s">
        <v>165</v>
      </c>
      <c r="H192" s="131" t="s">
        <v>1533</v>
      </c>
      <c r="I192" s="23" t="s">
        <v>133</v>
      </c>
      <c r="J192" s="23" t="s">
        <v>256</v>
      </c>
      <c r="K192" s="23">
        <v>602604</v>
      </c>
      <c r="L192" s="25">
        <v>26</v>
      </c>
      <c r="M192" s="25">
        <v>129080</v>
      </c>
      <c r="N192" s="25">
        <v>473524</v>
      </c>
      <c r="O192" s="23" t="s">
        <v>97</v>
      </c>
      <c r="P192" s="23" t="s">
        <v>98</v>
      </c>
      <c r="Q192" s="23">
        <v>12.061999999999999</v>
      </c>
      <c r="R192" s="23">
        <v>0.37</v>
      </c>
      <c r="S192" s="23" t="s">
        <v>2078</v>
      </c>
      <c r="T192" s="128">
        <v>6.2700000000000001E-11</v>
      </c>
      <c r="U192" s="23">
        <v>69.47</v>
      </c>
      <c r="V192" s="128">
        <v>4.6099999999999999E-6</v>
      </c>
      <c r="W192" s="23">
        <v>0.44</v>
      </c>
      <c r="X192" s="23" t="s">
        <v>2079</v>
      </c>
      <c r="Y192" s="128">
        <v>8.9999999999999996E-7</v>
      </c>
      <c r="Z192" s="23">
        <v>0.13</v>
      </c>
      <c r="AA192" s="23" t="s">
        <v>2080</v>
      </c>
      <c r="AB192" s="23">
        <v>4.4999999999999998E-2</v>
      </c>
      <c r="AC192" s="23" t="s">
        <v>109</v>
      </c>
      <c r="AD192" s="23" t="s">
        <v>385</v>
      </c>
    </row>
    <row r="193" spans="1:30" ht="14.25" hidden="1">
      <c r="A193" s="29" t="s">
        <v>52</v>
      </c>
      <c r="B193" s="29" t="s">
        <v>77</v>
      </c>
      <c r="C193" s="29" t="s">
        <v>2196</v>
      </c>
      <c r="D193" s="29" t="s">
        <v>2197</v>
      </c>
      <c r="E193" s="29" t="s">
        <v>2198</v>
      </c>
      <c r="F193" s="29"/>
      <c r="G193" s="29" t="s">
        <v>79</v>
      </c>
      <c r="H193" s="29" t="s">
        <v>79</v>
      </c>
      <c r="I193" s="29" t="s">
        <v>79</v>
      </c>
      <c r="J193" s="29" t="s">
        <v>79</v>
      </c>
      <c r="K193" s="29" t="s">
        <v>79</v>
      </c>
      <c r="L193" s="29" t="s">
        <v>79</v>
      </c>
      <c r="M193" s="29" t="s">
        <v>79</v>
      </c>
      <c r="N193" s="29" t="s">
        <v>79</v>
      </c>
      <c r="O193" s="29" t="s">
        <v>2199</v>
      </c>
      <c r="P193" s="29" t="s">
        <v>98</v>
      </c>
      <c r="Q193" s="29" t="s">
        <v>62</v>
      </c>
      <c r="R193" s="29">
        <v>0.83</v>
      </c>
      <c r="S193" s="29" t="s">
        <v>2200</v>
      </c>
      <c r="T193" s="29" t="s">
        <v>1165</v>
      </c>
      <c r="U193" s="29" t="s">
        <v>62</v>
      </c>
      <c r="V193" s="29" t="s">
        <v>62</v>
      </c>
      <c r="W193" s="29" t="s">
        <v>62</v>
      </c>
      <c r="X193" s="29" t="s">
        <v>62</v>
      </c>
      <c r="Y193" s="29" t="s">
        <v>62</v>
      </c>
      <c r="Z193" s="29" t="s">
        <v>62</v>
      </c>
      <c r="AA193" s="29" t="s">
        <v>62</v>
      </c>
      <c r="AB193" s="29" t="s">
        <v>62</v>
      </c>
      <c r="AC193" s="29" t="s">
        <v>140</v>
      </c>
      <c r="AD193" s="29" t="s">
        <v>145</v>
      </c>
    </row>
    <row r="194" spans="1:30" ht="14.25" hidden="1">
      <c r="A194" s="29" t="s">
        <v>52</v>
      </c>
      <c r="B194" s="29" t="s">
        <v>33</v>
      </c>
      <c r="C194" s="29" t="s">
        <v>74</v>
      </c>
      <c r="D194" s="29" t="s">
        <v>298</v>
      </c>
      <c r="E194" s="29" t="s">
        <v>2082</v>
      </c>
      <c r="F194" s="29"/>
      <c r="G194" s="29" t="s">
        <v>79</v>
      </c>
      <c r="H194" s="29" t="s">
        <v>2084</v>
      </c>
      <c r="I194" s="33" t="s">
        <v>133</v>
      </c>
      <c r="J194" s="33" t="s">
        <v>133</v>
      </c>
      <c r="K194" s="29">
        <v>336473</v>
      </c>
      <c r="L194" s="42">
        <v>22</v>
      </c>
      <c r="M194" s="29">
        <v>16183</v>
      </c>
      <c r="N194" s="29">
        <f t="shared" ref="N194:N200" si="24">K194-M194</f>
        <v>320290</v>
      </c>
      <c r="O194" s="29" t="s">
        <v>79</v>
      </c>
      <c r="P194" s="29" t="s">
        <v>98</v>
      </c>
      <c r="Q194" s="29" t="s">
        <v>62</v>
      </c>
      <c r="R194" s="29">
        <v>0.98</v>
      </c>
      <c r="S194" s="29" t="s">
        <v>2088</v>
      </c>
      <c r="T194" s="29">
        <v>0.16900000000000001</v>
      </c>
      <c r="U194" s="29" t="s">
        <v>2084</v>
      </c>
      <c r="V194" s="29" t="s">
        <v>2084</v>
      </c>
      <c r="W194" s="29" t="s">
        <v>2084</v>
      </c>
      <c r="X194" s="29" t="s">
        <v>2084</v>
      </c>
      <c r="Y194" s="29" t="s">
        <v>2084</v>
      </c>
      <c r="Z194" s="29" t="s">
        <v>2084</v>
      </c>
      <c r="AA194" s="29" t="s">
        <v>2084</v>
      </c>
      <c r="AB194" s="29" t="s">
        <v>2084</v>
      </c>
      <c r="AC194" s="29" t="s">
        <v>140</v>
      </c>
      <c r="AD194" s="29" t="s">
        <v>2087</v>
      </c>
    </row>
    <row r="195" spans="1:30" ht="14.25" hidden="1">
      <c r="A195" s="29" t="s">
        <v>52</v>
      </c>
      <c r="B195" s="29" t="s">
        <v>33</v>
      </c>
      <c r="C195" s="29" t="s">
        <v>74</v>
      </c>
      <c r="D195" s="29" t="s">
        <v>2081</v>
      </c>
      <c r="E195" s="29" t="s">
        <v>2089</v>
      </c>
      <c r="F195" s="29"/>
      <c r="G195" s="133" t="s">
        <v>2083</v>
      </c>
      <c r="H195" s="29" t="s">
        <v>2084</v>
      </c>
      <c r="I195" s="29" t="s">
        <v>79</v>
      </c>
      <c r="J195" s="29" t="s">
        <v>218</v>
      </c>
      <c r="K195" s="29">
        <v>215654</v>
      </c>
      <c r="L195" s="42">
        <v>41</v>
      </c>
      <c r="M195" s="29">
        <v>32469</v>
      </c>
      <c r="N195" s="29">
        <f t="shared" si="24"/>
        <v>183185</v>
      </c>
      <c r="O195" s="29" t="s">
        <v>79</v>
      </c>
      <c r="P195" s="29" t="s">
        <v>98</v>
      </c>
      <c r="Q195" s="29" t="s">
        <v>62</v>
      </c>
      <c r="R195" s="29">
        <v>0.28999999999999998</v>
      </c>
      <c r="S195" s="29" t="s">
        <v>2090</v>
      </c>
      <c r="T195" s="29" t="s">
        <v>2086</v>
      </c>
      <c r="U195" s="29" t="s">
        <v>2084</v>
      </c>
      <c r="V195" s="29" t="s">
        <v>2084</v>
      </c>
      <c r="W195" s="29" t="s">
        <v>2084</v>
      </c>
      <c r="X195" s="29" t="s">
        <v>2084</v>
      </c>
      <c r="Y195" s="29" t="s">
        <v>2084</v>
      </c>
      <c r="Z195" s="29" t="s">
        <v>2084</v>
      </c>
      <c r="AA195" s="29" t="s">
        <v>2084</v>
      </c>
      <c r="AB195" s="29" t="s">
        <v>2084</v>
      </c>
      <c r="AC195" s="29" t="s">
        <v>140</v>
      </c>
      <c r="AD195" s="29" t="s">
        <v>2087</v>
      </c>
    </row>
    <row r="196" spans="1:30" ht="14.25" hidden="1">
      <c r="A196" s="29" t="s">
        <v>52</v>
      </c>
      <c r="B196" s="29" t="s">
        <v>33</v>
      </c>
      <c r="C196" s="29" t="s">
        <v>74</v>
      </c>
      <c r="D196" s="29" t="s">
        <v>298</v>
      </c>
      <c r="E196" s="29" t="s">
        <v>2089</v>
      </c>
      <c r="F196" s="29"/>
      <c r="G196" s="29" t="s">
        <v>79</v>
      </c>
      <c r="H196" s="29" t="s">
        <v>2084</v>
      </c>
      <c r="I196" s="33" t="s">
        <v>133</v>
      </c>
      <c r="J196" s="29" t="s">
        <v>218</v>
      </c>
      <c r="K196" s="29">
        <v>215654</v>
      </c>
      <c r="L196" s="42">
        <v>22</v>
      </c>
      <c r="M196" s="29">
        <v>32469</v>
      </c>
      <c r="N196" s="29">
        <f t="shared" si="24"/>
        <v>183185</v>
      </c>
      <c r="O196" s="29" t="s">
        <v>79</v>
      </c>
      <c r="P196" s="29" t="s">
        <v>98</v>
      </c>
      <c r="Q196" s="29" t="s">
        <v>62</v>
      </c>
      <c r="R196" s="29">
        <v>1.24</v>
      </c>
      <c r="S196" s="29" t="s">
        <v>2091</v>
      </c>
      <c r="T196" s="42" t="s">
        <v>2092</v>
      </c>
      <c r="U196" s="29" t="s">
        <v>2084</v>
      </c>
      <c r="V196" s="29" t="s">
        <v>2084</v>
      </c>
      <c r="W196" s="29" t="s">
        <v>2084</v>
      </c>
      <c r="X196" s="29" t="s">
        <v>2084</v>
      </c>
      <c r="Y196" s="29" t="s">
        <v>2084</v>
      </c>
      <c r="Z196" s="29" t="s">
        <v>2084</v>
      </c>
      <c r="AA196" s="29" t="s">
        <v>2084</v>
      </c>
      <c r="AB196" s="29" t="s">
        <v>2084</v>
      </c>
      <c r="AC196" s="29" t="s">
        <v>140</v>
      </c>
      <c r="AD196" s="29" t="s">
        <v>2087</v>
      </c>
    </row>
    <row r="197" spans="1:30" ht="14.25" hidden="1">
      <c r="A197" s="14" t="s">
        <v>52</v>
      </c>
      <c r="B197" s="14" t="s">
        <v>40</v>
      </c>
      <c r="C197" s="14" t="s">
        <v>74</v>
      </c>
      <c r="D197" s="14" t="s">
        <v>246</v>
      </c>
      <c r="E197" s="14" t="s">
        <v>618</v>
      </c>
      <c r="F197" s="14"/>
      <c r="G197" s="14" t="s">
        <v>248</v>
      </c>
      <c r="H197" s="14" t="s">
        <v>79</v>
      </c>
      <c r="I197" s="14" t="s">
        <v>133</v>
      </c>
      <c r="J197" s="14" t="s">
        <v>1264</v>
      </c>
      <c r="K197" s="14">
        <v>249351</v>
      </c>
      <c r="L197" s="14">
        <v>17</v>
      </c>
      <c r="M197" s="14">
        <v>8489</v>
      </c>
      <c r="N197" s="14">
        <f t="shared" si="24"/>
        <v>240862</v>
      </c>
      <c r="O197" s="14" t="s">
        <v>97</v>
      </c>
      <c r="P197" s="14" t="s">
        <v>98</v>
      </c>
      <c r="Q197" s="14" t="s">
        <v>79</v>
      </c>
      <c r="R197" s="14">
        <v>1.2792968</v>
      </c>
      <c r="S197" s="14" t="s">
        <v>2093</v>
      </c>
      <c r="T197" s="14">
        <v>0.63579680000000005</v>
      </c>
      <c r="U197" s="14" t="s">
        <v>2094</v>
      </c>
      <c r="V197" s="14" t="s">
        <v>2095</v>
      </c>
      <c r="W197" s="14">
        <v>2.0952541</v>
      </c>
      <c r="X197" s="14" t="s">
        <v>2096</v>
      </c>
      <c r="Y197" s="14">
        <v>0.22960050000000001</v>
      </c>
      <c r="Z197" s="14">
        <v>0.42065950000000002</v>
      </c>
      <c r="AA197" s="14" t="s">
        <v>2097</v>
      </c>
      <c r="AB197" s="14">
        <v>0.88463170000000002</v>
      </c>
      <c r="AC197" s="14" t="s">
        <v>109</v>
      </c>
      <c r="AD197" s="14" t="s">
        <v>2087</v>
      </c>
    </row>
    <row r="198" spans="1:30" ht="14.25" hidden="1">
      <c r="A198" s="14" t="s">
        <v>52</v>
      </c>
      <c r="B198" s="14" t="s">
        <v>40</v>
      </c>
      <c r="C198" s="14" t="s">
        <v>74</v>
      </c>
      <c r="D198" s="14" t="s">
        <v>75</v>
      </c>
      <c r="E198" s="14" t="s">
        <v>618</v>
      </c>
      <c r="F198" s="14"/>
      <c r="G198" s="14" t="s">
        <v>113</v>
      </c>
      <c r="H198" s="14" t="s">
        <v>79</v>
      </c>
      <c r="I198" s="14" t="s">
        <v>133</v>
      </c>
      <c r="J198" s="14" t="s">
        <v>1264</v>
      </c>
      <c r="K198" s="14">
        <v>249351</v>
      </c>
      <c r="L198" s="14">
        <v>51</v>
      </c>
      <c r="M198" s="14">
        <v>8489</v>
      </c>
      <c r="N198" s="14">
        <f t="shared" si="24"/>
        <v>240862</v>
      </c>
      <c r="O198" s="14" t="s">
        <v>97</v>
      </c>
      <c r="P198" s="14" t="s">
        <v>98</v>
      </c>
      <c r="Q198" s="14" t="s">
        <v>79</v>
      </c>
      <c r="R198" s="14">
        <v>1.008756</v>
      </c>
      <c r="S198" s="14" t="s">
        <v>2098</v>
      </c>
      <c r="T198" s="14">
        <v>0.98233250000000005</v>
      </c>
      <c r="U198" s="14">
        <v>104.4806</v>
      </c>
      <c r="V198" s="14" t="s">
        <v>2099</v>
      </c>
      <c r="W198" s="14">
        <v>0.80304600000000004</v>
      </c>
      <c r="X198" s="14" t="s">
        <v>2100</v>
      </c>
      <c r="Y198" s="14">
        <v>0.62576200000000004</v>
      </c>
      <c r="Z198" s="14">
        <v>2.545023</v>
      </c>
      <c r="AA198" s="14" t="s">
        <v>2101</v>
      </c>
      <c r="AB198" s="14">
        <v>0.49317840000000002</v>
      </c>
      <c r="AC198" s="14" t="s">
        <v>109</v>
      </c>
      <c r="AD198" s="14" t="s">
        <v>2087</v>
      </c>
    </row>
    <row r="199" spans="1:30" ht="14.25" hidden="1">
      <c r="A199" s="14" t="s">
        <v>52</v>
      </c>
      <c r="B199" s="14" t="s">
        <v>40</v>
      </c>
      <c r="C199" s="14" t="s">
        <v>74</v>
      </c>
      <c r="D199" s="14" t="s">
        <v>459</v>
      </c>
      <c r="E199" s="14" t="s">
        <v>618</v>
      </c>
      <c r="F199" s="14"/>
      <c r="G199" s="14" t="s">
        <v>215</v>
      </c>
      <c r="H199" s="14" t="s">
        <v>79</v>
      </c>
      <c r="I199" s="14" t="s">
        <v>133</v>
      </c>
      <c r="J199" s="14" t="s">
        <v>1264</v>
      </c>
      <c r="K199" s="14">
        <v>249351</v>
      </c>
      <c r="L199" s="14">
        <v>17</v>
      </c>
      <c r="M199" s="14">
        <v>8489</v>
      </c>
      <c r="N199" s="14">
        <f t="shared" si="24"/>
        <v>240862</v>
      </c>
      <c r="O199" s="14" t="s">
        <v>97</v>
      </c>
      <c r="P199" s="14" t="s">
        <v>98</v>
      </c>
      <c r="Q199" s="14" t="s">
        <v>79</v>
      </c>
      <c r="R199" s="14">
        <v>1.5600090799999999</v>
      </c>
      <c r="S199" s="14" t="s">
        <v>2102</v>
      </c>
      <c r="T199" s="14">
        <v>0.48051983999999998</v>
      </c>
      <c r="U199" s="14">
        <v>28.230499999999999</v>
      </c>
      <c r="V199" s="14">
        <v>2.967204E-2</v>
      </c>
      <c r="W199" s="14">
        <v>2.3323616710000001</v>
      </c>
      <c r="X199" s="14" t="s">
        <v>2103</v>
      </c>
      <c r="Y199" s="14">
        <v>0.24853048999999999</v>
      </c>
      <c r="Z199" s="14">
        <v>4.5463669999999999E-3</v>
      </c>
      <c r="AA199" s="14" t="s">
        <v>2104</v>
      </c>
      <c r="AB199" s="14">
        <v>5.587831E-2</v>
      </c>
      <c r="AC199" s="14" t="s">
        <v>109</v>
      </c>
      <c r="AD199" s="14" t="s">
        <v>2087</v>
      </c>
    </row>
    <row r="200" spans="1:30" ht="14.25" hidden="1">
      <c r="A200" s="14" t="s">
        <v>52</v>
      </c>
      <c r="B200" s="14" t="s">
        <v>40</v>
      </c>
      <c r="C200" s="14" t="s">
        <v>74</v>
      </c>
      <c r="D200" s="14" t="s">
        <v>164</v>
      </c>
      <c r="E200" s="14" t="s">
        <v>618</v>
      </c>
      <c r="F200" s="14"/>
      <c r="G200" s="14" t="s">
        <v>165</v>
      </c>
      <c r="H200" s="14" t="s">
        <v>79</v>
      </c>
      <c r="I200" s="14" t="s">
        <v>133</v>
      </c>
      <c r="J200" s="14" t="s">
        <v>1264</v>
      </c>
      <c r="K200" s="14">
        <v>249351</v>
      </c>
      <c r="L200" s="14">
        <v>39</v>
      </c>
      <c r="M200" s="14">
        <v>8489</v>
      </c>
      <c r="N200" s="14">
        <f t="shared" si="24"/>
        <v>240862</v>
      </c>
      <c r="O200" s="14" t="s">
        <v>97</v>
      </c>
      <c r="P200" s="14" t="s">
        <v>98</v>
      </c>
      <c r="Q200" s="14" t="s">
        <v>79</v>
      </c>
      <c r="R200" s="14">
        <v>0.53295590000000004</v>
      </c>
      <c r="S200" s="14" t="s">
        <v>2105</v>
      </c>
      <c r="T200" s="14">
        <v>4.7207190000000003E-2</v>
      </c>
      <c r="U200" s="14">
        <v>70.334609999999998</v>
      </c>
      <c r="V200" s="14">
        <v>1.0992949999999999E-3</v>
      </c>
      <c r="W200" s="14">
        <v>0.60422419999999999</v>
      </c>
      <c r="X200" s="14" t="s">
        <v>2106</v>
      </c>
      <c r="Y200" s="14">
        <v>0.16190990999999999</v>
      </c>
      <c r="Z200" s="14">
        <v>3.8417899999999998E-2</v>
      </c>
      <c r="AA200" s="14" t="s">
        <v>2107</v>
      </c>
      <c r="AB200" s="14">
        <v>2.2466630000000001E-2</v>
      </c>
      <c r="AC200" s="14" t="s">
        <v>109</v>
      </c>
      <c r="AD200" s="14" t="s">
        <v>2087</v>
      </c>
    </row>
    <row r="201" spans="1:30" ht="14.25" hidden="1">
      <c r="A201" s="23" t="s">
        <v>52</v>
      </c>
      <c r="B201" s="23" t="s">
        <v>71</v>
      </c>
      <c r="C201" s="23" t="s">
        <v>74</v>
      </c>
      <c r="D201" s="23" t="s">
        <v>246</v>
      </c>
      <c r="E201" s="23" t="s">
        <v>492</v>
      </c>
      <c r="F201" s="23"/>
      <c r="G201" s="23" t="s">
        <v>248</v>
      </c>
      <c r="H201" s="23" t="s">
        <v>493</v>
      </c>
      <c r="I201" s="23" t="s">
        <v>133</v>
      </c>
      <c r="J201" s="23" t="s">
        <v>218</v>
      </c>
      <c r="K201" s="23">
        <v>195.762</v>
      </c>
      <c r="L201" s="23">
        <v>17</v>
      </c>
      <c r="M201" s="23" t="s">
        <v>79</v>
      </c>
      <c r="N201" s="23" t="s">
        <v>79</v>
      </c>
      <c r="O201" s="23" t="s">
        <v>97</v>
      </c>
      <c r="P201" s="23" t="s">
        <v>98</v>
      </c>
      <c r="Q201" s="23" t="s">
        <v>79</v>
      </c>
      <c r="R201" s="23" t="s">
        <v>2108</v>
      </c>
      <c r="S201" s="23" t="s">
        <v>2109</v>
      </c>
      <c r="T201" s="23" t="s">
        <v>1112</v>
      </c>
      <c r="U201" s="23" t="s">
        <v>62</v>
      </c>
      <c r="V201" s="23" t="s">
        <v>62</v>
      </c>
      <c r="W201" s="23" t="s">
        <v>62</v>
      </c>
      <c r="X201" s="23" t="s">
        <v>62</v>
      </c>
      <c r="Y201" s="23" t="s">
        <v>62</v>
      </c>
      <c r="Z201" s="23" t="s">
        <v>62</v>
      </c>
      <c r="AA201" s="23" t="s">
        <v>62</v>
      </c>
      <c r="AB201" s="23" t="s">
        <v>62</v>
      </c>
      <c r="AC201" s="23" t="s">
        <v>109</v>
      </c>
      <c r="AD201" s="23" t="s">
        <v>145</v>
      </c>
    </row>
    <row r="202" spans="1:30" ht="14.25" hidden="1">
      <c r="A202" s="23" t="s">
        <v>52</v>
      </c>
      <c r="B202" s="23" t="s">
        <v>71</v>
      </c>
      <c r="C202" s="23" t="s">
        <v>74</v>
      </c>
      <c r="D202" s="23" t="s">
        <v>622</v>
      </c>
      <c r="E202" s="23" t="s">
        <v>492</v>
      </c>
      <c r="F202" s="23"/>
      <c r="G202" s="23" t="s">
        <v>215</v>
      </c>
      <c r="H202" s="23" t="s">
        <v>493</v>
      </c>
      <c r="I202" s="23" t="s">
        <v>133</v>
      </c>
      <c r="J202" s="23" t="s">
        <v>218</v>
      </c>
      <c r="K202" s="23">
        <v>195.762</v>
      </c>
      <c r="L202" s="23">
        <v>22</v>
      </c>
      <c r="M202" s="23" t="s">
        <v>79</v>
      </c>
      <c r="N202" s="23" t="s">
        <v>79</v>
      </c>
      <c r="O202" s="23" t="s">
        <v>97</v>
      </c>
      <c r="P202" s="23" t="s">
        <v>98</v>
      </c>
      <c r="Q202" s="23" t="s">
        <v>79</v>
      </c>
      <c r="R202" s="23" t="s">
        <v>2110</v>
      </c>
      <c r="S202" s="23" t="s">
        <v>2111</v>
      </c>
      <c r="T202" s="23" t="s">
        <v>2112</v>
      </c>
      <c r="U202" s="23" t="s">
        <v>62</v>
      </c>
      <c r="V202" s="23" t="s">
        <v>62</v>
      </c>
      <c r="W202" s="23" t="s">
        <v>62</v>
      </c>
      <c r="X202" s="23" t="s">
        <v>62</v>
      </c>
      <c r="Y202" s="23" t="s">
        <v>62</v>
      </c>
      <c r="Z202" s="23" t="s">
        <v>62</v>
      </c>
      <c r="AA202" s="23" t="s">
        <v>62</v>
      </c>
      <c r="AB202" s="23" t="s">
        <v>62</v>
      </c>
      <c r="AC202" s="23" t="s">
        <v>109</v>
      </c>
      <c r="AD202" s="23" t="s">
        <v>145</v>
      </c>
    </row>
    <row r="203" spans="1:30" ht="14.25" hidden="1">
      <c r="A203" s="14" t="s">
        <v>52</v>
      </c>
      <c r="B203" s="14" t="s">
        <v>139</v>
      </c>
      <c r="C203" s="14" t="s">
        <v>74</v>
      </c>
      <c r="D203" s="14" t="s">
        <v>75</v>
      </c>
      <c r="E203" s="14" t="s">
        <v>411</v>
      </c>
      <c r="F203" s="14"/>
      <c r="G203" s="14" t="s">
        <v>113</v>
      </c>
      <c r="H203" s="14" t="s">
        <v>1681</v>
      </c>
      <c r="I203" s="14" t="s">
        <v>133</v>
      </c>
      <c r="J203" s="14" t="s">
        <v>218</v>
      </c>
      <c r="K203" s="19">
        <v>218754</v>
      </c>
      <c r="L203" s="14">
        <v>52</v>
      </c>
      <c r="M203" s="19">
        <v>55917</v>
      </c>
      <c r="N203" s="19">
        <v>162837</v>
      </c>
      <c r="O203" s="62" t="s">
        <v>97</v>
      </c>
      <c r="P203" s="14" t="s">
        <v>98</v>
      </c>
      <c r="Q203" s="14">
        <v>15.715999999999999</v>
      </c>
      <c r="R203" s="14">
        <v>0.97199999999999998</v>
      </c>
      <c r="S203" s="14" t="s">
        <v>1736</v>
      </c>
      <c r="T203" s="14">
        <v>0.89600000000000002</v>
      </c>
      <c r="U203" s="14">
        <v>103.747</v>
      </c>
      <c r="V203" s="14" t="s">
        <v>1723</v>
      </c>
      <c r="W203" s="14">
        <v>1.147</v>
      </c>
      <c r="X203" s="14" t="s">
        <v>1737</v>
      </c>
      <c r="Y203" s="14">
        <v>0.59299999999999997</v>
      </c>
      <c r="Z203" s="14">
        <v>3.0750000000000002</v>
      </c>
      <c r="AA203" s="14" t="s">
        <v>1738</v>
      </c>
      <c r="AB203" s="14">
        <v>0.13500000000000001</v>
      </c>
      <c r="AC203" s="14" t="s">
        <v>140</v>
      </c>
      <c r="AD203" s="14" t="s">
        <v>1689</v>
      </c>
    </row>
    <row r="204" spans="1:30" ht="14.25" hidden="1">
      <c r="A204" s="23" t="s">
        <v>52</v>
      </c>
      <c r="B204" s="23" t="s">
        <v>71</v>
      </c>
      <c r="C204" s="23" t="s">
        <v>74</v>
      </c>
      <c r="D204" s="23" t="s">
        <v>164</v>
      </c>
      <c r="E204" s="23" t="s">
        <v>492</v>
      </c>
      <c r="F204" s="23"/>
      <c r="G204" s="23" t="s">
        <v>165</v>
      </c>
      <c r="H204" s="23" t="s">
        <v>493</v>
      </c>
      <c r="I204" s="23" t="s">
        <v>133</v>
      </c>
      <c r="J204" s="23" t="s">
        <v>218</v>
      </c>
      <c r="K204" s="23">
        <v>195.762</v>
      </c>
      <c r="L204" s="23">
        <v>43</v>
      </c>
      <c r="M204" s="23" t="s">
        <v>79</v>
      </c>
      <c r="N204" s="23" t="s">
        <v>79</v>
      </c>
      <c r="O204" s="23" t="s">
        <v>97</v>
      </c>
      <c r="P204" s="23" t="s">
        <v>98</v>
      </c>
      <c r="Q204" s="23" t="s">
        <v>79</v>
      </c>
      <c r="R204" s="23" t="s">
        <v>2115</v>
      </c>
      <c r="S204" s="23" t="s">
        <v>2116</v>
      </c>
      <c r="T204" s="23" t="s">
        <v>2117</v>
      </c>
      <c r="U204" s="23" t="s">
        <v>62</v>
      </c>
      <c r="V204" s="23" t="s">
        <v>62</v>
      </c>
      <c r="W204" s="23" t="s">
        <v>62</v>
      </c>
      <c r="X204" s="23" t="s">
        <v>62</v>
      </c>
      <c r="Y204" s="23" t="s">
        <v>62</v>
      </c>
      <c r="Z204" s="23" t="s">
        <v>62</v>
      </c>
      <c r="AA204" s="23" t="s">
        <v>62</v>
      </c>
      <c r="AB204" s="23" t="s">
        <v>62</v>
      </c>
      <c r="AC204" s="23" t="s">
        <v>109</v>
      </c>
      <c r="AD204" s="23" t="s">
        <v>145</v>
      </c>
    </row>
    <row r="205" spans="1:30" ht="14.25" hidden="1">
      <c r="A205" s="23" t="s">
        <v>52</v>
      </c>
      <c r="B205" s="23" t="s">
        <v>71</v>
      </c>
      <c r="C205" s="23" t="s">
        <v>74</v>
      </c>
      <c r="D205" s="23" t="s">
        <v>246</v>
      </c>
      <c r="E205" s="23" t="s">
        <v>1938</v>
      </c>
      <c r="F205" s="23"/>
      <c r="G205" s="23" t="s">
        <v>248</v>
      </c>
      <c r="H205" s="23" t="s">
        <v>1939</v>
      </c>
      <c r="I205" s="23" t="s">
        <v>133</v>
      </c>
      <c r="J205" s="23" t="s">
        <v>218</v>
      </c>
      <c r="K205" s="23">
        <v>198.441</v>
      </c>
      <c r="L205" s="23">
        <v>17</v>
      </c>
      <c r="M205" s="23" t="s">
        <v>79</v>
      </c>
      <c r="N205" s="23" t="s">
        <v>79</v>
      </c>
      <c r="O205" s="23" t="s">
        <v>97</v>
      </c>
      <c r="P205" s="23" t="s">
        <v>98</v>
      </c>
      <c r="Q205" s="23" t="s">
        <v>79</v>
      </c>
      <c r="R205" s="23" t="s">
        <v>880</v>
      </c>
      <c r="S205" s="23" t="s">
        <v>2120</v>
      </c>
      <c r="T205" s="23" t="s">
        <v>2121</v>
      </c>
      <c r="U205" s="23" t="s">
        <v>62</v>
      </c>
      <c r="V205" s="23" t="s">
        <v>62</v>
      </c>
      <c r="W205" s="23" t="s">
        <v>62</v>
      </c>
      <c r="X205" s="23" t="s">
        <v>62</v>
      </c>
      <c r="Y205" s="23" t="s">
        <v>62</v>
      </c>
      <c r="Z205" s="23" t="s">
        <v>62</v>
      </c>
      <c r="AA205" s="23" t="s">
        <v>62</v>
      </c>
      <c r="AB205" s="23" t="s">
        <v>62</v>
      </c>
      <c r="AC205" s="23" t="s">
        <v>140</v>
      </c>
      <c r="AD205" s="23" t="s">
        <v>145</v>
      </c>
    </row>
    <row r="206" spans="1:30" ht="14.25" hidden="1">
      <c r="A206" s="23" t="s">
        <v>52</v>
      </c>
      <c r="B206" s="23" t="s">
        <v>71</v>
      </c>
      <c r="C206" s="23" t="s">
        <v>74</v>
      </c>
      <c r="D206" s="23" t="s">
        <v>622</v>
      </c>
      <c r="E206" s="23" t="s">
        <v>1938</v>
      </c>
      <c r="F206" s="23"/>
      <c r="G206" s="23" t="s">
        <v>215</v>
      </c>
      <c r="H206" s="23" t="s">
        <v>1939</v>
      </c>
      <c r="I206" s="23" t="s">
        <v>133</v>
      </c>
      <c r="J206" s="23" t="s">
        <v>218</v>
      </c>
      <c r="K206" s="23">
        <v>198.441</v>
      </c>
      <c r="L206" s="23">
        <v>22</v>
      </c>
      <c r="M206" s="23" t="s">
        <v>79</v>
      </c>
      <c r="N206" s="23" t="s">
        <v>79</v>
      </c>
      <c r="O206" s="23" t="s">
        <v>97</v>
      </c>
      <c r="P206" s="23" t="s">
        <v>98</v>
      </c>
      <c r="Q206" s="23" t="s">
        <v>79</v>
      </c>
      <c r="R206" s="23" t="s">
        <v>1968</v>
      </c>
      <c r="S206" s="23" t="s">
        <v>2122</v>
      </c>
      <c r="T206" s="23" t="s">
        <v>2123</v>
      </c>
      <c r="U206" s="23" t="s">
        <v>62</v>
      </c>
      <c r="V206" s="23" t="s">
        <v>62</v>
      </c>
      <c r="W206" s="23" t="s">
        <v>62</v>
      </c>
      <c r="X206" s="23" t="s">
        <v>62</v>
      </c>
      <c r="Y206" s="23" t="s">
        <v>62</v>
      </c>
      <c r="Z206" s="23" t="s">
        <v>62</v>
      </c>
      <c r="AA206" s="23" t="s">
        <v>62</v>
      </c>
      <c r="AB206" s="23" t="s">
        <v>62</v>
      </c>
      <c r="AC206" s="23" t="s">
        <v>140</v>
      </c>
      <c r="AD206" s="23" t="s">
        <v>145</v>
      </c>
    </row>
    <row r="207" spans="1:30" ht="14.25" hidden="1">
      <c r="A207" s="23" t="s">
        <v>70</v>
      </c>
      <c r="B207" s="141" t="s">
        <v>199</v>
      </c>
      <c r="C207" s="141" t="s">
        <v>74</v>
      </c>
      <c r="D207" s="141" t="s">
        <v>75</v>
      </c>
      <c r="E207" s="141" t="s">
        <v>2254</v>
      </c>
      <c r="F207" s="142"/>
      <c r="G207" s="142" t="s">
        <v>113</v>
      </c>
      <c r="H207" s="142" t="s">
        <v>2255</v>
      </c>
      <c r="I207" s="141" t="s">
        <v>133</v>
      </c>
      <c r="J207" s="141" t="s">
        <v>2256</v>
      </c>
      <c r="K207" s="141" t="s">
        <v>79</v>
      </c>
      <c r="L207" s="143">
        <v>52</v>
      </c>
      <c r="M207" s="141" t="s">
        <v>79</v>
      </c>
      <c r="N207" s="141" t="s">
        <v>79</v>
      </c>
      <c r="O207" s="141" t="s">
        <v>79</v>
      </c>
      <c r="P207" s="141" t="s">
        <v>98</v>
      </c>
      <c r="Q207" s="143">
        <v>15.502000000000001</v>
      </c>
      <c r="R207" s="141">
        <v>0.65800000000000003</v>
      </c>
      <c r="S207" s="141" t="s">
        <v>2257</v>
      </c>
      <c r="T207" s="141">
        <v>6.5699999999999995E-2</v>
      </c>
      <c r="U207" s="143">
        <v>56.793999999999997</v>
      </c>
      <c r="V207" s="141">
        <v>0.26800000000000002</v>
      </c>
      <c r="W207" s="141">
        <v>0.82699999999999996</v>
      </c>
      <c r="X207" s="141" t="s">
        <v>2258</v>
      </c>
      <c r="Y207" s="141">
        <v>0.57399999999999995</v>
      </c>
      <c r="Z207" s="141">
        <v>0.26200000000000001</v>
      </c>
      <c r="AA207" s="141" t="s">
        <v>2259</v>
      </c>
      <c r="AB207" s="141">
        <v>8.7300000000000003E-2</v>
      </c>
      <c r="AC207" s="141" t="s">
        <v>109</v>
      </c>
      <c r="AD207" s="141" t="s">
        <v>145</v>
      </c>
    </row>
    <row r="208" spans="1:30" ht="14.25" hidden="1">
      <c r="A208" s="23" t="s">
        <v>52</v>
      </c>
      <c r="B208" s="23" t="s">
        <v>71</v>
      </c>
      <c r="C208" s="23" t="s">
        <v>74</v>
      </c>
      <c r="D208" s="23" t="s">
        <v>164</v>
      </c>
      <c r="E208" s="23" t="s">
        <v>1938</v>
      </c>
      <c r="F208" s="23"/>
      <c r="G208" s="23" t="s">
        <v>165</v>
      </c>
      <c r="H208" s="23" t="s">
        <v>1939</v>
      </c>
      <c r="I208" s="23" t="s">
        <v>133</v>
      </c>
      <c r="J208" s="23" t="s">
        <v>218</v>
      </c>
      <c r="K208" s="23">
        <v>198.441</v>
      </c>
      <c r="L208" s="23">
        <v>43</v>
      </c>
      <c r="M208" s="23" t="s">
        <v>79</v>
      </c>
      <c r="N208" s="23" t="s">
        <v>79</v>
      </c>
      <c r="O208" s="23" t="s">
        <v>97</v>
      </c>
      <c r="P208" s="23" t="s">
        <v>98</v>
      </c>
      <c r="Q208" s="23" t="s">
        <v>79</v>
      </c>
      <c r="R208" s="23" t="s">
        <v>1085</v>
      </c>
      <c r="S208" s="23" t="s">
        <v>2124</v>
      </c>
      <c r="T208" s="23" t="s">
        <v>2125</v>
      </c>
      <c r="U208" s="23" t="s">
        <v>62</v>
      </c>
      <c r="V208" s="23" t="s">
        <v>62</v>
      </c>
      <c r="W208" s="23" t="s">
        <v>62</v>
      </c>
      <c r="X208" s="23" t="s">
        <v>62</v>
      </c>
      <c r="Y208" s="23" t="s">
        <v>62</v>
      </c>
      <c r="Z208" s="23" t="s">
        <v>62</v>
      </c>
      <c r="AA208" s="23" t="s">
        <v>62</v>
      </c>
      <c r="AB208" s="23" t="s">
        <v>62</v>
      </c>
      <c r="AC208" s="23" t="s">
        <v>140</v>
      </c>
      <c r="AD208" s="23" t="s">
        <v>145</v>
      </c>
    </row>
    <row r="209" spans="1:30" ht="14.25" hidden="1">
      <c r="A209" s="14" t="s">
        <v>52</v>
      </c>
      <c r="B209" s="14" t="s">
        <v>71</v>
      </c>
      <c r="C209" s="14" t="s">
        <v>74</v>
      </c>
      <c r="D209" s="14" t="s">
        <v>246</v>
      </c>
      <c r="E209" s="14" t="s">
        <v>324</v>
      </c>
      <c r="F209" s="14"/>
      <c r="G209" s="14" t="s">
        <v>248</v>
      </c>
      <c r="H209" s="14" t="s">
        <v>325</v>
      </c>
      <c r="I209" s="14" t="s">
        <v>133</v>
      </c>
      <c r="J209" s="14" t="s">
        <v>218</v>
      </c>
      <c r="K209" s="19">
        <v>195544</v>
      </c>
      <c r="L209" s="14">
        <v>17</v>
      </c>
      <c r="M209" s="14" t="s">
        <v>79</v>
      </c>
      <c r="N209" s="14" t="s">
        <v>79</v>
      </c>
      <c r="O209" s="14" t="s">
        <v>97</v>
      </c>
      <c r="P209" s="14" t="s">
        <v>98</v>
      </c>
      <c r="Q209" s="14" t="s">
        <v>79</v>
      </c>
      <c r="R209" s="14">
        <v>1.28</v>
      </c>
      <c r="S209" s="14" t="s">
        <v>2126</v>
      </c>
      <c r="T209" s="14">
        <v>0.94</v>
      </c>
      <c r="U209" s="14" t="s">
        <v>62</v>
      </c>
      <c r="V209" s="14" t="s">
        <v>62</v>
      </c>
      <c r="W209" s="14" t="s">
        <v>62</v>
      </c>
      <c r="X209" s="14" t="s">
        <v>62</v>
      </c>
      <c r="Y209" s="14" t="s">
        <v>62</v>
      </c>
      <c r="Z209" s="14" t="s">
        <v>62</v>
      </c>
      <c r="AA209" s="14" t="s">
        <v>62</v>
      </c>
      <c r="AB209" s="14" t="s">
        <v>62</v>
      </c>
      <c r="AC209" s="14" t="s">
        <v>109</v>
      </c>
      <c r="AD209" s="14" t="s">
        <v>145</v>
      </c>
    </row>
    <row r="210" spans="1:30" ht="14.25" hidden="1">
      <c r="A210" s="14" t="s">
        <v>52</v>
      </c>
      <c r="B210" s="14" t="s">
        <v>71</v>
      </c>
      <c r="C210" s="14" t="s">
        <v>74</v>
      </c>
      <c r="D210" s="14" t="s">
        <v>622</v>
      </c>
      <c r="E210" s="14" t="s">
        <v>324</v>
      </c>
      <c r="F210" s="14"/>
      <c r="G210" s="14" t="s">
        <v>215</v>
      </c>
      <c r="H210" s="14" t="s">
        <v>325</v>
      </c>
      <c r="I210" s="14" t="s">
        <v>133</v>
      </c>
      <c r="J210" s="14" t="s">
        <v>218</v>
      </c>
      <c r="K210" s="19">
        <v>195544</v>
      </c>
      <c r="L210" s="14">
        <v>22</v>
      </c>
      <c r="M210" s="14" t="s">
        <v>79</v>
      </c>
      <c r="N210" s="14" t="s">
        <v>79</v>
      </c>
      <c r="O210" s="14" t="s">
        <v>97</v>
      </c>
      <c r="P210" s="14" t="s">
        <v>98</v>
      </c>
      <c r="Q210" s="14" t="s">
        <v>79</v>
      </c>
      <c r="R210" s="14">
        <v>0.32</v>
      </c>
      <c r="S210" s="14" t="s">
        <v>2127</v>
      </c>
      <c r="T210" s="14">
        <v>0.78</v>
      </c>
      <c r="U210" s="14" t="s">
        <v>62</v>
      </c>
      <c r="V210" s="14" t="s">
        <v>62</v>
      </c>
      <c r="W210" s="14" t="s">
        <v>62</v>
      </c>
      <c r="X210" s="14" t="s">
        <v>62</v>
      </c>
      <c r="Y210" s="14" t="s">
        <v>62</v>
      </c>
      <c r="Z210" s="14" t="s">
        <v>62</v>
      </c>
      <c r="AA210" s="14" t="s">
        <v>62</v>
      </c>
      <c r="AB210" s="14" t="s">
        <v>62</v>
      </c>
      <c r="AC210" s="14" t="s">
        <v>109</v>
      </c>
      <c r="AD210" s="14" t="s">
        <v>145</v>
      </c>
    </row>
    <row r="211" spans="1:30" ht="14.25" hidden="1">
      <c r="A211" s="10" t="s">
        <v>52</v>
      </c>
      <c r="B211" s="10" t="s">
        <v>135</v>
      </c>
      <c r="C211" s="10" t="s">
        <v>74</v>
      </c>
      <c r="D211" s="10" t="s">
        <v>75</v>
      </c>
      <c r="E211" s="10" t="s">
        <v>1655</v>
      </c>
      <c r="F211" s="10"/>
      <c r="G211" s="10" t="s">
        <v>113</v>
      </c>
      <c r="H211" s="10" t="s">
        <v>1656</v>
      </c>
      <c r="I211" s="10" t="s">
        <v>133</v>
      </c>
      <c r="J211" s="10" t="s">
        <v>218</v>
      </c>
      <c r="K211" s="34">
        <v>198014</v>
      </c>
      <c r="L211" s="10">
        <v>53</v>
      </c>
      <c r="M211" s="10">
        <v>1028</v>
      </c>
      <c r="N211" s="34">
        <v>196986</v>
      </c>
      <c r="O211" s="62" t="s">
        <v>97</v>
      </c>
      <c r="P211" s="10" t="s">
        <v>98</v>
      </c>
      <c r="Q211" s="10" t="s">
        <v>79</v>
      </c>
      <c r="R211" s="10">
        <v>1.7729999999999999</v>
      </c>
      <c r="S211" s="10" t="s">
        <v>1712</v>
      </c>
      <c r="T211" s="10">
        <v>0.45500000000000002</v>
      </c>
      <c r="U211" s="10" t="s">
        <v>79</v>
      </c>
      <c r="V211" s="10">
        <v>0.66800000000000004</v>
      </c>
      <c r="W211" s="10">
        <v>6.2309999999999999</v>
      </c>
      <c r="X211" s="10" t="s">
        <v>1713</v>
      </c>
      <c r="Y211" s="10">
        <v>0.113</v>
      </c>
      <c r="Z211" s="10">
        <v>3.0649999999999999</v>
      </c>
      <c r="AA211" s="10" t="s">
        <v>1714</v>
      </c>
      <c r="AB211" s="10">
        <v>0.67100000000000004</v>
      </c>
      <c r="AC211" s="10" t="s">
        <v>140</v>
      </c>
      <c r="AD211" s="10" t="s">
        <v>145</v>
      </c>
    </row>
    <row r="212" spans="1:30" ht="14.25" hidden="1">
      <c r="A212" s="14" t="s">
        <v>52</v>
      </c>
      <c r="B212" s="14" t="s">
        <v>71</v>
      </c>
      <c r="C212" s="14" t="s">
        <v>74</v>
      </c>
      <c r="D212" s="14" t="s">
        <v>164</v>
      </c>
      <c r="E212" s="14" t="s">
        <v>324</v>
      </c>
      <c r="F212" s="14"/>
      <c r="G212" s="14" t="s">
        <v>165</v>
      </c>
      <c r="H212" s="14" t="s">
        <v>325</v>
      </c>
      <c r="I212" s="14" t="s">
        <v>133</v>
      </c>
      <c r="J212" s="14" t="s">
        <v>218</v>
      </c>
      <c r="K212" s="19">
        <v>195544</v>
      </c>
      <c r="L212" s="14">
        <v>43</v>
      </c>
      <c r="M212" s="14" t="s">
        <v>79</v>
      </c>
      <c r="N212" s="14" t="s">
        <v>79</v>
      </c>
      <c r="O212" s="14" t="s">
        <v>97</v>
      </c>
      <c r="P212" s="14" t="s">
        <v>98</v>
      </c>
      <c r="Q212" s="14" t="s">
        <v>79</v>
      </c>
      <c r="R212" s="14">
        <v>0.02</v>
      </c>
      <c r="S212" s="14" t="s">
        <v>2128</v>
      </c>
      <c r="T212" s="14">
        <v>0.01</v>
      </c>
      <c r="U212" s="14" t="s">
        <v>62</v>
      </c>
      <c r="V212" s="14" t="s">
        <v>62</v>
      </c>
      <c r="W212" s="14" t="s">
        <v>62</v>
      </c>
      <c r="X212" s="14" t="s">
        <v>62</v>
      </c>
      <c r="Y212" s="14" t="s">
        <v>62</v>
      </c>
      <c r="Z212" s="14" t="s">
        <v>62</v>
      </c>
      <c r="AA212" s="14" t="s">
        <v>62</v>
      </c>
      <c r="AB212" s="14" t="s">
        <v>62</v>
      </c>
      <c r="AC212" s="14" t="s">
        <v>109</v>
      </c>
      <c r="AD212" s="14" t="s">
        <v>145</v>
      </c>
    </row>
    <row r="213" spans="1:30" ht="14.25" hidden="1">
      <c r="A213" s="14" t="s">
        <v>52</v>
      </c>
      <c r="B213" s="14" t="s">
        <v>71</v>
      </c>
      <c r="C213" s="14" t="s">
        <v>74</v>
      </c>
      <c r="D213" s="14" t="s">
        <v>246</v>
      </c>
      <c r="E213" s="14" t="s">
        <v>1794</v>
      </c>
      <c r="F213" s="14"/>
      <c r="G213" s="14" t="s">
        <v>248</v>
      </c>
      <c r="H213" s="14" t="s">
        <v>1795</v>
      </c>
      <c r="I213" s="14" t="s">
        <v>133</v>
      </c>
      <c r="J213" s="14" t="s">
        <v>218</v>
      </c>
      <c r="K213" s="19">
        <v>196245</v>
      </c>
      <c r="L213" s="14">
        <v>17</v>
      </c>
      <c r="M213" s="14" t="s">
        <v>79</v>
      </c>
      <c r="N213" s="14" t="s">
        <v>79</v>
      </c>
      <c r="O213" s="14" t="s">
        <v>97</v>
      </c>
      <c r="P213" s="14" t="s">
        <v>98</v>
      </c>
      <c r="Q213" s="14" t="s">
        <v>79</v>
      </c>
      <c r="R213" s="14">
        <v>0.48</v>
      </c>
      <c r="S213" s="14" t="s">
        <v>2129</v>
      </c>
      <c r="T213" s="14">
        <v>0.56000000000000005</v>
      </c>
      <c r="U213" s="14" t="s">
        <v>62</v>
      </c>
      <c r="V213" s="14" t="s">
        <v>62</v>
      </c>
      <c r="W213" s="14" t="s">
        <v>62</v>
      </c>
      <c r="X213" s="14" t="s">
        <v>62</v>
      </c>
      <c r="Y213" s="14" t="s">
        <v>62</v>
      </c>
      <c r="Z213" s="14" t="s">
        <v>62</v>
      </c>
      <c r="AA213" s="14" t="s">
        <v>62</v>
      </c>
      <c r="AB213" s="14" t="s">
        <v>62</v>
      </c>
      <c r="AC213" s="14" t="s">
        <v>140</v>
      </c>
      <c r="AD213" s="14" t="s">
        <v>145</v>
      </c>
    </row>
    <row r="214" spans="1:30" ht="14.25" hidden="1">
      <c r="A214" s="14" t="s">
        <v>52</v>
      </c>
      <c r="B214" s="14" t="s">
        <v>71</v>
      </c>
      <c r="C214" s="14" t="s">
        <v>74</v>
      </c>
      <c r="D214" s="14" t="s">
        <v>622</v>
      </c>
      <c r="E214" s="14" t="s">
        <v>1794</v>
      </c>
      <c r="F214" s="14"/>
      <c r="G214" s="14" t="s">
        <v>215</v>
      </c>
      <c r="H214" s="14" t="s">
        <v>1795</v>
      </c>
      <c r="I214" s="14" t="s">
        <v>133</v>
      </c>
      <c r="J214" s="14" t="s">
        <v>218</v>
      </c>
      <c r="K214" s="19">
        <v>196245</v>
      </c>
      <c r="L214" s="14">
        <v>22</v>
      </c>
      <c r="M214" s="14" t="s">
        <v>79</v>
      </c>
      <c r="N214" s="14" t="s">
        <v>79</v>
      </c>
      <c r="O214" s="14" t="s">
        <v>97</v>
      </c>
      <c r="P214" s="14" t="s">
        <v>98</v>
      </c>
      <c r="Q214" s="14" t="s">
        <v>79</v>
      </c>
      <c r="R214" s="14">
        <v>1.6</v>
      </c>
      <c r="S214" s="14" t="s">
        <v>2132</v>
      </c>
      <c r="T214" s="14">
        <v>0.74</v>
      </c>
      <c r="U214" s="14" t="s">
        <v>62</v>
      </c>
      <c r="V214" s="14" t="s">
        <v>62</v>
      </c>
      <c r="W214" s="14" t="s">
        <v>62</v>
      </c>
      <c r="X214" s="14" t="s">
        <v>62</v>
      </c>
      <c r="Y214" s="14" t="s">
        <v>62</v>
      </c>
      <c r="Z214" s="14" t="s">
        <v>62</v>
      </c>
      <c r="AA214" s="14" t="s">
        <v>62</v>
      </c>
      <c r="AB214" s="14" t="s">
        <v>62</v>
      </c>
      <c r="AC214" s="14" t="s">
        <v>140</v>
      </c>
      <c r="AD214" s="14" t="s">
        <v>145</v>
      </c>
    </row>
    <row r="215" spans="1:30" ht="14.25" hidden="1">
      <c r="A215" s="38" t="s">
        <v>70</v>
      </c>
      <c r="B215" s="82" t="s">
        <v>177</v>
      </c>
      <c r="C215" s="41" t="s">
        <v>74</v>
      </c>
      <c r="D215" s="82" t="s">
        <v>75</v>
      </c>
      <c r="E215" s="41" t="s">
        <v>2296</v>
      </c>
      <c r="F215" s="41"/>
      <c r="G215" s="41" t="s">
        <v>2057</v>
      </c>
      <c r="H215" s="41" t="s">
        <v>2297</v>
      </c>
      <c r="I215" s="41" t="s">
        <v>133</v>
      </c>
      <c r="J215" s="41" t="s">
        <v>2059</v>
      </c>
      <c r="K215" s="41" t="s">
        <v>79</v>
      </c>
      <c r="L215" s="41" t="s">
        <v>79</v>
      </c>
      <c r="M215" s="130">
        <v>23694</v>
      </c>
      <c r="N215" s="130">
        <v>372016</v>
      </c>
      <c r="O215" s="41" t="s">
        <v>79</v>
      </c>
      <c r="P215" s="41" t="s">
        <v>98</v>
      </c>
      <c r="Q215" s="41" t="s">
        <v>79</v>
      </c>
      <c r="R215" s="130">
        <v>1.0009999999999999</v>
      </c>
      <c r="S215" s="41" t="s">
        <v>2298</v>
      </c>
      <c r="T215" s="41">
        <v>0.92400000000000004</v>
      </c>
      <c r="U215" s="41" t="s">
        <v>79</v>
      </c>
      <c r="V215" s="41" t="s">
        <v>79</v>
      </c>
      <c r="W215" s="41" t="s">
        <v>79</v>
      </c>
      <c r="X215" s="41" t="s">
        <v>79</v>
      </c>
      <c r="Y215" s="41" t="s">
        <v>79</v>
      </c>
      <c r="Z215" s="41" t="s">
        <v>79</v>
      </c>
      <c r="AA215" s="41" t="s">
        <v>79</v>
      </c>
      <c r="AB215" s="41" t="s">
        <v>79</v>
      </c>
      <c r="AC215" s="41" t="s">
        <v>109</v>
      </c>
      <c r="AD215" s="41" t="s">
        <v>204</v>
      </c>
    </row>
    <row r="216" spans="1:30" ht="14.25" hidden="1">
      <c r="A216" s="14" t="s">
        <v>52</v>
      </c>
      <c r="B216" s="14" t="s">
        <v>71</v>
      </c>
      <c r="C216" s="14" t="s">
        <v>74</v>
      </c>
      <c r="D216" s="14" t="s">
        <v>164</v>
      </c>
      <c r="E216" s="14" t="s">
        <v>1794</v>
      </c>
      <c r="F216" s="14"/>
      <c r="G216" s="14" t="s">
        <v>165</v>
      </c>
      <c r="H216" s="14" t="s">
        <v>1795</v>
      </c>
      <c r="I216" s="14" t="s">
        <v>133</v>
      </c>
      <c r="J216" s="14" t="s">
        <v>218</v>
      </c>
      <c r="K216" s="19">
        <v>196245</v>
      </c>
      <c r="L216" s="14">
        <v>43</v>
      </c>
      <c r="M216" s="14" t="s">
        <v>79</v>
      </c>
      <c r="N216" s="14" t="s">
        <v>79</v>
      </c>
      <c r="O216" s="14" t="s">
        <v>97</v>
      </c>
      <c r="P216" s="14" t="s">
        <v>98</v>
      </c>
      <c r="Q216" s="14" t="s">
        <v>79</v>
      </c>
      <c r="R216" s="14">
        <v>0.73</v>
      </c>
      <c r="S216" s="14" t="s">
        <v>2137</v>
      </c>
      <c r="T216" s="14">
        <v>0.66</v>
      </c>
      <c r="U216" s="14" t="s">
        <v>62</v>
      </c>
      <c r="V216" s="14" t="s">
        <v>62</v>
      </c>
      <c r="W216" s="14" t="s">
        <v>62</v>
      </c>
      <c r="X216" s="14" t="s">
        <v>62</v>
      </c>
      <c r="Y216" s="14" t="s">
        <v>62</v>
      </c>
      <c r="Z216" s="14" t="s">
        <v>62</v>
      </c>
      <c r="AA216" s="14" t="s">
        <v>62</v>
      </c>
      <c r="AB216" s="14" t="s">
        <v>62</v>
      </c>
      <c r="AC216" s="14" t="s">
        <v>140</v>
      </c>
      <c r="AD216" s="14" t="s">
        <v>145</v>
      </c>
    </row>
    <row r="217" spans="1:30" ht="14.25" hidden="1">
      <c r="A217" s="14" t="s">
        <v>52</v>
      </c>
      <c r="B217" s="14" t="s">
        <v>64</v>
      </c>
      <c r="C217" s="14" t="s">
        <v>74</v>
      </c>
      <c r="D217" s="14" t="s">
        <v>164</v>
      </c>
      <c r="E217" s="14" t="s">
        <v>2138</v>
      </c>
      <c r="F217" s="14"/>
      <c r="G217" s="14" t="s">
        <v>79</v>
      </c>
      <c r="H217" s="14" t="s">
        <v>2139</v>
      </c>
      <c r="I217" s="14" t="s">
        <v>133</v>
      </c>
      <c r="J217" s="14" t="s">
        <v>2140</v>
      </c>
      <c r="K217" s="14" t="s">
        <v>79</v>
      </c>
      <c r="L217" s="14">
        <v>41</v>
      </c>
      <c r="M217" s="14" t="s">
        <v>79</v>
      </c>
      <c r="N217" s="14" t="s">
        <v>79</v>
      </c>
      <c r="O217" s="14" t="s">
        <v>79</v>
      </c>
      <c r="P217" s="14" t="s">
        <v>98</v>
      </c>
      <c r="Q217" s="14" t="s">
        <v>79</v>
      </c>
      <c r="R217" s="45" t="s">
        <v>2141</v>
      </c>
      <c r="S217" s="45" t="s">
        <v>2142</v>
      </c>
      <c r="T217" s="45" t="s">
        <v>2143</v>
      </c>
      <c r="U217" s="45" t="s">
        <v>62</v>
      </c>
      <c r="V217" s="45" t="s">
        <v>2144</v>
      </c>
      <c r="W217" s="45" t="s">
        <v>2145</v>
      </c>
      <c r="X217" s="45" t="s">
        <v>2146</v>
      </c>
      <c r="Y217" s="45" t="s">
        <v>2147</v>
      </c>
      <c r="Z217" s="45" t="s">
        <v>2148</v>
      </c>
      <c r="AA217" s="45" t="s">
        <v>2149</v>
      </c>
      <c r="AB217" s="45" t="s">
        <v>2150</v>
      </c>
      <c r="AC217" s="14" t="s">
        <v>140</v>
      </c>
      <c r="AD217" s="14" t="s">
        <v>145</v>
      </c>
    </row>
    <row r="218" spans="1:30" ht="14.25" hidden="1">
      <c r="A218" s="29" t="s">
        <v>52</v>
      </c>
      <c r="B218" s="29" t="s">
        <v>161</v>
      </c>
      <c r="C218" s="29" t="s">
        <v>74</v>
      </c>
      <c r="D218" s="29" t="s">
        <v>75</v>
      </c>
      <c r="E218" s="29" t="s">
        <v>505</v>
      </c>
      <c r="F218" s="29"/>
      <c r="G218" s="29" t="s">
        <v>113</v>
      </c>
      <c r="H218" s="29" t="s">
        <v>1955</v>
      </c>
      <c r="I218" s="29" t="s">
        <v>133</v>
      </c>
      <c r="J218" s="29" t="s">
        <v>834</v>
      </c>
      <c r="K218" s="29">
        <v>403124</v>
      </c>
      <c r="L218" s="29">
        <v>43</v>
      </c>
      <c r="M218" s="29">
        <v>24955</v>
      </c>
      <c r="N218" s="29">
        <v>378169</v>
      </c>
      <c r="O218" s="29" t="s">
        <v>97</v>
      </c>
      <c r="P218" s="29" t="s">
        <v>98</v>
      </c>
      <c r="Q218" s="29" t="s">
        <v>79</v>
      </c>
      <c r="R218" s="29">
        <v>0.92</v>
      </c>
      <c r="S218" s="29" t="s">
        <v>1964</v>
      </c>
      <c r="T218" s="29" t="s">
        <v>1965</v>
      </c>
      <c r="U218" s="29" t="s">
        <v>1966</v>
      </c>
      <c r="V218" s="29" t="s">
        <v>1967</v>
      </c>
      <c r="W218" s="29" t="s">
        <v>1968</v>
      </c>
      <c r="X218" s="29" t="s">
        <v>1969</v>
      </c>
      <c r="Y218" s="29" t="s">
        <v>1970</v>
      </c>
      <c r="Z218" s="29">
        <v>0.73</v>
      </c>
      <c r="AA218" s="29" t="s">
        <v>1971</v>
      </c>
      <c r="AB218" s="29" t="s">
        <v>1972</v>
      </c>
      <c r="AC218" s="29" t="s">
        <v>140</v>
      </c>
      <c r="AD218" s="29" t="s">
        <v>155</v>
      </c>
    </row>
    <row r="219" spans="1:30" ht="14.25" hidden="1">
      <c r="A219" s="33" t="s">
        <v>52</v>
      </c>
      <c r="B219" s="33" t="s">
        <v>66</v>
      </c>
      <c r="C219" s="33" t="s">
        <v>74</v>
      </c>
      <c r="D219" s="33" t="s">
        <v>246</v>
      </c>
      <c r="E219" s="33" t="s">
        <v>128</v>
      </c>
      <c r="F219" s="33"/>
      <c r="G219" s="33" t="s">
        <v>248</v>
      </c>
      <c r="H219" s="33" t="s">
        <v>1945</v>
      </c>
      <c r="I219" s="33" t="s">
        <v>133</v>
      </c>
      <c r="J219" s="33" t="s">
        <v>256</v>
      </c>
      <c r="K219" s="35">
        <v>26554</v>
      </c>
      <c r="L219" s="33">
        <v>17</v>
      </c>
      <c r="M219" s="35">
        <v>11895</v>
      </c>
      <c r="N219" s="35">
        <v>14659</v>
      </c>
      <c r="O219" s="33" t="s">
        <v>97</v>
      </c>
      <c r="P219" s="33" t="s">
        <v>98</v>
      </c>
      <c r="Q219" s="33">
        <v>37.584000000000003</v>
      </c>
      <c r="R219" s="33">
        <v>0.67200000000000004</v>
      </c>
      <c r="S219" s="33" t="s">
        <v>2161</v>
      </c>
      <c r="T219" s="33">
        <v>0.39100000000000001</v>
      </c>
      <c r="U219" s="33">
        <v>14.275</v>
      </c>
      <c r="V219" s="33">
        <v>0.57799999999999996</v>
      </c>
      <c r="W219" s="33">
        <v>0.77800000000000002</v>
      </c>
      <c r="X219" s="33" t="s">
        <v>2162</v>
      </c>
      <c r="Y219" s="33">
        <v>0.7</v>
      </c>
      <c r="Z219" s="33">
        <v>7.9000000000000001E-2</v>
      </c>
      <c r="AA219" s="33" t="s">
        <v>2163</v>
      </c>
      <c r="AB219" s="33">
        <v>0.624</v>
      </c>
      <c r="AC219" s="33" t="s">
        <v>140</v>
      </c>
      <c r="AD219" s="33" t="s">
        <v>204</v>
      </c>
    </row>
    <row r="220" spans="1:30" ht="14.25" hidden="1">
      <c r="A220" s="10" t="s">
        <v>52</v>
      </c>
      <c r="B220" s="10" t="s">
        <v>126</v>
      </c>
      <c r="C220" s="10" t="s">
        <v>74</v>
      </c>
      <c r="D220" s="10" t="s">
        <v>75</v>
      </c>
      <c r="E220" s="10" t="s">
        <v>1626</v>
      </c>
      <c r="F220" s="10"/>
      <c r="G220" s="10" t="s">
        <v>1627</v>
      </c>
      <c r="H220" s="33" t="s">
        <v>1628</v>
      </c>
      <c r="I220" s="10" t="s">
        <v>133</v>
      </c>
      <c r="J220" s="10" t="s">
        <v>218</v>
      </c>
      <c r="K220" s="10">
        <v>177860</v>
      </c>
      <c r="L220" s="10">
        <v>51</v>
      </c>
      <c r="M220" s="10">
        <v>13178</v>
      </c>
      <c r="N220" s="33">
        <v>164682</v>
      </c>
      <c r="O220" s="62" t="s">
        <v>97</v>
      </c>
      <c r="P220" s="10" t="s">
        <v>98</v>
      </c>
      <c r="Q220" s="10" t="s">
        <v>79</v>
      </c>
      <c r="R220" s="10">
        <v>0.59399999999999997</v>
      </c>
      <c r="S220" s="10" t="s">
        <v>1629</v>
      </c>
      <c r="T220" s="10">
        <v>4.3999999999999997E-2</v>
      </c>
      <c r="U220" s="10" t="s">
        <v>79</v>
      </c>
      <c r="V220" s="10" t="s">
        <v>79</v>
      </c>
      <c r="W220" s="10" t="s">
        <v>79</v>
      </c>
      <c r="X220" s="10" t="s">
        <v>79</v>
      </c>
      <c r="Y220" s="10" t="s">
        <v>79</v>
      </c>
      <c r="Z220" s="10" t="s">
        <v>79</v>
      </c>
      <c r="AA220" s="10" t="s">
        <v>79</v>
      </c>
      <c r="AB220" s="10" t="s">
        <v>79</v>
      </c>
      <c r="AC220" s="10" t="s">
        <v>109</v>
      </c>
      <c r="AD220" s="10" t="s">
        <v>145</v>
      </c>
    </row>
    <row r="221" spans="1:30" ht="14.25" hidden="1">
      <c r="A221" s="33" t="s">
        <v>52</v>
      </c>
      <c r="B221" s="33" t="s">
        <v>66</v>
      </c>
      <c r="C221" s="33" t="s">
        <v>74</v>
      </c>
      <c r="D221" s="33" t="s">
        <v>212</v>
      </c>
      <c r="E221" s="33" t="s">
        <v>128</v>
      </c>
      <c r="F221" s="33"/>
      <c r="G221" s="33" t="s">
        <v>215</v>
      </c>
      <c r="H221" s="33" t="s">
        <v>1945</v>
      </c>
      <c r="I221" s="33" t="s">
        <v>133</v>
      </c>
      <c r="J221" s="33" t="s">
        <v>256</v>
      </c>
      <c r="K221" s="35">
        <v>26554</v>
      </c>
      <c r="L221" s="33">
        <v>18</v>
      </c>
      <c r="M221" s="35">
        <v>11895</v>
      </c>
      <c r="N221" s="35">
        <v>14659</v>
      </c>
      <c r="O221" s="33" t="s">
        <v>97</v>
      </c>
      <c r="P221" s="33" t="s">
        <v>98</v>
      </c>
      <c r="Q221" s="33">
        <v>39.229999999999997</v>
      </c>
      <c r="R221" s="33">
        <v>0.39500000000000002</v>
      </c>
      <c r="S221" s="33" t="s">
        <v>2164</v>
      </c>
      <c r="T221" s="33">
        <v>0.108</v>
      </c>
      <c r="U221" s="33">
        <v>23.824999999999999</v>
      </c>
      <c r="V221" s="33">
        <v>0.124</v>
      </c>
      <c r="W221" s="33">
        <v>0.67700000000000005</v>
      </c>
      <c r="X221" s="33" t="s">
        <v>2165</v>
      </c>
      <c r="Y221" s="33">
        <v>0.58299999999999996</v>
      </c>
      <c r="Z221" s="33">
        <v>4.1790000000000003</v>
      </c>
      <c r="AA221" s="33" t="s">
        <v>2166</v>
      </c>
      <c r="AB221" s="33">
        <v>0.63600000000000001</v>
      </c>
      <c r="AC221" s="33" t="s">
        <v>140</v>
      </c>
      <c r="AD221" s="33" t="s">
        <v>204</v>
      </c>
    </row>
    <row r="222" spans="1:30" ht="14.25" hidden="1">
      <c r="A222" s="33" t="s">
        <v>52</v>
      </c>
      <c r="B222" s="33" t="s">
        <v>66</v>
      </c>
      <c r="C222" s="33" t="s">
        <v>74</v>
      </c>
      <c r="D222" s="33" t="s">
        <v>164</v>
      </c>
      <c r="E222" s="33" t="s">
        <v>128</v>
      </c>
      <c r="F222" s="33"/>
      <c r="G222" s="33" t="s">
        <v>165</v>
      </c>
      <c r="H222" s="33" t="s">
        <v>1945</v>
      </c>
      <c r="I222" s="33" t="s">
        <v>133</v>
      </c>
      <c r="J222" s="33" t="s">
        <v>256</v>
      </c>
      <c r="K222" s="35">
        <v>26554</v>
      </c>
      <c r="L222" s="33">
        <v>41</v>
      </c>
      <c r="M222" s="35">
        <v>11895</v>
      </c>
      <c r="N222" s="35">
        <v>14659</v>
      </c>
      <c r="O222" s="33" t="s">
        <v>97</v>
      </c>
      <c r="P222" s="33" t="s">
        <v>98</v>
      </c>
      <c r="Q222" s="33">
        <v>42.2</v>
      </c>
      <c r="R222" s="33">
        <v>0.52200000000000002</v>
      </c>
      <c r="S222" s="33" t="s">
        <v>2167</v>
      </c>
      <c r="T222" s="33">
        <v>1.4E-2</v>
      </c>
      <c r="U222" s="33">
        <v>36.933</v>
      </c>
      <c r="V222" s="33">
        <v>0.60899999999999999</v>
      </c>
      <c r="W222" s="33">
        <v>0.54</v>
      </c>
      <c r="X222" s="33" t="s">
        <v>2168</v>
      </c>
      <c r="Y222" s="33">
        <v>9.5000000000000001E-2</v>
      </c>
      <c r="Z222" s="33">
        <v>0.93899999999999995</v>
      </c>
      <c r="AA222" s="33" t="s">
        <v>2169</v>
      </c>
      <c r="AB222" s="33">
        <v>0.95899999999999996</v>
      </c>
      <c r="AC222" s="33" t="s">
        <v>140</v>
      </c>
      <c r="AD222" s="33" t="s">
        <v>204</v>
      </c>
    </row>
    <row r="223" spans="1:30" ht="14.25" hidden="1">
      <c r="A223" s="29" t="s">
        <v>52</v>
      </c>
      <c r="B223" s="29" t="s">
        <v>73</v>
      </c>
      <c r="C223" s="29" t="s">
        <v>74</v>
      </c>
      <c r="D223" s="29" t="s">
        <v>246</v>
      </c>
      <c r="E223" s="29" t="s">
        <v>2170</v>
      </c>
      <c r="F223" s="29"/>
      <c r="G223" s="29" t="s">
        <v>248</v>
      </c>
      <c r="H223" s="29" t="s">
        <v>2171</v>
      </c>
      <c r="I223" s="29" t="s">
        <v>133</v>
      </c>
      <c r="J223" s="29" t="s">
        <v>218</v>
      </c>
      <c r="K223" s="42">
        <v>73479</v>
      </c>
      <c r="L223" s="42">
        <v>17</v>
      </c>
      <c r="M223" s="42">
        <v>680</v>
      </c>
      <c r="N223" s="42">
        <v>72799</v>
      </c>
      <c r="O223" s="29" t="s">
        <v>97</v>
      </c>
      <c r="P223" s="29" t="s">
        <v>98</v>
      </c>
      <c r="Q223" s="29">
        <v>22.7</v>
      </c>
      <c r="R223" s="29">
        <v>54.786499999999997</v>
      </c>
      <c r="S223" s="29" t="s">
        <v>2172</v>
      </c>
      <c r="T223" s="138" t="s">
        <v>2173</v>
      </c>
      <c r="U223" s="29">
        <v>29.843900000000001</v>
      </c>
      <c r="V223" s="29">
        <v>0.79200000000000004</v>
      </c>
      <c r="W223" s="125">
        <v>19.655000000000001</v>
      </c>
      <c r="X223" s="29" t="s">
        <v>2174</v>
      </c>
      <c r="Y223" s="29">
        <v>0.12590000000000001</v>
      </c>
      <c r="Z223" s="125">
        <v>3.6837E-5</v>
      </c>
      <c r="AA223" s="29" t="s">
        <v>2175</v>
      </c>
      <c r="AB223" s="29">
        <v>0.54710000000000003</v>
      </c>
      <c r="AC223" s="29" t="s">
        <v>109</v>
      </c>
      <c r="AD223" s="29" t="s">
        <v>145</v>
      </c>
    </row>
    <row r="224" spans="1:30" ht="14.25" hidden="1">
      <c r="A224" s="29" t="s">
        <v>52</v>
      </c>
      <c r="B224" s="29" t="s">
        <v>73</v>
      </c>
      <c r="C224" s="29" t="s">
        <v>74</v>
      </c>
      <c r="D224" s="29" t="s">
        <v>164</v>
      </c>
      <c r="E224" s="29" t="s">
        <v>2170</v>
      </c>
      <c r="F224" s="29"/>
      <c r="G224" s="29" t="s">
        <v>165</v>
      </c>
      <c r="H224" s="29" t="s">
        <v>2171</v>
      </c>
      <c r="I224" s="29" t="s">
        <v>133</v>
      </c>
      <c r="J224" s="29" t="s">
        <v>218</v>
      </c>
      <c r="K224" s="42">
        <v>73479</v>
      </c>
      <c r="L224" s="42">
        <v>43</v>
      </c>
      <c r="M224" s="42">
        <v>680</v>
      </c>
      <c r="N224" s="42">
        <v>72799</v>
      </c>
      <c r="O224" s="29" t="s">
        <v>97</v>
      </c>
      <c r="P224" s="29" t="s">
        <v>98</v>
      </c>
      <c r="Q224" s="29">
        <v>31.9</v>
      </c>
      <c r="R224" s="29">
        <v>0.33029999999999998</v>
      </c>
      <c r="S224" s="29" t="s">
        <v>2176</v>
      </c>
      <c r="T224" s="138" t="s">
        <v>2177</v>
      </c>
      <c r="U224" s="29">
        <v>18.017800000000001</v>
      </c>
      <c r="V224" s="29">
        <v>0.32279999999999998</v>
      </c>
      <c r="W224" s="29">
        <v>0.20399999999999999</v>
      </c>
      <c r="X224" s="29" t="s">
        <v>2178</v>
      </c>
      <c r="Y224" s="125">
        <v>0.15429999999999999</v>
      </c>
      <c r="Z224" s="29">
        <v>0.25369999999999998</v>
      </c>
      <c r="AA224" s="29" t="s">
        <v>2179</v>
      </c>
      <c r="AB224" s="29">
        <v>0.69769999999999999</v>
      </c>
      <c r="AC224" s="29" t="s">
        <v>109</v>
      </c>
      <c r="AD224" s="29" t="s">
        <v>145</v>
      </c>
    </row>
    <row r="225" spans="1:30" ht="14.25" hidden="1">
      <c r="A225" s="38" t="s">
        <v>70</v>
      </c>
      <c r="B225" s="41" t="s">
        <v>93</v>
      </c>
      <c r="C225" s="29" t="s">
        <v>74</v>
      </c>
      <c r="D225" s="41" t="s">
        <v>75</v>
      </c>
      <c r="E225" s="41" t="s">
        <v>900</v>
      </c>
      <c r="F225" s="41"/>
      <c r="G225" s="41" t="s">
        <v>113</v>
      </c>
      <c r="H225" s="70" t="s">
        <v>901</v>
      </c>
      <c r="I225" s="41" t="s">
        <v>133</v>
      </c>
      <c r="J225" s="41" t="s">
        <v>834</v>
      </c>
      <c r="K225" s="64">
        <v>66756</v>
      </c>
      <c r="L225" s="41">
        <v>36</v>
      </c>
      <c r="M225" s="64">
        <v>11273</v>
      </c>
      <c r="N225" s="64">
        <f>K225-M225</f>
        <v>55483</v>
      </c>
      <c r="O225" s="41" t="s">
        <v>79</v>
      </c>
      <c r="P225" s="29" t="s">
        <v>98</v>
      </c>
      <c r="Q225" s="41" t="s">
        <v>79</v>
      </c>
      <c r="R225" s="41">
        <v>0.626</v>
      </c>
      <c r="S225" s="41" t="s">
        <v>1015</v>
      </c>
      <c r="T225" s="41">
        <v>0.17</v>
      </c>
      <c r="U225" s="41">
        <v>33.762999999999998</v>
      </c>
      <c r="V225" s="41">
        <v>0.52800000000000002</v>
      </c>
      <c r="W225" s="41">
        <v>0.69399999999999995</v>
      </c>
      <c r="X225" s="41" t="s">
        <v>1016</v>
      </c>
      <c r="Y225" s="41">
        <v>0.47099999999999997</v>
      </c>
      <c r="Z225" s="41">
        <v>2.444</v>
      </c>
      <c r="AA225" s="41" t="s">
        <v>1017</v>
      </c>
      <c r="AB225" s="41">
        <v>0.505</v>
      </c>
      <c r="AC225" s="41" t="s">
        <v>140</v>
      </c>
      <c r="AD225" s="41" t="s">
        <v>204</v>
      </c>
    </row>
    <row r="226" spans="1:30" ht="14.25" hidden="1">
      <c r="A226" s="29" t="s">
        <v>52</v>
      </c>
      <c r="B226" s="29" t="s">
        <v>73</v>
      </c>
      <c r="C226" s="29" t="s">
        <v>74</v>
      </c>
      <c r="D226" s="29" t="s">
        <v>622</v>
      </c>
      <c r="E226" s="29" t="s">
        <v>2170</v>
      </c>
      <c r="F226" s="29"/>
      <c r="G226" s="29" t="s">
        <v>215</v>
      </c>
      <c r="H226" s="29" t="s">
        <v>2171</v>
      </c>
      <c r="I226" s="29" t="s">
        <v>133</v>
      </c>
      <c r="J226" s="29" t="s">
        <v>218</v>
      </c>
      <c r="K226" s="42">
        <v>73479</v>
      </c>
      <c r="L226" s="42">
        <v>24</v>
      </c>
      <c r="M226" s="42">
        <v>680</v>
      </c>
      <c r="N226" s="42">
        <v>72799</v>
      </c>
      <c r="O226" s="29" t="s">
        <v>97</v>
      </c>
      <c r="P226" s="29" t="s">
        <v>98</v>
      </c>
      <c r="Q226" s="29">
        <v>29.6</v>
      </c>
      <c r="R226" s="29">
        <v>0.43490000000000001</v>
      </c>
      <c r="S226" s="29" t="s">
        <v>2184</v>
      </c>
      <c r="T226" s="138" t="s">
        <v>2185</v>
      </c>
      <c r="U226" s="29">
        <v>22.6175</v>
      </c>
      <c r="V226" s="29">
        <v>0.42349999999999999</v>
      </c>
      <c r="W226" s="29">
        <v>0.31769999999999998</v>
      </c>
      <c r="X226" s="29" t="s">
        <v>2186</v>
      </c>
      <c r="Y226" s="29">
        <v>0.60360000000000003</v>
      </c>
      <c r="Z226" s="29">
        <v>2.5999999999999999E-3</v>
      </c>
      <c r="AA226" s="29" t="s">
        <v>2187</v>
      </c>
      <c r="AB226" s="29">
        <v>0.43419999999999997</v>
      </c>
      <c r="AC226" s="29" t="s">
        <v>109</v>
      </c>
      <c r="AD226" s="29" t="s">
        <v>145</v>
      </c>
    </row>
    <row r="227" spans="1:30" ht="14.25" hidden="1">
      <c r="A227" s="29" t="s">
        <v>52</v>
      </c>
      <c r="B227" s="29" t="s">
        <v>73</v>
      </c>
      <c r="C227" s="29" t="s">
        <v>74</v>
      </c>
      <c r="D227" s="29" t="s">
        <v>246</v>
      </c>
      <c r="E227" s="29" t="s">
        <v>2130</v>
      </c>
      <c r="F227" s="29"/>
      <c r="G227" s="29" t="s">
        <v>248</v>
      </c>
      <c r="H227" s="29" t="s">
        <v>2131</v>
      </c>
      <c r="I227" s="29" t="s">
        <v>133</v>
      </c>
      <c r="J227" s="29" t="s">
        <v>218</v>
      </c>
      <c r="K227" s="42">
        <v>75450</v>
      </c>
      <c r="L227" s="42">
        <v>17</v>
      </c>
      <c r="M227" s="42">
        <v>6481</v>
      </c>
      <c r="N227" s="42">
        <v>68969</v>
      </c>
      <c r="O227" s="29" t="s">
        <v>97</v>
      </c>
      <c r="P227" s="29" t="s">
        <v>98</v>
      </c>
      <c r="Q227" s="29">
        <v>22.7</v>
      </c>
      <c r="R227" s="29">
        <v>0.95379999999999998</v>
      </c>
      <c r="S227" s="29" t="s">
        <v>2188</v>
      </c>
      <c r="T227" s="138" t="s">
        <v>2189</v>
      </c>
      <c r="U227" s="29">
        <v>56.7164</v>
      </c>
      <c r="V227" s="29">
        <v>0.02</v>
      </c>
      <c r="W227" s="29">
        <v>0.58020000000000005</v>
      </c>
      <c r="X227" s="29" t="s">
        <v>2190</v>
      </c>
      <c r="Y227" s="29">
        <v>0.41620000000000001</v>
      </c>
      <c r="Z227" s="29">
        <v>2.0999999999999999E-3</v>
      </c>
      <c r="AA227" s="29" t="s">
        <v>2191</v>
      </c>
      <c r="AB227" s="29">
        <v>0.26469999999999999</v>
      </c>
      <c r="AC227" s="29" t="s">
        <v>109</v>
      </c>
      <c r="AD227" s="29" t="s">
        <v>145</v>
      </c>
    </row>
    <row r="228" spans="1:30" ht="14.25" hidden="1">
      <c r="A228" s="29" t="s">
        <v>52</v>
      </c>
      <c r="B228" s="29" t="s">
        <v>73</v>
      </c>
      <c r="C228" s="29" t="s">
        <v>74</v>
      </c>
      <c r="D228" s="29" t="s">
        <v>164</v>
      </c>
      <c r="E228" s="29" t="s">
        <v>2130</v>
      </c>
      <c r="F228" s="29"/>
      <c r="G228" s="29" t="s">
        <v>165</v>
      </c>
      <c r="H228" s="29" t="s">
        <v>2131</v>
      </c>
      <c r="I228" s="29" t="s">
        <v>133</v>
      </c>
      <c r="J228" s="29" t="s">
        <v>218</v>
      </c>
      <c r="K228" s="42">
        <v>75450</v>
      </c>
      <c r="L228" s="42">
        <v>43</v>
      </c>
      <c r="M228" s="42">
        <v>6481</v>
      </c>
      <c r="N228" s="42">
        <v>68969</v>
      </c>
      <c r="O228" s="29" t="s">
        <v>97</v>
      </c>
      <c r="P228" s="29" t="s">
        <v>98</v>
      </c>
      <c r="Q228" s="29">
        <v>31.9</v>
      </c>
      <c r="R228" s="29">
        <v>0.6996</v>
      </c>
      <c r="S228" s="29" t="s">
        <v>2192</v>
      </c>
      <c r="T228" s="138" t="s">
        <v>2193</v>
      </c>
      <c r="U228" s="29">
        <v>11.3803</v>
      </c>
      <c r="V228" s="29">
        <v>0.78539999999999999</v>
      </c>
      <c r="W228" s="29">
        <v>0.84050000000000002</v>
      </c>
      <c r="X228" s="29" t="s">
        <v>2194</v>
      </c>
      <c r="Y228" s="29">
        <v>0.65759999999999996</v>
      </c>
      <c r="Z228" s="29">
        <v>3.3136999999999999</v>
      </c>
      <c r="AA228" s="29" t="s">
        <v>2195</v>
      </c>
      <c r="AB228" s="29">
        <v>0.37090000000000001</v>
      </c>
      <c r="AC228" s="29" t="s">
        <v>109</v>
      </c>
      <c r="AD228" s="29" t="s">
        <v>145</v>
      </c>
    </row>
    <row r="229" spans="1:30" ht="14.25" hidden="1">
      <c r="A229" s="23" t="s">
        <v>52</v>
      </c>
      <c r="B229" s="23" t="s">
        <v>84</v>
      </c>
      <c r="C229" s="23" t="s">
        <v>74</v>
      </c>
      <c r="D229" s="23" t="s">
        <v>75</v>
      </c>
      <c r="E229" s="14" t="s">
        <v>900</v>
      </c>
      <c r="F229" s="23"/>
      <c r="G229" s="23" t="s">
        <v>113</v>
      </c>
      <c r="H229" s="14" t="s">
        <v>2275</v>
      </c>
      <c r="I229" s="23" t="s">
        <v>133</v>
      </c>
      <c r="J229" s="14" t="s">
        <v>1321</v>
      </c>
      <c r="K229" s="14">
        <f>SUM(M229:N229)</f>
        <v>18336</v>
      </c>
      <c r="L229" s="23">
        <v>50</v>
      </c>
      <c r="M229" s="14">
        <v>3442</v>
      </c>
      <c r="N229" s="14">
        <v>14894</v>
      </c>
      <c r="O229" s="23" t="s">
        <v>97</v>
      </c>
      <c r="P229" s="23" t="s">
        <v>98</v>
      </c>
      <c r="Q229" s="14" t="s">
        <v>79</v>
      </c>
      <c r="R229" s="23">
        <v>1.3164</v>
      </c>
      <c r="S229" s="23" t="s">
        <v>2336</v>
      </c>
      <c r="T229" s="23">
        <v>0.5806</v>
      </c>
      <c r="U229" s="23">
        <v>54.889600000000002</v>
      </c>
      <c r="V229" s="23">
        <v>0.2298</v>
      </c>
      <c r="W229" s="23">
        <v>1.6326000000000001</v>
      </c>
      <c r="X229" s="23" t="s">
        <v>2337</v>
      </c>
      <c r="Y229" s="23">
        <v>0.50070000000000003</v>
      </c>
      <c r="Z229" s="14" t="s">
        <v>62</v>
      </c>
      <c r="AA229" s="14" t="s">
        <v>62</v>
      </c>
      <c r="AB229" s="14" t="s">
        <v>62</v>
      </c>
      <c r="AC229" s="23" t="s">
        <v>140</v>
      </c>
      <c r="AD229" s="23" t="s">
        <v>204</v>
      </c>
    </row>
    <row r="230" spans="1:30" ht="14.25" hidden="1">
      <c r="A230" s="29" t="s">
        <v>52</v>
      </c>
      <c r="B230" s="29" t="s">
        <v>73</v>
      </c>
      <c r="C230" s="29" t="s">
        <v>74</v>
      </c>
      <c r="D230" s="29" t="s">
        <v>622</v>
      </c>
      <c r="E230" s="29" t="s">
        <v>2130</v>
      </c>
      <c r="F230" s="29"/>
      <c r="G230" s="29" t="s">
        <v>215</v>
      </c>
      <c r="H230" s="29" t="s">
        <v>2131</v>
      </c>
      <c r="I230" s="29" t="s">
        <v>133</v>
      </c>
      <c r="J230" s="29" t="s">
        <v>218</v>
      </c>
      <c r="K230" s="42">
        <v>75450</v>
      </c>
      <c r="L230" s="42">
        <v>24</v>
      </c>
      <c r="M230" s="42">
        <v>6481</v>
      </c>
      <c r="N230" s="42">
        <v>68969</v>
      </c>
      <c r="O230" s="29" t="s">
        <v>97</v>
      </c>
      <c r="P230" s="29" t="s">
        <v>98</v>
      </c>
      <c r="Q230" s="29">
        <v>29.6</v>
      </c>
      <c r="R230" s="29">
        <v>0.94440000000000002</v>
      </c>
      <c r="S230" s="29" t="s">
        <v>2201</v>
      </c>
      <c r="T230" s="138" t="s">
        <v>2202</v>
      </c>
      <c r="U230" s="29">
        <v>24.4377</v>
      </c>
      <c r="V230" s="29">
        <v>0.32469999999999999</v>
      </c>
      <c r="W230" s="29">
        <v>1.482</v>
      </c>
      <c r="X230" s="29" t="s">
        <v>2203</v>
      </c>
      <c r="Y230" s="29">
        <v>0.58350000000000002</v>
      </c>
      <c r="Z230" s="29">
        <v>1.4185000000000001</v>
      </c>
      <c r="AA230" s="29" t="s">
        <v>2204</v>
      </c>
      <c r="AB230" s="29">
        <v>0.89170000000000005</v>
      </c>
      <c r="AC230" s="29" t="s">
        <v>109</v>
      </c>
      <c r="AD230" s="29" t="s">
        <v>145</v>
      </c>
    </row>
    <row r="231" spans="1:30" ht="14.25" hidden="1">
      <c r="A231" s="33" t="s">
        <v>70</v>
      </c>
      <c r="B231" s="33" t="s">
        <v>203</v>
      </c>
      <c r="C231" s="33" t="s">
        <v>74</v>
      </c>
      <c r="D231" s="33" t="s">
        <v>778</v>
      </c>
      <c r="E231" s="33" t="s">
        <v>2205</v>
      </c>
      <c r="F231" s="33"/>
      <c r="G231" s="33" t="s">
        <v>165</v>
      </c>
      <c r="H231" s="33" t="s">
        <v>2206</v>
      </c>
      <c r="I231" s="33" t="s">
        <v>133</v>
      </c>
      <c r="J231" s="33" t="s">
        <v>2207</v>
      </c>
      <c r="K231" s="35">
        <f t="shared" ref="K231:K234" si="25">M231+N231</f>
        <v>655666</v>
      </c>
      <c r="L231" s="33">
        <v>36</v>
      </c>
      <c r="M231" s="35">
        <v>61714</v>
      </c>
      <c r="N231" s="35">
        <v>593952</v>
      </c>
      <c r="O231" s="33" t="s">
        <v>79</v>
      </c>
      <c r="P231" s="33" t="s">
        <v>98</v>
      </c>
      <c r="Q231" s="33">
        <v>15.39</v>
      </c>
      <c r="R231" s="33">
        <v>0.39200000000000002</v>
      </c>
      <c r="S231" s="33" t="s">
        <v>2208</v>
      </c>
      <c r="T231" s="33">
        <v>1E-4</v>
      </c>
      <c r="U231" s="33">
        <v>147.91</v>
      </c>
      <c r="V231" s="33" t="s">
        <v>2209</v>
      </c>
      <c r="W231" s="33">
        <v>0.46800000000000003</v>
      </c>
      <c r="X231" s="33" t="s">
        <v>2210</v>
      </c>
      <c r="Y231" s="33">
        <v>2.9999999999999997E-4</v>
      </c>
      <c r="Z231" s="33" t="s">
        <v>2211</v>
      </c>
      <c r="AA231" s="33" t="s">
        <v>2212</v>
      </c>
      <c r="AB231" s="33">
        <v>0.53800000000000003</v>
      </c>
      <c r="AC231" s="33" t="s">
        <v>109</v>
      </c>
      <c r="AD231" s="33" t="s">
        <v>2087</v>
      </c>
    </row>
    <row r="232" spans="1:30" ht="14.25" hidden="1">
      <c r="A232" s="14" t="s">
        <v>70</v>
      </c>
      <c r="B232" s="14" t="s">
        <v>207</v>
      </c>
      <c r="C232" s="14" t="s">
        <v>74</v>
      </c>
      <c r="D232" s="14" t="s">
        <v>2213</v>
      </c>
      <c r="E232" s="14" t="s">
        <v>949</v>
      </c>
      <c r="F232" s="14"/>
      <c r="G232" s="14" t="s">
        <v>215</v>
      </c>
      <c r="H232" s="14" t="s">
        <v>950</v>
      </c>
      <c r="I232" s="14" t="s">
        <v>133</v>
      </c>
      <c r="J232" s="14" t="s">
        <v>951</v>
      </c>
      <c r="K232" s="19">
        <f t="shared" si="25"/>
        <v>138086</v>
      </c>
      <c r="L232" s="14">
        <v>20</v>
      </c>
      <c r="M232" s="14">
        <v>27205</v>
      </c>
      <c r="N232" s="14">
        <v>110881</v>
      </c>
      <c r="O232" s="14" t="s">
        <v>79</v>
      </c>
      <c r="P232" s="14" t="s">
        <v>98</v>
      </c>
      <c r="Q232" s="14"/>
      <c r="R232" s="14">
        <v>1.4715</v>
      </c>
      <c r="S232" s="14" t="s">
        <v>2214</v>
      </c>
      <c r="T232" s="14">
        <v>0.20610000000000001</v>
      </c>
      <c r="U232" s="14">
        <v>14.488</v>
      </c>
      <c r="V232" s="14">
        <v>0.56240000000000001</v>
      </c>
      <c r="W232" s="14">
        <v>1.2398</v>
      </c>
      <c r="X232" s="14" t="s">
        <v>2215</v>
      </c>
      <c r="Y232" s="14">
        <v>0.61260000000000003</v>
      </c>
      <c r="Z232" s="14">
        <v>0.45989999999999998</v>
      </c>
      <c r="AA232" s="14" t="s">
        <v>2216</v>
      </c>
      <c r="AB232" s="14">
        <v>0.62470000000000003</v>
      </c>
      <c r="AC232" s="14" t="s">
        <v>109</v>
      </c>
      <c r="AD232" s="14" t="s">
        <v>155</v>
      </c>
    </row>
    <row r="233" spans="1:30" ht="14.25" hidden="1">
      <c r="A233" s="14" t="s">
        <v>70</v>
      </c>
      <c r="B233" s="14" t="s">
        <v>207</v>
      </c>
      <c r="C233" s="14" t="s">
        <v>74</v>
      </c>
      <c r="D233" s="14" t="s">
        <v>246</v>
      </c>
      <c r="E233" s="14" t="s">
        <v>949</v>
      </c>
      <c r="F233" s="14"/>
      <c r="G233" s="14" t="s">
        <v>248</v>
      </c>
      <c r="H233" s="14" t="s">
        <v>950</v>
      </c>
      <c r="I233" s="14" t="s">
        <v>133</v>
      </c>
      <c r="J233" s="14" t="s">
        <v>951</v>
      </c>
      <c r="K233" s="19">
        <f t="shared" si="25"/>
        <v>138086</v>
      </c>
      <c r="L233" s="14">
        <v>10</v>
      </c>
      <c r="M233" s="14">
        <v>27205</v>
      </c>
      <c r="N233" s="14">
        <v>110881</v>
      </c>
      <c r="O233" s="14" t="s">
        <v>79</v>
      </c>
      <c r="P233" s="14" t="s">
        <v>98</v>
      </c>
      <c r="Q233" s="14"/>
      <c r="R233" s="14">
        <v>0.96130000000000004</v>
      </c>
      <c r="S233" s="14" t="s">
        <v>2217</v>
      </c>
      <c r="T233" s="14">
        <v>0.93330000000000002</v>
      </c>
      <c r="U233" s="14">
        <v>39.689300000000003</v>
      </c>
      <c r="V233" s="14">
        <v>5.0000000000000001E-4</v>
      </c>
      <c r="W233" s="14">
        <v>0.59989999999999999</v>
      </c>
      <c r="X233" s="14" t="s">
        <v>2218</v>
      </c>
      <c r="Y233" s="14">
        <v>0.28179999999999999</v>
      </c>
      <c r="Z233" s="14">
        <v>7.5039999999999996</v>
      </c>
      <c r="AA233" s="14" t="s">
        <v>2219</v>
      </c>
      <c r="AB233" s="14">
        <v>0.70689999999999997</v>
      </c>
      <c r="AC233" s="14" t="s">
        <v>109</v>
      </c>
      <c r="AD233" s="14" t="s">
        <v>155</v>
      </c>
    </row>
    <row r="234" spans="1:30" ht="14.25" hidden="1">
      <c r="A234" s="14" t="s">
        <v>70</v>
      </c>
      <c r="B234" s="14" t="s">
        <v>207</v>
      </c>
      <c r="C234" s="14" t="s">
        <v>74</v>
      </c>
      <c r="D234" s="14" t="s">
        <v>164</v>
      </c>
      <c r="E234" s="14" t="s">
        <v>949</v>
      </c>
      <c r="F234" s="14"/>
      <c r="G234" s="14" t="s">
        <v>165</v>
      </c>
      <c r="H234" s="14" t="s">
        <v>950</v>
      </c>
      <c r="I234" s="14" t="s">
        <v>133</v>
      </c>
      <c r="J234" s="14" t="s">
        <v>951</v>
      </c>
      <c r="K234" s="19">
        <f t="shared" si="25"/>
        <v>138086</v>
      </c>
      <c r="L234" s="14">
        <v>37</v>
      </c>
      <c r="M234" s="14">
        <v>27205</v>
      </c>
      <c r="N234" s="14">
        <v>110881</v>
      </c>
      <c r="O234" s="14" t="s">
        <v>79</v>
      </c>
      <c r="P234" s="14" t="s">
        <v>98</v>
      </c>
      <c r="Q234" s="14"/>
      <c r="R234" s="14">
        <v>0.93840000000000001</v>
      </c>
      <c r="S234" s="14" t="s">
        <v>2220</v>
      </c>
      <c r="T234" s="14">
        <v>0.7762</v>
      </c>
      <c r="U234" s="14">
        <v>75.414400000000001</v>
      </c>
      <c r="V234" s="14">
        <v>5.9999999999999995E-4</v>
      </c>
      <c r="W234" s="14">
        <v>1.2927999999999999</v>
      </c>
      <c r="X234" s="14" t="s">
        <v>2221</v>
      </c>
      <c r="Y234" s="14">
        <v>0.33169999999999999</v>
      </c>
      <c r="Z234" s="14">
        <v>3.7795999999999998</v>
      </c>
      <c r="AA234" s="14" t="s">
        <v>2222</v>
      </c>
      <c r="AB234" s="14">
        <v>0.20030000000000001</v>
      </c>
      <c r="AC234" s="14" t="s">
        <v>109</v>
      </c>
      <c r="AD234" s="14" t="s">
        <v>155</v>
      </c>
    </row>
    <row r="235" spans="1:30" ht="14.25" hidden="1">
      <c r="A235" s="38" t="s">
        <v>70</v>
      </c>
      <c r="B235" s="41" t="s">
        <v>93</v>
      </c>
      <c r="C235" s="29" t="s">
        <v>74</v>
      </c>
      <c r="D235" s="41" t="s">
        <v>75</v>
      </c>
      <c r="E235" s="41" t="s">
        <v>820</v>
      </c>
      <c r="F235" s="41"/>
      <c r="G235" s="41" t="s">
        <v>113</v>
      </c>
      <c r="H235" s="63" t="s">
        <v>955</v>
      </c>
      <c r="I235" s="41" t="s">
        <v>133</v>
      </c>
      <c r="J235" s="41" t="s">
        <v>834</v>
      </c>
      <c r="K235" s="64">
        <v>85716</v>
      </c>
      <c r="L235" s="41">
        <v>36</v>
      </c>
      <c r="M235" s="64">
        <v>29266</v>
      </c>
      <c r="N235" s="64">
        <f>K235-M235</f>
        <v>56450</v>
      </c>
      <c r="O235" s="41" t="s">
        <v>79</v>
      </c>
      <c r="P235" s="29" t="s">
        <v>98</v>
      </c>
      <c r="Q235" s="41" t="s">
        <v>79</v>
      </c>
      <c r="R235" s="41">
        <v>0.63100000000000001</v>
      </c>
      <c r="S235" s="41" t="s">
        <v>962</v>
      </c>
      <c r="T235" s="41">
        <v>6.3E-2</v>
      </c>
      <c r="U235" s="41">
        <v>56.124000000000002</v>
      </c>
      <c r="V235" s="41">
        <v>1.2999999999999999E-2</v>
      </c>
      <c r="W235" s="41">
        <v>0.55200000000000005</v>
      </c>
      <c r="X235" s="41" t="s">
        <v>963</v>
      </c>
      <c r="Y235" s="41">
        <v>0.113</v>
      </c>
      <c r="Z235" s="41">
        <v>3.1669999999999998</v>
      </c>
      <c r="AA235" s="41" t="s">
        <v>964</v>
      </c>
      <c r="AB235" s="41">
        <v>0.34399999999999997</v>
      </c>
      <c r="AC235" s="41" t="s">
        <v>140</v>
      </c>
      <c r="AD235" s="41" t="s">
        <v>204</v>
      </c>
    </row>
    <row r="236" spans="1:30" ht="14.25" hidden="1">
      <c r="A236" s="29" t="s">
        <v>52</v>
      </c>
      <c r="B236" s="29" t="s">
        <v>77</v>
      </c>
      <c r="C236" s="29" t="s">
        <v>2196</v>
      </c>
      <c r="D236" s="29" t="s">
        <v>2223</v>
      </c>
      <c r="E236" s="29" t="s">
        <v>2224</v>
      </c>
      <c r="F236" s="29"/>
      <c r="G236" s="29" t="s">
        <v>79</v>
      </c>
      <c r="H236" s="29" t="s">
        <v>79</v>
      </c>
      <c r="I236" s="29" t="s">
        <v>79</v>
      </c>
      <c r="J236" s="29" t="s">
        <v>79</v>
      </c>
      <c r="K236" s="29" t="s">
        <v>79</v>
      </c>
      <c r="L236" s="29" t="s">
        <v>79</v>
      </c>
      <c r="M236" s="29" t="s">
        <v>79</v>
      </c>
      <c r="N236" s="29" t="s">
        <v>79</v>
      </c>
      <c r="O236" s="29" t="s">
        <v>2199</v>
      </c>
      <c r="P236" s="29" t="s">
        <v>98</v>
      </c>
      <c r="Q236" s="29" t="s">
        <v>62</v>
      </c>
      <c r="R236" s="29">
        <v>1.03</v>
      </c>
      <c r="S236" s="29" t="s">
        <v>2225</v>
      </c>
      <c r="T236" s="29" t="s">
        <v>2226</v>
      </c>
      <c r="U236" s="29" t="s">
        <v>62</v>
      </c>
      <c r="V236" s="29" t="s">
        <v>62</v>
      </c>
      <c r="W236" s="29" t="s">
        <v>62</v>
      </c>
      <c r="X236" s="29" t="s">
        <v>62</v>
      </c>
      <c r="Y236" s="29" t="s">
        <v>62</v>
      </c>
      <c r="Z236" s="29" t="s">
        <v>62</v>
      </c>
      <c r="AA236" s="29" t="s">
        <v>62</v>
      </c>
      <c r="AB236" s="29" t="s">
        <v>62</v>
      </c>
      <c r="AC236" s="29" t="s">
        <v>140</v>
      </c>
      <c r="AD236" s="29" t="s">
        <v>145</v>
      </c>
    </row>
    <row r="237" spans="1:30" ht="14.25" hidden="1">
      <c r="A237" s="29" t="s">
        <v>52</v>
      </c>
      <c r="B237" s="29" t="s">
        <v>77</v>
      </c>
      <c r="C237" s="29" t="s">
        <v>2196</v>
      </c>
      <c r="D237" s="29" t="s">
        <v>2223</v>
      </c>
      <c r="E237" s="29" t="s">
        <v>2227</v>
      </c>
      <c r="F237" s="29"/>
      <c r="G237" s="29" t="s">
        <v>79</v>
      </c>
      <c r="H237" s="29" t="s">
        <v>79</v>
      </c>
      <c r="I237" s="29" t="s">
        <v>79</v>
      </c>
      <c r="J237" s="29" t="s">
        <v>79</v>
      </c>
      <c r="K237" s="29" t="s">
        <v>79</v>
      </c>
      <c r="L237" s="29" t="s">
        <v>79</v>
      </c>
      <c r="M237" s="29" t="s">
        <v>79</v>
      </c>
      <c r="N237" s="29" t="s">
        <v>79</v>
      </c>
      <c r="O237" s="29" t="s">
        <v>2199</v>
      </c>
      <c r="P237" s="29" t="s">
        <v>98</v>
      </c>
      <c r="Q237" s="29" t="s">
        <v>62</v>
      </c>
      <c r="R237" s="29">
        <v>0.93</v>
      </c>
      <c r="S237" s="29" t="s">
        <v>2228</v>
      </c>
      <c r="T237" s="29" t="s">
        <v>2226</v>
      </c>
      <c r="U237" s="29" t="s">
        <v>62</v>
      </c>
      <c r="V237" s="29" t="s">
        <v>62</v>
      </c>
      <c r="W237" s="29" t="s">
        <v>62</v>
      </c>
      <c r="X237" s="29" t="s">
        <v>62</v>
      </c>
      <c r="Y237" s="29" t="s">
        <v>62</v>
      </c>
      <c r="Z237" s="29" t="s">
        <v>62</v>
      </c>
      <c r="AA237" s="29" t="s">
        <v>62</v>
      </c>
      <c r="AB237" s="29" t="s">
        <v>62</v>
      </c>
      <c r="AC237" s="29" t="s">
        <v>140</v>
      </c>
      <c r="AD237" s="29" t="s">
        <v>145</v>
      </c>
    </row>
    <row r="238" spans="1:30" ht="14.25" hidden="1">
      <c r="A238" s="29" t="s">
        <v>52</v>
      </c>
      <c r="B238" s="29" t="s">
        <v>77</v>
      </c>
      <c r="C238" s="29" t="s">
        <v>2196</v>
      </c>
      <c r="D238" s="29" t="s">
        <v>2223</v>
      </c>
      <c r="E238" s="29" t="s">
        <v>2229</v>
      </c>
      <c r="F238" s="29"/>
      <c r="G238" s="29" t="s">
        <v>79</v>
      </c>
      <c r="H238" s="29" t="s">
        <v>79</v>
      </c>
      <c r="I238" s="29" t="s">
        <v>79</v>
      </c>
      <c r="J238" s="29" t="s">
        <v>79</v>
      </c>
      <c r="K238" s="29" t="s">
        <v>79</v>
      </c>
      <c r="L238" s="29" t="s">
        <v>79</v>
      </c>
      <c r="M238" s="29" t="s">
        <v>79</v>
      </c>
      <c r="N238" s="29" t="s">
        <v>79</v>
      </c>
      <c r="O238" s="29" t="s">
        <v>2199</v>
      </c>
      <c r="P238" s="29" t="s">
        <v>98</v>
      </c>
      <c r="Q238" s="29" t="s">
        <v>62</v>
      </c>
      <c r="R238" s="29">
        <v>0.93</v>
      </c>
      <c r="S238" s="29" t="s">
        <v>2230</v>
      </c>
      <c r="T238" s="29" t="s">
        <v>2226</v>
      </c>
      <c r="U238" s="29" t="s">
        <v>62</v>
      </c>
      <c r="V238" s="29" t="s">
        <v>62</v>
      </c>
      <c r="W238" s="29" t="s">
        <v>62</v>
      </c>
      <c r="X238" s="29" t="s">
        <v>62</v>
      </c>
      <c r="Y238" s="29" t="s">
        <v>62</v>
      </c>
      <c r="Z238" s="29" t="s">
        <v>62</v>
      </c>
      <c r="AA238" s="29" t="s">
        <v>62</v>
      </c>
      <c r="AB238" s="29" t="s">
        <v>62</v>
      </c>
      <c r="AC238" s="29" t="s">
        <v>140</v>
      </c>
      <c r="AD238" s="29" t="s">
        <v>145</v>
      </c>
    </row>
    <row r="239" spans="1:30" ht="14.25" hidden="1">
      <c r="A239" s="29" t="s">
        <v>52</v>
      </c>
      <c r="B239" s="29" t="s">
        <v>77</v>
      </c>
      <c r="C239" s="29" t="s">
        <v>2196</v>
      </c>
      <c r="D239" s="29" t="s">
        <v>2223</v>
      </c>
      <c r="E239" s="29" t="s">
        <v>2231</v>
      </c>
      <c r="F239" s="29"/>
      <c r="G239" s="29" t="s">
        <v>79</v>
      </c>
      <c r="H239" s="29" t="s">
        <v>79</v>
      </c>
      <c r="I239" s="29" t="s">
        <v>79</v>
      </c>
      <c r="J239" s="29" t="s">
        <v>79</v>
      </c>
      <c r="K239" s="29" t="s">
        <v>79</v>
      </c>
      <c r="L239" s="29" t="s">
        <v>79</v>
      </c>
      <c r="M239" s="29" t="s">
        <v>79</v>
      </c>
      <c r="N239" s="29" t="s">
        <v>79</v>
      </c>
      <c r="O239" s="29" t="s">
        <v>2199</v>
      </c>
      <c r="P239" s="29" t="s">
        <v>98</v>
      </c>
      <c r="Q239" s="29" t="s">
        <v>62</v>
      </c>
      <c r="R239" s="29">
        <v>1.01</v>
      </c>
      <c r="S239" s="29" t="s">
        <v>2232</v>
      </c>
      <c r="T239" s="29" t="s">
        <v>2226</v>
      </c>
      <c r="U239" s="29" t="s">
        <v>62</v>
      </c>
      <c r="V239" s="29" t="s">
        <v>62</v>
      </c>
      <c r="W239" s="29" t="s">
        <v>62</v>
      </c>
      <c r="X239" s="29" t="s">
        <v>62</v>
      </c>
      <c r="Y239" s="29" t="s">
        <v>62</v>
      </c>
      <c r="Z239" s="29" t="s">
        <v>62</v>
      </c>
      <c r="AA239" s="29" t="s">
        <v>62</v>
      </c>
      <c r="AB239" s="29" t="s">
        <v>62</v>
      </c>
      <c r="AC239" s="29" t="s">
        <v>140</v>
      </c>
      <c r="AD239" s="29" t="s">
        <v>145</v>
      </c>
    </row>
    <row r="240" spans="1:30" ht="14.25" hidden="1">
      <c r="A240" s="29" t="s">
        <v>52</v>
      </c>
      <c r="B240" s="29" t="s">
        <v>77</v>
      </c>
      <c r="C240" s="29" t="s">
        <v>2196</v>
      </c>
      <c r="D240" s="29" t="s">
        <v>2223</v>
      </c>
      <c r="E240" s="29" t="s">
        <v>2198</v>
      </c>
      <c r="F240" s="29"/>
      <c r="G240" s="29" t="s">
        <v>79</v>
      </c>
      <c r="H240" s="29" t="s">
        <v>79</v>
      </c>
      <c r="I240" s="29" t="s">
        <v>79</v>
      </c>
      <c r="J240" s="29" t="s">
        <v>79</v>
      </c>
      <c r="K240" s="29" t="s">
        <v>79</v>
      </c>
      <c r="L240" s="29" t="s">
        <v>79</v>
      </c>
      <c r="M240" s="29" t="s">
        <v>79</v>
      </c>
      <c r="N240" s="29" t="s">
        <v>79</v>
      </c>
      <c r="O240" s="29" t="s">
        <v>2199</v>
      </c>
      <c r="P240" s="29" t="s">
        <v>98</v>
      </c>
      <c r="Q240" s="29" t="s">
        <v>62</v>
      </c>
      <c r="R240" s="29">
        <v>0.73</v>
      </c>
      <c r="S240" s="29" t="s">
        <v>2233</v>
      </c>
      <c r="T240" s="29" t="s">
        <v>2234</v>
      </c>
      <c r="U240" s="29" t="s">
        <v>62</v>
      </c>
      <c r="V240" s="29" t="s">
        <v>62</v>
      </c>
      <c r="W240" s="29" t="s">
        <v>62</v>
      </c>
      <c r="X240" s="29" t="s">
        <v>62</v>
      </c>
      <c r="Y240" s="29" t="s">
        <v>62</v>
      </c>
      <c r="Z240" s="29" t="s">
        <v>62</v>
      </c>
      <c r="AA240" s="29" t="s">
        <v>62</v>
      </c>
      <c r="AB240" s="29" t="s">
        <v>62</v>
      </c>
      <c r="AC240" s="29" t="s">
        <v>140</v>
      </c>
      <c r="AD240" s="29" t="s">
        <v>145</v>
      </c>
    </row>
    <row r="241" spans="1:30" ht="14.25" hidden="1">
      <c r="A241" s="29" t="s">
        <v>52</v>
      </c>
      <c r="B241" s="29" t="s">
        <v>77</v>
      </c>
      <c r="C241" s="29" t="s">
        <v>2196</v>
      </c>
      <c r="D241" s="29" t="s">
        <v>2223</v>
      </c>
      <c r="E241" s="29" t="s">
        <v>2235</v>
      </c>
      <c r="F241" s="29"/>
      <c r="G241" s="29" t="s">
        <v>79</v>
      </c>
      <c r="H241" s="29" t="s">
        <v>79</v>
      </c>
      <c r="I241" s="29" t="s">
        <v>79</v>
      </c>
      <c r="J241" s="29" t="s">
        <v>79</v>
      </c>
      <c r="K241" s="29" t="s">
        <v>79</v>
      </c>
      <c r="L241" s="29" t="s">
        <v>79</v>
      </c>
      <c r="M241" s="29" t="s">
        <v>79</v>
      </c>
      <c r="N241" s="29" t="s">
        <v>79</v>
      </c>
      <c r="O241" s="29" t="s">
        <v>2199</v>
      </c>
      <c r="P241" s="29" t="s">
        <v>98</v>
      </c>
      <c r="Q241" s="29" t="s">
        <v>62</v>
      </c>
      <c r="R241" s="29">
        <v>0.98</v>
      </c>
      <c r="S241" s="29" t="s">
        <v>2236</v>
      </c>
      <c r="T241" s="29" t="s">
        <v>2226</v>
      </c>
      <c r="U241" s="29" t="s">
        <v>62</v>
      </c>
      <c r="V241" s="29" t="s">
        <v>62</v>
      </c>
      <c r="W241" s="29" t="s">
        <v>62</v>
      </c>
      <c r="X241" s="29" t="s">
        <v>62</v>
      </c>
      <c r="Y241" s="29" t="s">
        <v>62</v>
      </c>
      <c r="Z241" s="29" t="s">
        <v>62</v>
      </c>
      <c r="AA241" s="29" t="s">
        <v>62</v>
      </c>
      <c r="AB241" s="29" t="s">
        <v>62</v>
      </c>
      <c r="AC241" s="29" t="s">
        <v>140</v>
      </c>
      <c r="AD241" s="29" t="s">
        <v>145</v>
      </c>
    </row>
    <row r="242" spans="1:30" ht="14.25" hidden="1">
      <c r="A242" s="29" t="s">
        <v>52</v>
      </c>
      <c r="B242" s="29" t="s">
        <v>33</v>
      </c>
      <c r="C242" s="29" t="s">
        <v>74</v>
      </c>
      <c r="D242" s="29" t="s">
        <v>2081</v>
      </c>
      <c r="E242" s="29" t="s">
        <v>2082</v>
      </c>
      <c r="F242" s="29"/>
      <c r="G242" s="133" t="s">
        <v>2083</v>
      </c>
      <c r="H242" s="29" t="s">
        <v>2084</v>
      </c>
      <c r="I242" s="29" t="s">
        <v>79</v>
      </c>
      <c r="J242" s="33" t="s">
        <v>133</v>
      </c>
      <c r="K242" s="29">
        <v>336473</v>
      </c>
      <c r="L242" s="42">
        <v>41</v>
      </c>
      <c r="M242" s="29">
        <v>16183</v>
      </c>
      <c r="N242" s="29">
        <f>K242-M242</f>
        <v>320290</v>
      </c>
      <c r="O242" s="29" t="s">
        <v>79</v>
      </c>
      <c r="P242" s="29" t="s">
        <v>98</v>
      </c>
      <c r="Q242" s="29" t="s">
        <v>62</v>
      </c>
      <c r="R242" s="29">
        <v>0.92</v>
      </c>
      <c r="S242" s="29" t="s">
        <v>2085</v>
      </c>
      <c r="T242" s="29" t="s">
        <v>2086</v>
      </c>
      <c r="U242" s="29" t="s">
        <v>2084</v>
      </c>
      <c r="V242" s="29" t="s">
        <v>2084</v>
      </c>
      <c r="W242" s="29" t="s">
        <v>2084</v>
      </c>
      <c r="X242" s="29" t="s">
        <v>2084</v>
      </c>
      <c r="Y242" s="29" t="s">
        <v>2084</v>
      </c>
      <c r="Z242" s="29" t="s">
        <v>2084</v>
      </c>
      <c r="AA242" s="29" t="s">
        <v>2084</v>
      </c>
      <c r="AB242" s="29" t="s">
        <v>2084</v>
      </c>
      <c r="AC242" s="29" t="s">
        <v>140</v>
      </c>
      <c r="AD242" s="29" t="s">
        <v>2087</v>
      </c>
    </row>
    <row r="243" spans="1:30" ht="14.25" hidden="1">
      <c r="A243" s="29" t="s">
        <v>52</v>
      </c>
      <c r="B243" s="29" t="s">
        <v>77</v>
      </c>
      <c r="C243" s="29" t="s">
        <v>2196</v>
      </c>
      <c r="D243" s="29" t="s">
        <v>2197</v>
      </c>
      <c r="E243" s="29" t="s">
        <v>2229</v>
      </c>
      <c r="F243" s="29"/>
      <c r="G243" s="29" t="s">
        <v>79</v>
      </c>
      <c r="H243" s="29" t="s">
        <v>79</v>
      </c>
      <c r="I243" s="29" t="s">
        <v>79</v>
      </c>
      <c r="J243" s="29" t="s">
        <v>79</v>
      </c>
      <c r="K243" s="29" t="s">
        <v>79</v>
      </c>
      <c r="L243" s="29" t="s">
        <v>79</v>
      </c>
      <c r="M243" s="29" t="s">
        <v>79</v>
      </c>
      <c r="N243" s="29" t="s">
        <v>79</v>
      </c>
      <c r="O243" s="29" t="s">
        <v>2199</v>
      </c>
      <c r="P243" s="29" t="s">
        <v>98</v>
      </c>
      <c r="Q243" s="29" t="s">
        <v>62</v>
      </c>
      <c r="R243" s="29">
        <v>0.89</v>
      </c>
      <c r="S243" s="29" t="s">
        <v>2239</v>
      </c>
      <c r="T243" s="29" t="s">
        <v>2240</v>
      </c>
      <c r="U243" s="29" t="s">
        <v>62</v>
      </c>
      <c r="V243" s="29" t="s">
        <v>62</v>
      </c>
      <c r="W243" s="29" t="s">
        <v>62</v>
      </c>
      <c r="X243" s="29" t="s">
        <v>62</v>
      </c>
      <c r="Y243" s="29" t="s">
        <v>62</v>
      </c>
      <c r="Z243" s="29" t="s">
        <v>62</v>
      </c>
      <c r="AA243" s="29" t="s">
        <v>62</v>
      </c>
      <c r="AB243" s="29" t="s">
        <v>62</v>
      </c>
      <c r="AC243" s="29" t="s">
        <v>140</v>
      </c>
      <c r="AD243" s="29" t="s">
        <v>145</v>
      </c>
    </row>
    <row r="244" spans="1:30" ht="14.25" hidden="1">
      <c r="A244" s="29" t="s">
        <v>52</v>
      </c>
      <c r="B244" s="29" t="s">
        <v>77</v>
      </c>
      <c r="C244" s="29" t="s">
        <v>2196</v>
      </c>
      <c r="D244" s="29" t="s">
        <v>2197</v>
      </c>
      <c r="E244" s="29" t="s">
        <v>2227</v>
      </c>
      <c r="F244" s="29"/>
      <c r="G244" s="29" t="s">
        <v>79</v>
      </c>
      <c r="H244" s="29" t="s">
        <v>79</v>
      </c>
      <c r="I244" s="29" t="s">
        <v>79</v>
      </c>
      <c r="J244" s="29" t="s">
        <v>79</v>
      </c>
      <c r="K244" s="29" t="s">
        <v>79</v>
      </c>
      <c r="L244" s="29" t="s">
        <v>79</v>
      </c>
      <c r="M244" s="29" t="s">
        <v>79</v>
      </c>
      <c r="N244" s="29" t="s">
        <v>79</v>
      </c>
      <c r="O244" s="29" t="s">
        <v>2199</v>
      </c>
      <c r="P244" s="29" t="s">
        <v>98</v>
      </c>
      <c r="Q244" s="29" t="s">
        <v>62</v>
      </c>
      <c r="R244" s="29">
        <v>0.98</v>
      </c>
      <c r="S244" s="29" t="s">
        <v>2238</v>
      </c>
      <c r="T244" s="29" t="s">
        <v>2226</v>
      </c>
      <c r="U244" s="29" t="s">
        <v>62</v>
      </c>
      <c r="V244" s="29" t="s">
        <v>62</v>
      </c>
      <c r="W244" s="29" t="s">
        <v>62</v>
      </c>
      <c r="X244" s="29" t="s">
        <v>62</v>
      </c>
      <c r="Y244" s="29" t="s">
        <v>62</v>
      </c>
      <c r="Z244" s="29" t="s">
        <v>62</v>
      </c>
      <c r="AA244" s="29" t="s">
        <v>62</v>
      </c>
      <c r="AB244" s="29" t="s">
        <v>62</v>
      </c>
      <c r="AC244" s="29" t="s">
        <v>140</v>
      </c>
      <c r="AD244" s="29" t="s">
        <v>145</v>
      </c>
    </row>
    <row r="245" spans="1:30" ht="14.25" hidden="1">
      <c r="A245" s="29" t="s">
        <v>52</v>
      </c>
      <c r="B245" s="29" t="s">
        <v>77</v>
      </c>
      <c r="C245" s="29" t="s">
        <v>2196</v>
      </c>
      <c r="D245" s="29" t="s">
        <v>2197</v>
      </c>
      <c r="E245" s="29" t="s">
        <v>2224</v>
      </c>
      <c r="F245" s="29"/>
      <c r="G245" s="29" t="s">
        <v>79</v>
      </c>
      <c r="H245" s="29" t="s">
        <v>79</v>
      </c>
      <c r="I245" s="29" t="s">
        <v>79</v>
      </c>
      <c r="J245" s="29" t="s">
        <v>79</v>
      </c>
      <c r="K245" s="29" t="s">
        <v>79</v>
      </c>
      <c r="L245" s="29" t="s">
        <v>79</v>
      </c>
      <c r="M245" s="29" t="s">
        <v>79</v>
      </c>
      <c r="N245" s="29" t="s">
        <v>79</v>
      </c>
      <c r="O245" s="29" t="s">
        <v>2199</v>
      </c>
      <c r="P245" s="29" t="s">
        <v>98</v>
      </c>
      <c r="Q245" s="29" t="s">
        <v>62</v>
      </c>
      <c r="R245" s="29">
        <v>1.07</v>
      </c>
      <c r="S245" s="29" t="s">
        <v>2237</v>
      </c>
      <c r="T245" s="29" t="s">
        <v>2226</v>
      </c>
      <c r="U245" s="29" t="s">
        <v>62</v>
      </c>
      <c r="V245" s="29" t="s">
        <v>62</v>
      </c>
      <c r="W245" s="29" t="s">
        <v>62</v>
      </c>
      <c r="X245" s="29" t="s">
        <v>62</v>
      </c>
      <c r="Y245" s="29" t="s">
        <v>62</v>
      </c>
      <c r="Z245" s="29" t="s">
        <v>62</v>
      </c>
      <c r="AA245" s="29" t="s">
        <v>62</v>
      </c>
      <c r="AB245" s="29" t="s">
        <v>62</v>
      </c>
      <c r="AC245" s="29" t="s">
        <v>140</v>
      </c>
      <c r="AD245" s="29" t="s">
        <v>145</v>
      </c>
    </row>
    <row r="246" spans="1:30" ht="14.25" hidden="1">
      <c r="A246" s="29" t="s">
        <v>52</v>
      </c>
      <c r="B246" s="29" t="s">
        <v>77</v>
      </c>
      <c r="C246" s="29" t="s">
        <v>2196</v>
      </c>
      <c r="D246" s="29" t="s">
        <v>2197</v>
      </c>
      <c r="E246" s="29" t="s">
        <v>2231</v>
      </c>
      <c r="F246" s="29"/>
      <c r="G246" s="29" t="s">
        <v>79</v>
      </c>
      <c r="H246" s="29" t="s">
        <v>79</v>
      </c>
      <c r="I246" s="29" t="s">
        <v>79</v>
      </c>
      <c r="J246" s="29" t="s">
        <v>79</v>
      </c>
      <c r="K246" s="29" t="s">
        <v>79</v>
      </c>
      <c r="L246" s="29" t="s">
        <v>79</v>
      </c>
      <c r="M246" s="29" t="s">
        <v>79</v>
      </c>
      <c r="N246" s="29" t="s">
        <v>79</v>
      </c>
      <c r="O246" s="29" t="s">
        <v>2199</v>
      </c>
      <c r="P246" s="29" t="s">
        <v>98</v>
      </c>
      <c r="Q246" s="29" t="s">
        <v>62</v>
      </c>
      <c r="R246" s="29">
        <v>1.03</v>
      </c>
      <c r="S246" s="29" t="s">
        <v>2241</v>
      </c>
      <c r="T246" s="29" t="s">
        <v>2226</v>
      </c>
      <c r="U246" s="29" t="s">
        <v>62</v>
      </c>
      <c r="V246" s="29" t="s">
        <v>62</v>
      </c>
      <c r="W246" s="29" t="s">
        <v>62</v>
      </c>
      <c r="X246" s="29" t="s">
        <v>62</v>
      </c>
      <c r="Y246" s="29" t="s">
        <v>62</v>
      </c>
      <c r="Z246" s="29" t="s">
        <v>62</v>
      </c>
      <c r="AA246" s="29" t="s">
        <v>62</v>
      </c>
      <c r="AB246" s="29" t="s">
        <v>62</v>
      </c>
      <c r="AC246" s="29" t="s">
        <v>140</v>
      </c>
      <c r="AD246" s="29" t="s">
        <v>145</v>
      </c>
    </row>
    <row r="247" spans="1:30" ht="14.25" hidden="1">
      <c r="A247" s="29" t="s">
        <v>52</v>
      </c>
      <c r="B247" s="29" t="s">
        <v>77</v>
      </c>
      <c r="C247" s="29" t="s">
        <v>2196</v>
      </c>
      <c r="D247" s="29" t="s">
        <v>2197</v>
      </c>
      <c r="E247" s="29" t="s">
        <v>2235</v>
      </c>
      <c r="F247" s="29"/>
      <c r="G247" s="29" t="s">
        <v>79</v>
      </c>
      <c r="H247" s="29" t="s">
        <v>79</v>
      </c>
      <c r="I247" s="29" t="s">
        <v>79</v>
      </c>
      <c r="J247" s="29" t="s">
        <v>79</v>
      </c>
      <c r="K247" s="29" t="s">
        <v>79</v>
      </c>
      <c r="L247" s="29" t="s">
        <v>79</v>
      </c>
      <c r="M247" s="29" t="s">
        <v>79</v>
      </c>
      <c r="N247" s="29" t="s">
        <v>79</v>
      </c>
      <c r="O247" s="29" t="s">
        <v>2199</v>
      </c>
      <c r="P247" s="29" t="s">
        <v>98</v>
      </c>
      <c r="Q247" s="29" t="s">
        <v>62</v>
      </c>
      <c r="R247" s="29">
        <v>1.1000000000000001</v>
      </c>
      <c r="S247" s="29" t="s">
        <v>2242</v>
      </c>
      <c r="T247" s="29" t="s">
        <v>2226</v>
      </c>
      <c r="U247" s="29" t="s">
        <v>62</v>
      </c>
      <c r="V247" s="29" t="s">
        <v>62</v>
      </c>
      <c r="W247" s="29" t="s">
        <v>62</v>
      </c>
      <c r="X247" s="29" t="s">
        <v>62</v>
      </c>
      <c r="Y247" s="29" t="s">
        <v>62</v>
      </c>
      <c r="Z247" s="29" t="s">
        <v>62</v>
      </c>
      <c r="AA247" s="29" t="s">
        <v>62</v>
      </c>
      <c r="AB247" s="29" t="s">
        <v>62</v>
      </c>
      <c r="AC247" s="29" t="s">
        <v>140</v>
      </c>
      <c r="AD247" s="29" t="s">
        <v>145</v>
      </c>
    </row>
    <row r="248" spans="1:30" ht="14.25" hidden="1">
      <c r="A248" s="14" t="s">
        <v>52</v>
      </c>
      <c r="B248" s="14" t="s">
        <v>84</v>
      </c>
      <c r="C248" s="14" t="s">
        <v>74</v>
      </c>
      <c r="D248" s="14" t="s">
        <v>164</v>
      </c>
      <c r="E248" s="14" t="s">
        <v>2243</v>
      </c>
      <c r="F248" s="14"/>
      <c r="G248" s="14" t="s">
        <v>165</v>
      </c>
      <c r="H248" s="14" t="s">
        <v>2244</v>
      </c>
      <c r="I248" s="14" t="s">
        <v>133</v>
      </c>
      <c r="J248" s="14" t="s">
        <v>1321</v>
      </c>
      <c r="K248" s="14">
        <f t="shared" ref="K248:K260" si="26">SUM(M248:N248)</f>
        <v>4671</v>
      </c>
      <c r="L248" s="14">
        <v>34</v>
      </c>
      <c r="M248" s="14">
        <v>2342</v>
      </c>
      <c r="N248" s="14">
        <v>2329</v>
      </c>
      <c r="O248" s="14" t="s">
        <v>97</v>
      </c>
      <c r="P248" s="14" t="s">
        <v>98</v>
      </c>
      <c r="Q248" s="14" t="s">
        <v>79</v>
      </c>
      <c r="R248" s="14">
        <v>0.17319999999999999</v>
      </c>
      <c r="S248" s="14" t="s">
        <v>2245</v>
      </c>
      <c r="T248" s="14">
        <v>1.3100000000000001E-2</v>
      </c>
      <c r="U248" s="23">
        <v>29.133299999999998</v>
      </c>
      <c r="V248" s="14">
        <v>0.66020000000000001</v>
      </c>
      <c r="W248" s="14">
        <v>0.2656</v>
      </c>
      <c r="X248" s="14" t="s">
        <v>2246</v>
      </c>
      <c r="Y248" s="14">
        <v>0.18210000000000001</v>
      </c>
      <c r="Z248" s="14" t="s">
        <v>62</v>
      </c>
      <c r="AA248" s="14" t="s">
        <v>62</v>
      </c>
      <c r="AB248" s="14" t="s">
        <v>62</v>
      </c>
      <c r="AC248" s="14" t="s">
        <v>140</v>
      </c>
      <c r="AD248" s="14" t="s">
        <v>204</v>
      </c>
    </row>
    <row r="249" spans="1:30" ht="14.25" hidden="1">
      <c r="A249" s="14" t="s">
        <v>52</v>
      </c>
      <c r="B249" s="14" t="s">
        <v>84</v>
      </c>
      <c r="C249" s="14" t="s">
        <v>74</v>
      </c>
      <c r="D249" s="14" t="s">
        <v>164</v>
      </c>
      <c r="E249" s="14" t="s">
        <v>820</v>
      </c>
      <c r="F249" s="14"/>
      <c r="G249" s="14" t="s">
        <v>165</v>
      </c>
      <c r="H249" s="14" t="s">
        <v>2247</v>
      </c>
      <c r="I249" s="14" t="s">
        <v>133</v>
      </c>
      <c r="J249" s="14" t="s">
        <v>1321</v>
      </c>
      <c r="K249" s="14">
        <f t="shared" si="26"/>
        <v>27209</v>
      </c>
      <c r="L249" s="14">
        <v>39</v>
      </c>
      <c r="M249" s="14">
        <v>11348</v>
      </c>
      <c r="N249" s="14">
        <v>15861</v>
      </c>
      <c r="O249" s="14" t="s">
        <v>97</v>
      </c>
      <c r="P249" s="14" t="s">
        <v>98</v>
      </c>
      <c r="Q249" s="14" t="s">
        <v>79</v>
      </c>
      <c r="R249" s="14">
        <v>0.32990000000000003</v>
      </c>
      <c r="S249" s="14" t="s">
        <v>2248</v>
      </c>
      <c r="T249" s="14">
        <v>1.1000000000000001E-3</v>
      </c>
      <c r="U249" s="23">
        <v>63.370800000000003</v>
      </c>
      <c r="V249" s="14">
        <v>6.0000000000000001E-3</v>
      </c>
      <c r="W249" s="14">
        <v>0.35970000000000002</v>
      </c>
      <c r="X249" s="14" t="s">
        <v>2249</v>
      </c>
      <c r="Y249" s="14">
        <v>1.44E-2</v>
      </c>
      <c r="Z249" s="14" t="s">
        <v>62</v>
      </c>
      <c r="AA249" s="14" t="s">
        <v>62</v>
      </c>
      <c r="AB249" s="14" t="s">
        <v>62</v>
      </c>
      <c r="AC249" s="14" t="s">
        <v>140</v>
      </c>
      <c r="AD249" s="14" t="s">
        <v>204</v>
      </c>
    </row>
    <row r="250" spans="1:30" ht="14.25" hidden="1">
      <c r="A250" s="14" t="s">
        <v>52</v>
      </c>
      <c r="B250" s="14" t="s">
        <v>84</v>
      </c>
      <c r="C250" s="14" t="s">
        <v>74</v>
      </c>
      <c r="D250" s="14" t="s">
        <v>164</v>
      </c>
      <c r="E250" s="14" t="s">
        <v>2250</v>
      </c>
      <c r="F250" s="14"/>
      <c r="G250" s="14" t="s">
        <v>165</v>
      </c>
      <c r="H250" s="14" t="s">
        <v>2251</v>
      </c>
      <c r="I250" s="14" t="s">
        <v>133</v>
      </c>
      <c r="J250" s="14" t="s">
        <v>1321</v>
      </c>
      <c r="K250" s="14">
        <f t="shared" si="26"/>
        <v>18313</v>
      </c>
      <c r="L250" s="14">
        <v>39</v>
      </c>
      <c r="M250" s="14">
        <v>3275</v>
      </c>
      <c r="N250" s="14">
        <v>15038</v>
      </c>
      <c r="O250" s="14" t="s">
        <v>97</v>
      </c>
      <c r="P250" s="14" t="s">
        <v>98</v>
      </c>
      <c r="Q250" s="14" t="s">
        <v>79</v>
      </c>
      <c r="R250" s="14">
        <v>0.23</v>
      </c>
      <c r="S250" s="14" t="s">
        <v>2252</v>
      </c>
      <c r="T250" s="14">
        <v>2.5999999999999999E-3</v>
      </c>
      <c r="U250" s="23">
        <v>55.795099999999998</v>
      </c>
      <c r="V250" s="14">
        <v>3.1300000000000001E-2</v>
      </c>
      <c r="W250" s="14">
        <v>0.1794</v>
      </c>
      <c r="X250" s="14" t="s">
        <v>2253</v>
      </c>
      <c r="Y250" s="14">
        <v>4.4000000000000003E-3</v>
      </c>
      <c r="Z250" s="14" t="s">
        <v>62</v>
      </c>
      <c r="AA250" s="14" t="s">
        <v>62</v>
      </c>
      <c r="AB250" s="14" t="s">
        <v>62</v>
      </c>
      <c r="AC250" s="14" t="s">
        <v>140</v>
      </c>
      <c r="AD250" s="14" t="s">
        <v>204</v>
      </c>
    </row>
    <row r="251" spans="1:30" ht="14.25" hidden="1">
      <c r="A251" s="14" t="s">
        <v>52</v>
      </c>
      <c r="B251" s="14" t="s">
        <v>84</v>
      </c>
      <c r="C251" s="14" t="s">
        <v>74</v>
      </c>
      <c r="D251" s="14" t="s">
        <v>164</v>
      </c>
      <c r="E251" s="14" t="s">
        <v>423</v>
      </c>
      <c r="F251" s="14"/>
      <c r="G251" s="14" t="s">
        <v>165</v>
      </c>
      <c r="H251" s="14" t="s">
        <v>1536</v>
      </c>
      <c r="I251" s="14" t="s">
        <v>133</v>
      </c>
      <c r="J251" s="14" t="s">
        <v>1321</v>
      </c>
      <c r="K251" s="14">
        <f t="shared" si="26"/>
        <v>33832</v>
      </c>
      <c r="L251" s="14">
        <v>41</v>
      </c>
      <c r="M251" s="14">
        <v>15748</v>
      </c>
      <c r="N251" s="14">
        <v>18084</v>
      </c>
      <c r="O251" s="14" t="s">
        <v>97</v>
      </c>
      <c r="P251" s="14" t="s">
        <v>98</v>
      </c>
      <c r="Q251" s="14" t="s">
        <v>79</v>
      </c>
      <c r="R251" s="14">
        <v>0.46929999999999999</v>
      </c>
      <c r="S251" s="14" t="s">
        <v>2260</v>
      </c>
      <c r="T251" s="14" t="s">
        <v>2261</v>
      </c>
      <c r="U251" s="23">
        <v>63.079300000000003</v>
      </c>
      <c r="V251" s="14">
        <v>1.14E-2</v>
      </c>
      <c r="W251" s="14">
        <v>0.35199999999999998</v>
      </c>
      <c r="X251" s="14" t="s">
        <v>2262</v>
      </c>
      <c r="Y251" s="14" t="s">
        <v>2263</v>
      </c>
      <c r="Z251" s="14" t="s">
        <v>62</v>
      </c>
      <c r="AA251" s="14" t="s">
        <v>62</v>
      </c>
      <c r="AB251" s="14" t="s">
        <v>62</v>
      </c>
      <c r="AC251" s="14" t="s">
        <v>140</v>
      </c>
      <c r="AD251" s="14" t="s">
        <v>204</v>
      </c>
    </row>
    <row r="252" spans="1:30" ht="14.25" hidden="1">
      <c r="A252" s="14" t="s">
        <v>52</v>
      </c>
      <c r="B252" s="14" t="s">
        <v>84</v>
      </c>
      <c r="C252" s="14" t="s">
        <v>74</v>
      </c>
      <c r="D252" s="14" t="s">
        <v>164</v>
      </c>
      <c r="E252" s="14" t="s">
        <v>2264</v>
      </c>
      <c r="F252" s="14"/>
      <c r="G252" s="14" t="s">
        <v>165</v>
      </c>
      <c r="H252" s="14" t="s">
        <v>2265</v>
      </c>
      <c r="I252" s="14" t="s">
        <v>133</v>
      </c>
      <c r="J252" s="14" t="s">
        <v>1321</v>
      </c>
      <c r="K252" s="14">
        <f t="shared" si="26"/>
        <v>66450</v>
      </c>
      <c r="L252" s="14">
        <v>40</v>
      </c>
      <c r="M252" s="14">
        <v>25509</v>
      </c>
      <c r="N252" s="14">
        <v>40941</v>
      </c>
      <c r="O252" s="14" t="s">
        <v>97</v>
      </c>
      <c r="P252" s="14" t="s">
        <v>98</v>
      </c>
      <c r="Q252" s="14" t="s">
        <v>79</v>
      </c>
      <c r="R252" s="14">
        <v>0.6028</v>
      </c>
      <c r="S252" s="14" t="s">
        <v>2266</v>
      </c>
      <c r="T252" s="14">
        <v>1.83E-2</v>
      </c>
      <c r="U252" s="23">
        <v>47.188600000000001</v>
      </c>
      <c r="V252" s="14">
        <v>0.17269999999999999</v>
      </c>
      <c r="W252" s="14">
        <v>0.75749999999999995</v>
      </c>
      <c r="X252" s="14" t="s">
        <v>2267</v>
      </c>
      <c r="Y252" s="14">
        <v>0.32390000000000002</v>
      </c>
      <c r="Z252" s="14" t="s">
        <v>62</v>
      </c>
      <c r="AA252" s="14" t="s">
        <v>62</v>
      </c>
      <c r="AB252" s="14" t="s">
        <v>62</v>
      </c>
      <c r="AC252" s="14" t="s">
        <v>140</v>
      </c>
      <c r="AD252" s="14" t="s">
        <v>204</v>
      </c>
    </row>
    <row r="253" spans="1:30" ht="14.25" hidden="1">
      <c r="A253" s="14" t="s">
        <v>52</v>
      </c>
      <c r="B253" s="14" t="s">
        <v>84</v>
      </c>
      <c r="C253" s="14" t="s">
        <v>74</v>
      </c>
      <c r="D253" s="14" t="s">
        <v>164</v>
      </c>
      <c r="E253" s="14" t="s">
        <v>2268</v>
      </c>
      <c r="F253" s="14"/>
      <c r="G253" s="14" t="s">
        <v>165</v>
      </c>
      <c r="H253" s="14" t="s">
        <v>2269</v>
      </c>
      <c r="I253" s="14" t="s">
        <v>133</v>
      </c>
      <c r="J253" s="14" t="s">
        <v>1321</v>
      </c>
      <c r="K253" s="14">
        <f t="shared" si="26"/>
        <v>3835</v>
      </c>
      <c r="L253" s="14">
        <v>8</v>
      </c>
      <c r="M253" s="14">
        <v>1896</v>
      </c>
      <c r="N253" s="14">
        <v>1939</v>
      </c>
      <c r="O253" s="14" t="s">
        <v>97</v>
      </c>
      <c r="P253" s="14" t="s">
        <v>98</v>
      </c>
      <c r="Q253" s="14" t="s">
        <v>79</v>
      </c>
      <c r="R253" s="14">
        <v>2.7400000000000001E-2</v>
      </c>
      <c r="S253" s="14" t="s">
        <v>2270</v>
      </c>
      <c r="T253" s="14">
        <v>2.8000000000000001E-2</v>
      </c>
      <c r="U253" s="23">
        <v>6.2934000000000001</v>
      </c>
      <c r="V253" s="14">
        <v>0.50590000000000002</v>
      </c>
      <c r="W253" s="14">
        <v>1.2800000000000001E-2</v>
      </c>
      <c r="X253" s="14" t="s">
        <v>2271</v>
      </c>
      <c r="Y253" s="14">
        <v>4.9799999999999997E-2</v>
      </c>
      <c r="Z253" s="14" t="s">
        <v>62</v>
      </c>
      <c r="AA253" s="14" t="s">
        <v>62</v>
      </c>
      <c r="AB253" s="14" t="s">
        <v>62</v>
      </c>
      <c r="AC253" s="14" t="s">
        <v>140</v>
      </c>
      <c r="AD253" s="14" t="s">
        <v>204</v>
      </c>
    </row>
    <row r="254" spans="1:30" ht="14.25" hidden="1">
      <c r="A254" s="14" t="s">
        <v>52</v>
      </c>
      <c r="B254" s="14" t="s">
        <v>84</v>
      </c>
      <c r="C254" s="14" t="s">
        <v>74</v>
      </c>
      <c r="D254" s="14" t="s">
        <v>164</v>
      </c>
      <c r="E254" s="14" t="s">
        <v>1718</v>
      </c>
      <c r="F254" s="14"/>
      <c r="G254" s="14" t="s">
        <v>165</v>
      </c>
      <c r="H254" s="14" t="s">
        <v>2445</v>
      </c>
      <c r="I254" s="14" t="s">
        <v>133</v>
      </c>
      <c r="J254" s="14" t="s">
        <v>1321</v>
      </c>
      <c r="K254" s="14">
        <f t="shared" si="26"/>
        <v>199086</v>
      </c>
      <c r="L254" s="14">
        <v>37</v>
      </c>
      <c r="M254" s="14">
        <v>563</v>
      </c>
      <c r="N254" s="14">
        <v>198523</v>
      </c>
      <c r="O254" s="14" t="s">
        <v>97</v>
      </c>
      <c r="P254" s="14" t="s">
        <v>98</v>
      </c>
      <c r="Q254" s="14" t="s">
        <v>79</v>
      </c>
      <c r="R254" s="14">
        <v>0.99470000000000003</v>
      </c>
      <c r="S254" s="14" t="s">
        <v>2273</v>
      </c>
      <c r="T254" s="14">
        <v>4.82E-2</v>
      </c>
      <c r="U254" s="23">
        <v>36.910600000000002</v>
      </c>
      <c r="V254" s="14">
        <v>0.42659999999999998</v>
      </c>
      <c r="W254" s="14">
        <v>0.30449999999999999</v>
      </c>
      <c r="X254" s="14" t="s">
        <v>2274</v>
      </c>
      <c r="Y254" s="14">
        <v>0.30449999999999999</v>
      </c>
      <c r="Z254" s="14" t="s">
        <v>62</v>
      </c>
      <c r="AA254" s="14" t="s">
        <v>62</v>
      </c>
      <c r="AB254" s="14" t="s">
        <v>62</v>
      </c>
      <c r="AC254" s="14" t="s">
        <v>140</v>
      </c>
      <c r="AD254" s="14" t="s">
        <v>204</v>
      </c>
    </row>
    <row r="255" spans="1:30" ht="14.25" hidden="1">
      <c r="A255" s="14" t="s">
        <v>52</v>
      </c>
      <c r="B255" s="14" t="s">
        <v>84</v>
      </c>
      <c r="C255" s="14" t="s">
        <v>74</v>
      </c>
      <c r="D255" s="14" t="s">
        <v>164</v>
      </c>
      <c r="E255" s="14" t="s">
        <v>900</v>
      </c>
      <c r="F255" s="14"/>
      <c r="G255" s="14" t="s">
        <v>165</v>
      </c>
      <c r="H255" s="14" t="s">
        <v>2275</v>
      </c>
      <c r="I255" s="14" t="s">
        <v>133</v>
      </c>
      <c r="J255" s="14" t="s">
        <v>1321</v>
      </c>
      <c r="K255" s="14">
        <f t="shared" si="26"/>
        <v>18336</v>
      </c>
      <c r="L255" s="14">
        <v>39</v>
      </c>
      <c r="M255" s="14">
        <v>3442</v>
      </c>
      <c r="N255" s="14">
        <v>14894</v>
      </c>
      <c r="O255" s="14" t="s">
        <v>97</v>
      </c>
      <c r="P255" s="14" t="s">
        <v>98</v>
      </c>
      <c r="Q255" s="14" t="s">
        <v>79</v>
      </c>
      <c r="R255" s="14">
        <v>0.70789999999999997</v>
      </c>
      <c r="S255" s="14" t="s">
        <v>2276</v>
      </c>
      <c r="T255" s="14">
        <v>0.43419999999999997</v>
      </c>
      <c r="U255" s="23">
        <v>45.780799999999999</v>
      </c>
      <c r="V255" s="14">
        <v>0.18049999999999999</v>
      </c>
      <c r="W255" s="14">
        <v>1.2855000000000001</v>
      </c>
      <c r="X255" s="14" t="s">
        <v>2277</v>
      </c>
      <c r="Y255" s="14">
        <v>0.46939999999999998</v>
      </c>
      <c r="Z255" s="14" t="s">
        <v>62</v>
      </c>
      <c r="AA255" s="14" t="s">
        <v>62</v>
      </c>
      <c r="AB255" s="14" t="s">
        <v>62</v>
      </c>
      <c r="AC255" s="14" t="s">
        <v>140</v>
      </c>
      <c r="AD255" s="14" t="s">
        <v>204</v>
      </c>
    </row>
    <row r="256" spans="1:30" ht="14.25" hidden="1">
      <c r="A256" s="14" t="s">
        <v>52</v>
      </c>
      <c r="B256" s="14" t="s">
        <v>84</v>
      </c>
      <c r="C256" s="14" t="s">
        <v>74</v>
      </c>
      <c r="D256" s="14" t="s">
        <v>164</v>
      </c>
      <c r="E256" s="14" t="s">
        <v>2113</v>
      </c>
      <c r="F256" s="14"/>
      <c r="G256" s="14" t="s">
        <v>165</v>
      </c>
      <c r="H256" s="14" t="s">
        <v>2114</v>
      </c>
      <c r="I256" s="14" t="s">
        <v>133</v>
      </c>
      <c r="J256" s="14" t="s">
        <v>1321</v>
      </c>
      <c r="K256" s="14">
        <f t="shared" si="26"/>
        <v>121885</v>
      </c>
      <c r="L256" s="14">
        <v>41</v>
      </c>
      <c r="M256" s="14">
        <v>12906</v>
      </c>
      <c r="N256" s="14">
        <v>108979</v>
      </c>
      <c r="O256" s="14" t="s">
        <v>97</v>
      </c>
      <c r="P256" s="14" t="s">
        <v>98</v>
      </c>
      <c r="Q256" s="14" t="s">
        <v>79</v>
      </c>
      <c r="R256" s="14">
        <v>0.95860000000000001</v>
      </c>
      <c r="S256" s="14" t="s">
        <v>2278</v>
      </c>
      <c r="T256" s="14">
        <v>0.87419999999999998</v>
      </c>
      <c r="U256" s="23">
        <v>58.096200000000003</v>
      </c>
      <c r="V256" s="14">
        <v>3.2000000000000001E-2</v>
      </c>
      <c r="W256" s="14">
        <v>0.1525</v>
      </c>
      <c r="X256" s="14" t="s">
        <v>2279</v>
      </c>
      <c r="Y256" s="14">
        <v>0.66200000000000003</v>
      </c>
      <c r="Z256" s="14" t="s">
        <v>62</v>
      </c>
      <c r="AA256" s="14" t="s">
        <v>62</v>
      </c>
      <c r="AB256" s="14" t="s">
        <v>62</v>
      </c>
      <c r="AC256" s="14" t="s">
        <v>140</v>
      </c>
      <c r="AD256" s="14" t="s">
        <v>204</v>
      </c>
    </row>
    <row r="257" spans="1:30" ht="14.25" hidden="1">
      <c r="A257" s="14" t="s">
        <v>52</v>
      </c>
      <c r="B257" s="14" t="s">
        <v>84</v>
      </c>
      <c r="C257" s="14" t="s">
        <v>74</v>
      </c>
      <c r="D257" s="14" t="s">
        <v>164</v>
      </c>
      <c r="E257" s="14" t="s">
        <v>2280</v>
      </c>
      <c r="F257" s="14"/>
      <c r="G257" s="14" t="s">
        <v>165</v>
      </c>
      <c r="H257" s="14" t="s">
        <v>2281</v>
      </c>
      <c r="I257" s="14" t="s">
        <v>133</v>
      </c>
      <c r="J257" s="14" t="s">
        <v>1321</v>
      </c>
      <c r="K257" s="14">
        <f t="shared" si="26"/>
        <v>1080</v>
      </c>
      <c r="L257" s="14">
        <v>7</v>
      </c>
      <c r="M257" s="14">
        <v>649</v>
      </c>
      <c r="N257" s="14">
        <v>431</v>
      </c>
      <c r="O257" s="14" t="s">
        <v>97</v>
      </c>
      <c r="P257" s="14" t="s">
        <v>98</v>
      </c>
      <c r="Q257" s="14" t="s">
        <v>79</v>
      </c>
      <c r="R257" s="14">
        <v>0.18540000000000001</v>
      </c>
      <c r="S257" s="14" t="s">
        <v>2282</v>
      </c>
      <c r="T257" s="14">
        <v>0.63519999999999999</v>
      </c>
      <c r="U257" s="23">
        <v>7.5067000000000004</v>
      </c>
      <c r="V257" s="14">
        <v>0.27650000000000002</v>
      </c>
      <c r="W257" s="14">
        <v>1.337</v>
      </c>
      <c r="X257" s="14" t="s">
        <v>2283</v>
      </c>
      <c r="Y257" s="14">
        <v>0.108</v>
      </c>
      <c r="Z257" s="14" t="s">
        <v>62</v>
      </c>
      <c r="AA257" s="14" t="s">
        <v>62</v>
      </c>
      <c r="AB257" s="14" t="s">
        <v>62</v>
      </c>
      <c r="AC257" s="14" t="s">
        <v>140</v>
      </c>
      <c r="AD257" s="14" t="s">
        <v>204</v>
      </c>
    </row>
    <row r="258" spans="1:30" ht="14.25" hidden="1">
      <c r="A258" s="14" t="s">
        <v>52</v>
      </c>
      <c r="B258" s="14" t="s">
        <v>84</v>
      </c>
      <c r="C258" s="14" t="s">
        <v>74</v>
      </c>
      <c r="D258" s="14" t="s">
        <v>164</v>
      </c>
      <c r="E258" s="14" t="s">
        <v>2284</v>
      </c>
      <c r="F258" s="14"/>
      <c r="G258" s="14" t="s">
        <v>165</v>
      </c>
      <c r="H258" s="14" t="s">
        <v>2285</v>
      </c>
      <c r="I258" s="14" t="s">
        <v>133</v>
      </c>
      <c r="J258" s="14" t="s">
        <v>1321</v>
      </c>
      <c r="K258" s="14">
        <f t="shared" si="26"/>
        <v>140254</v>
      </c>
      <c r="L258" s="14">
        <v>41</v>
      </c>
      <c r="M258" s="14">
        <v>79148</v>
      </c>
      <c r="N258" s="14">
        <v>61106</v>
      </c>
      <c r="O258" s="14" t="s">
        <v>97</v>
      </c>
      <c r="P258" s="14" t="s">
        <v>98</v>
      </c>
      <c r="Q258" s="14" t="s">
        <v>79</v>
      </c>
      <c r="R258" s="14">
        <v>1.1424000000000001</v>
      </c>
      <c r="S258" s="14" t="s">
        <v>2286</v>
      </c>
      <c r="T258" s="14">
        <v>0.53539999999999999</v>
      </c>
      <c r="U258" s="23">
        <v>133.41290000000001</v>
      </c>
      <c r="V258" s="14" t="s">
        <v>2287</v>
      </c>
      <c r="W258" s="14">
        <v>1.337</v>
      </c>
      <c r="X258" s="14" t="s">
        <v>2283</v>
      </c>
      <c r="Y258" s="14">
        <v>0.108</v>
      </c>
      <c r="Z258" s="14" t="s">
        <v>62</v>
      </c>
      <c r="AA258" s="14" t="s">
        <v>62</v>
      </c>
      <c r="AB258" s="14" t="s">
        <v>62</v>
      </c>
      <c r="AC258" s="14" t="s">
        <v>140</v>
      </c>
      <c r="AD258" s="14" t="s">
        <v>204</v>
      </c>
    </row>
    <row r="259" spans="1:30" ht="14.25" hidden="1">
      <c r="A259" s="14" t="s">
        <v>52</v>
      </c>
      <c r="B259" s="14" t="s">
        <v>84</v>
      </c>
      <c r="C259" s="14" t="s">
        <v>74</v>
      </c>
      <c r="D259" s="14" t="s">
        <v>164</v>
      </c>
      <c r="E259" s="14" t="s">
        <v>1468</v>
      </c>
      <c r="F259" s="14"/>
      <c r="G259" s="14" t="s">
        <v>165</v>
      </c>
      <c r="H259" s="14" t="s">
        <v>1471</v>
      </c>
      <c r="I259" s="14" t="s">
        <v>133</v>
      </c>
      <c r="J259" s="14" t="s">
        <v>1321</v>
      </c>
      <c r="K259" s="14">
        <f t="shared" si="26"/>
        <v>373295</v>
      </c>
      <c r="L259" s="14">
        <v>37</v>
      </c>
      <c r="M259" s="14">
        <v>1279</v>
      </c>
      <c r="N259" s="14">
        <v>372016</v>
      </c>
      <c r="O259" s="14" t="s">
        <v>97</v>
      </c>
      <c r="P259" s="14" t="s">
        <v>98</v>
      </c>
      <c r="Q259" s="14" t="s">
        <v>79</v>
      </c>
      <c r="R259" s="14">
        <v>1.0003</v>
      </c>
      <c r="S259" s="14" t="s">
        <v>2288</v>
      </c>
      <c r="T259" s="14">
        <v>0.89959999999999996</v>
      </c>
      <c r="U259" s="23">
        <v>48.632199999999997</v>
      </c>
      <c r="V259" s="14">
        <v>7.7799999999999994E-2</v>
      </c>
      <c r="W259" s="14">
        <v>1.0013000000000001</v>
      </c>
      <c r="X259" s="14" t="s">
        <v>2289</v>
      </c>
      <c r="Y259" s="14">
        <v>0.67559999999999998</v>
      </c>
      <c r="Z259" s="14" t="s">
        <v>62</v>
      </c>
      <c r="AA259" s="14" t="s">
        <v>62</v>
      </c>
      <c r="AB259" s="14" t="s">
        <v>62</v>
      </c>
      <c r="AC259" s="14" t="s">
        <v>140</v>
      </c>
      <c r="AD259" s="14" t="s">
        <v>204</v>
      </c>
    </row>
    <row r="260" spans="1:30" ht="14.25" hidden="1">
      <c r="A260" s="14" t="s">
        <v>52</v>
      </c>
      <c r="B260" s="14" t="s">
        <v>84</v>
      </c>
      <c r="C260" s="14" t="s">
        <v>74</v>
      </c>
      <c r="D260" s="14" t="s">
        <v>164</v>
      </c>
      <c r="E260" s="14" t="s">
        <v>1495</v>
      </c>
      <c r="F260" s="14"/>
      <c r="G260" s="14" t="s">
        <v>165</v>
      </c>
      <c r="H260" s="14" t="s">
        <v>1496</v>
      </c>
      <c r="I260" s="14" t="s">
        <v>133</v>
      </c>
      <c r="J260" s="14" t="s">
        <v>1321</v>
      </c>
      <c r="K260" s="14">
        <f t="shared" si="26"/>
        <v>372622</v>
      </c>
      <c r="L260" s="14">
        <v>37</v>
      </c>
      <c r="M260" s="14">
        <v>606</v>
      </c>
      <c r="N260" s="14">
        <v>372016</v>
      </c>
      <c r="O260" s="14" t="s">
        <v>97</v>
      </c>
      <c r="P260" s="14" t="s">
        <v>98</v>
      </c>
      <c r="Q260" s="14" t="s">
        <v>79</v>
      </c>
      <c r="R260" s="14">
        <v>1.0003</v>
      </c>
      <c r="S260" s="14" t="s">
        <v>2290</v>
      </c>
      <c r="T260" s="14">
        <v>0.81640000000000001</v>
      </c>
      <c r="U260" s="23">
        <v>45.578299999999999</v>
      </c>
      <c r="V260" s="14">
        <v>0.13159999999999999</v>
      </c>
      <c r="W260" s="14">
        <v>1.0003</v>
      </c>
      <c r="X260" s="14" t="s">
        <v>2291</v>
      </c>
      <c r="Y260" s="14">
        <v>0.87860000000000005</v>
      </c>
      <c r="Z260" s="14" t="s">
        <v>62</v>
      </c>
      <c r="AA260" s="14" t="s">
        <v>62</v>
      </c>
      <c r="AB260" s="14" t="s">
        <v>62</v>
      </c>
      <c r="AC260" s="14" t="s">
        <v>140</v>
      </c>
      <c r="AD260" s="14" t="s">
        <v>204</v>
      </c>
    </row>
    <row r="261" spans="1:30" ht="14.25" hidden="1">
      <c r="A261" s="23" t="s">
        <v>52</v>
      </c>
      <c r="B261" s="23" t="s">
        <v>84</v>
      </c>
      <c r="C261" s="23" t="s">
        <v>74</v>
      </c>
      <c r="D261" s="23" t="s">
        <v>164</v>
      </c>
      <c r="E261" s="14" t="s">
        <v>2243</v>
      </c>
      <c r="F261" s="23"/>
      <c r="G261" s="23" t="s">
        <v>165</v>
      </c>
      <c r="H261" s="23" t="s">
        <v>2292</v>
      </c>
      <c r="I261" s="23" t="s">
        <v>133</v>
      </c>
      <c r="J261" s="23" t="s">
        <v>2293</v>
      </c>
      <c r="K261" s="23" t="s">
        <v>79</v>
      </c>
      <c r="L261" s="23">
        <v>37</v>
      </c>
      <c r="M261" s="23" t="s">
        <v>79</v>
      </c>
      <c r="N261" s="23" t="s">
        <v>79</v>
      </c>
      <c r="O261" s="23" t="s">
        <v>97</v>
      </c>
      <c r="P261" s="23" t="s">
        <v>98</v>
      </c>
      <c r="Q261" s="14" t="s">
        <v>79</v>
      </c>
      <c r="R261" s="23">
        <v>0.99839999999999995</v>
      </c>
      <c r="S261" s="23" t="s">
        <v>2294</v>
      </c>
      <c r="T261" s="23">
        <v>0.32600000000000001</v>
      </c>
      <c r="U261" s="14">
        <v>35.373600000000003</v>
      </c>
      <c r="V261" s="14">
        <v>0.49819999999999998</v>
      </c>
      <c r="W261" s="23">
        <v>0.99950000000000006</v>
      </c>
      <c r="X261" s="23" t="s">
        <v>2295</v>
      </c>
      <c r="Y261" s="23">
        <v>0.85089999999999999</v>
      </c>
      <c r="Z261" s="14" t="s">
        <v>62</v>
      </c>
      <c r="AA261" s="14" t="s">
        <v>62</v>
      </c>
      <c r="AB261" s="14" t="s">
        <v>62</v>
      </c>
      <c r="AC261" s="23" t="s">
        <v>140</v>
      </c>
      <c r="AD261" s="23" t="s">
        <v>204</v>
      </c>
    </row>
    <row r="262" spans="1:30" ht="14.25" hidden="1">
      <c r="A262" s="23" t="s">
        <v>52</v>
      </c>
      <c r="B262" s="23" t="s">
        <v>84</v>
      </c>
      <c r="C262" s="23" t="s">
        <v>74</v>
      </c>
      <c r="D262" s="23" t="s">
        <v>164</v>
      </c>
      <c r="E262" s="14" t="s">
        <v>820</v>
      </c>
      <c r="F262" s="23"/>
      <c r="G262" s="23" t="s">
        <v>165</v>
      </c>
      <c r="H262" s="23" t="s">
        <v>79</v>
      </c>
      <c r="I262" s="23" t="s">
        <v>133</v>
      </c>
      <c r="J262" s="23" t="s">
        <v>2293</v>
      </c>
      <c r="K262" s="23" t="s">
        <v>79</v>
      </c>
      <c r="L262" s="23">
        <v>39</v>
      </c>
      <c r="M262" s="23" t="s">
        <v>79</v>
      </c>
      <c r="N262" s="23" t="s">
        <v>79</v>
      </c>
      <c r="O262" s="23" t="s">
        <v>97</v>
      </c>
      <c r="P262" s="23" t="s">
        <v>98</v>
      </c>
      <c r="Q262" s="14" t="s">
        <v>79</v>
      </c>
      <c r="R262" s="23">
        <v>0.23139999999999999</v>
      </c>
      <c r="S262" s="23" t="s">
        <v>2299</v>
      </c>
      <c r="T262" s="23">
        <v>4.3E-3</v>
      </c>
      <c r="U262" s="14">
        <v>36.069899999999997</v>
      </c>
      <c r="V262" s="14">
        <v>0.55900000000000005</v>
      </c>
      <c r="W262" s="23">
        <v>0.31950000000000001</v>
      </c>
      <c r="X262" s="23" t="s">
        <v>2300</v>
      </c>
      <c r="Y262" s="23">
        <v>0.1237</v>
      </c>
      <c r="Z262" s="14" t="s">
        <v>62</v>
      </c>
      <c r="AA262" s="14" t="s">
        <v>62</v>
      </c>
      <c r="AB262" s="14" t="s">
        <v>62</v>
      </c>
      <c r="AC262" s="23" t="s">
        <v>140</v>
      </c>
      <c r="AD262" s="23" t="s">
        <v>204</v>
      </c>
    </row>
    <row r="263" spans="1:30" ht="14.25" hidden="1">
      <c r="A263" s="23" t="s">
        <v>52</v>
      </c>
      <c r="B263" s="23" t="s">
        <v>84</v>
      </c>
      <c r="C263" s="23" t="s">
        <v>74</v>
      </c>
      <c r="D263" s="23" t="s">
        <v>164</v>
      </c>
      <c r="E263" s="14" t="s">
        <v>2250</v>
      </c>
      <c r="F263" s="23"/>
      <c r="G263" s="23" t="s">
        <v>165</v>
      </c>
      <c r="H263" s="23" t="s">
        <v>79</v>
      </c>
      <c r="I263" s="23" t="s">
        <v>133</v>
      </c>
      <c r="J263" s="23" t="s">
        <v>2293</v>
      </c>
      <c r="K263" s="23" t="s">
        <v>79</v>
      </c>
      <c r="L263" s="23">
        <v>39</v>
      </c>
      <c r="M263" s="23" t="s">
        <v>79</v>
      </c>
      <c r="N263" s="23" t="s">
        <v>79</v>
      </c>
      <c r="O263" s="23" t="s">
        <v>97</v>
      </c>
      <c r="P263" s="23" t="s">
        <v>98</v>
      </c>
      <c r="Q263" s="14" t="s">
        <v>79</v>
      </c>
      <c r="R263" s="23">
        <v>6.8900000000000003E-2</v>
      </c>
      <c r="S263" s="23" t="s">
        <v>2301</v>
      </c>
      <c r="T263" s="23">
        <v>1.3599999999999999E-2</v>
      </c>
      <c r="U263" s="14">
        <v>34.194800000000001</v>
      </c>
      <c r="V263" s="14">
        <v>0.64610000000000001</v>
      </c>
      <c r="W263" s="23">
        <v>5.74E-2</v>
      </c>
      <c r="X263" s="23" t="s">
        <v>2302</v>
      </c>
      <c r="Y263" s="23">
        <v>6.1800000000000001E-2</v>
      </c>
      <c r="Z263" s="14" t="s">
        <v>62</v>
      </c>
      <c r="AA263" s="14" t="s">
        <v>62</v>
      </c>
      <c r="AB263" s="14" t="s">
        <v>62</v>
      </c>
      <c r="AC263" s="23" t="s">
        <v>140</v>
      </c>
      <c r="AD263" s="23" t="s">
        <v>204</v>
      </c>
    </row>
    <row r="264" spans="1:30" ht="14.25" hidden="1">
      <c r="A264" s="23" t="s">
        <v>52</v>
      </c>
      <c r="B264" s="23" t="s">
        <v>84</v>
      </c>
      <c r="C264" s="23" t="s">
        <v>74</v>
      </c>
      <c r="D264" s="23" t="s">
        <v>164</v>
      </c>
      <c r="E264" s="14" t="s">
        <v>423</v>
      </c>
      <c r="F264" s="23"/>
      <c r="G264" s="23" t="s">
        <v>165</v>
      </c>
      <c r="H264" s="23" t="s">
        <v>79</v>
      </c>
      <c r="I264" s="23" t="s">
        <v>133</v>
      </c>
      <c r="J264" s="23" t="s">
        <v>2293</v>
      </c>
      <c r="K264" s="23" t="s">
        <v>79</v>
      </c>
      <c r="L264" s="23">
        <v>41</v>
      </c>
      <c r="M264" s="23" t="s">
        <v>79</v>
      </c>
      <c r="N264" s="23" t="s">
        <v>79</v>
      </c>
      <c r="O264" s="23" t="s">
        <v>97</v>
      </c>
      <c r="P264" s="23" t="s">
        <v>98</v>
      </c>
      <c r="Q264" s="14" t="s">
        <v>79</v>
      </c>
      <c r="R264" s="23">
        <v>0.54759999999999998</v>
      </c>
      <c r="S264" s="23" t="s">
        <v>2303</v>
      </c>
      <c r="T264" s="23">
        <v>1.9199999999999998E-2</v>
      </c>
      <c r="U264" s="14">
        <v>43.874600000000001</v>
      </c>
      <c r="V264" s="14">
        <v>0.31069999999999998</v>
      </c>
      <c r="W264" s="23">
        <v>0.64739999999999998</v>
      </c>
      <c r="X264" s="23" t="s">
        <v>2304</v>
      </c>
      <c r="Y264" s="23">
        <v>0.22220000000000001</v>
      </c>
      <c r="Z264" s="14" t="s">
        <v>62</v>
      </c>
      <c r="AA264" s="14" t="s">
        <v>62</v>
      </c>
      <c r="AB264" s="14" t="s">
        <v>62</v>
      </c>
      <c r="AC264" s="23" t="s">
        <v>140</v>
      </c>
      <c r="AD264" s="23" t="s">
        <v>204</v>
      </c>
    </row>
    <row r="265" spans="1:30" ht="14.25" hidden="1">
      <c r="A265" s="23" t="s">
        <v>52</v>
      </c>
      <c r="B265" s="23" t="s">
        <v>84</v>
      </c>
      <c r="C265" s="23" t="s">
        <v>74</v>
      </c>
      <c r="D265" s="23" t="s">
        <v>164</v>
      </c>
      <c r="E265" s="14" t="s">
        <v>2264</v>
      </c>
      <c r="F265" s="23"/>
      <c r="G265" s="23" t="s">
        <v>165</v>
      </c>
      <c r="H265" s="23" t="s">
        <v>79</v>
      </c>
      <c r="I265" s="23" t="s">
        <v>133</v>
      </c>
      <c r="J265" s="23" t="s">
        <v>2293</v>
      </c>
      <c r="K265" s="23" t="s">
        <v>79</v>
      </c>
      <c r="L265" s="23">
        <v>39</v>
      </c>
      <c r="M265" s="23" t="s">
        <v>79</v>
      </c>
      <c r="N265" s="23" t="s">
        <v>79</v>
      </c>
      <c r="O265" s="23" t="s">
        <v>97</v>
      </c>
      <c r="P265" s="23" t="s">
        <v>98</v>
      </c>
      <c r="Q265" s="14" t="s">
        <v>79</v>
      </c>
      <c r="R265" s="23">
        <v>0.81289999999999996</v>
      </c>
      <c r="S265" s="23" t="s">
        <v>2305</v>
      </c>
      <c r="T265" s="23">
        <v>0.78439999999999999</v>
      </c>
      <c r="U265" s="14">
        <v>38.351999999999997</v>
      </c>
      <c r="V265" s="14">
        <v>0.45350000000000001</v>
      </c>
      <c r="W265" s="23">
        <v>0.83779999999999999</v>
      </c>
      <c r="X265" s="23" t="s">
        <v>2306</v>
      </c>
      <c r="Y265" s="23">
        <v>0.82269999999999999</v>
      </c>
      <c r="Z265" s="14" t="s">
        <v>62</v>
      </c>
      <c r="AA265" s="14" t="s">
        <v>62</v>
      </c>
      <c r="AB265" s="14" t="s">
        <v>62</v>
      </c>
      <c r="AC265" s="23" t="s">
        <v>140</v>
      </c>
      <c r="AD265" s="23" t="s">
        <v>204</v>
      </c>
    </row>
    <row r="266" spans="1:30" ht="14.25" hidden="1">
      <c r="A266" s="23" t="s">
        <v>52</v>
      </c>
      <c r="B266" s="23" t="s">
        <v>84</v>
      </c>
      <c r="C266" s="23" t="s">
        <v>74</v>
      </c>
      <c r="D266" s="23" t="s">
        <v>164</v>
      </c>
      <c r="E266" s="14" t="s">
        <v>2268</v>
      </c>
      <c r="F266" s="23"/>
      <c r="G266" s="23" t="s">
        <v>165</v>
      </c>
      <c r="H266" s="23" t="s">
        <v>79</v>
      </c>
      <c r="I266" s="23" t="s">
        <v>133</v>
      </c>
      <c r="J266" s="23" t="s">
        <v>2293</v>
      </c>
      <c r="K266" s="23" t="s">
        <v>79</v>
      </c>
      <c r="L266" s="23">
        <v>39</v>
      </c>
      <c r="M266" s="23" t="s">
        <v>79</v>
      </c>
      <c r="N266" s="23" t="s">
        <v>79</v>
      </c>
      <c r="O266" s="23" t="s">
        <v>97</v>
      </c>
      <c r="P266" s="23" t="s">
        <v>98</v>
      </c>
      <c r="Q266" s="14" t="s">
        <v>79</v>
      </c>
      <c r="R266" s="23">
        <v>1.9157999999999999</v>
      </c>
      <c r="S266" s="23" t="s">
        <v>2307</v>
      </c>
      <c r="T266" s="23">
        <v>0.35349999999999998</v>
      </c>
      <c r="U266" s="14">
        <v>36.057200000000002</v>
      </c>
      <c r="V266" s="14">
        <v>0.55959999999999999</v>
      </c>
      <c r="W266" s="23">
        <v>1.6961999999999999</v>
      </c>
      <c r="X266" s="23" t="s">
        <v>2308</v>
      </c>
      <c r="Y266" s="23">
        <v>0.60140000000000005</v>
      </c>
      <c r="Z266" s="14" t="s">
        <v>62</v>
      </c>
      <c r="AA266" s="14" t="s">
        <v>62</v>
      </c>
      <c r="AB266" s="14" t="s">
        <v>62</v>
      </c>
      <c r="AC266" s="23" t="s">
        <v>140</v>
      </c>
      <c r="AD266" s="23" t="s">
        <v>204</v>
      </c>
    </row>
    <row r="267" spans="1:30" ht="14.25" hidden="1">
      <c r="A267" s="23" t="s">
        <v>52</v>
      </c>
      <c r="B267" s="23" t="s">
        <v>84</v>
      </c>
      <c r="C267" s="23" t="s">
        <v>74</v>
      </c>
      <c r="D267" s="23" t="s">
        <v>164</v>
      </c>
      <c r="E267" s="14" t="s">
        <v>1718</v>
      </c>
      <c r="F267" s="23"/>
      <c r="G267" s="23" t="s">
        <v>165</v>
      </c>
      <c r="H267" s="23" t="s">
        <v>79</v>
      </c>
      <c r="I267" s="23" t="s">
        <v>133</v>
      </c>
      <c r="J267" s="23" t="s">
        <v>2293</v>
      </c>
      <c r="K267" s="23" t="s">
        <v>79</v>
      </c>
      <c r="L267" s="23">
        <v>39</v>
      </c>
      <c r="M267" s="23" t="s">
        <v>79</v>
      </c>
      <c r="N267" s="23" t="s">
        <v>79</v>
      </c>
      <c r="O267" s="23" t="s">
        <v>97</v>
      </c>
      <c r="P267" s="23" t="s">
        <v>98</v>
      </c>
      <c r="Q267" s="14" t="s">
        <v>79</v>
      </c>
      <c r="R267" s="23">
        <v>0.6502</v>
      </c>
      <c r="S267" s="23" t="s">
        <v>2309</v>
      </c>
      <c r="T267" s="23">
        <v>0.79330000000000001</v>
      </c>
      <c r="U267" s="14">
        <v>38.973300000000002</v>
      </c>
      <c r="V267" s="14">
        <v>0.42580000000000001</v>
      </c>
      <c r="W267" s="23">
        <v>0.60389999999999999</v>
      </c>
      <c r="X267" s="23" t="s">
        <v>2310</v>
      </c>
      <c r="Y267" s="23">
        <v>0.83069999999999999</v>
      </c>
      <c r="Z267" s="14" t="s">
        <v>62</v>
      </c>
      <c r="AA267" s="14" t="s">
        <v>62</v>
      </c>
      <c r="AB267" s="14" t="s">
        <v>62</v>
      </c>
      <c r="AC267" s="23" t="s">
        <v>140</v>
      </c>
      <c r="AD267" s="23" t="s">
        <v>204</v>
      </c>
    </row>
    <row r="268" spans="1:30" ht="14.25" hidden="1">
      <c r="A268" s="23" t="s">
        <v>52</v>
      </c>
      <c r="B268" s="23" t="s">
        <v>84</v>
      </c>
      <c r="C268" s="23" t="s">
        <v>74</v>
      </c>
      <c r="D268" s="23" t="s">
        <v>164</v>
      </c>
      <c r="E268" s="14" t="s">
        <v>900</v>
      </c>
      <c r="F268" s="23"/>
      <c r="G268" s="23" t="s">
        <v>165</v>
      </c>
      <c r="H268" s="23" t="s">
        <v>79</v>
      </c>
      <c r="I268" s="23" t="s">
        <v>133</v>
      </c>
      <c r="J268" s="23" t="s">
        <v>2293</v>
      </c>
      <c r="K268" s="23" t="s">
        <v>79</v>
      </c>
      <c r="L268" s="23">
        <v>39</v>
      </c>
      <c r="M268" s="23" t="s">
        <v>79</v>
      </c>
      <c r="N268" s="23" t="s">
        <v>79</v>
      </c>
      <c r="O268" s="23" t="s">
        <v>97</v>
      </c>
      <c r="P268" s="23" t="s">
        <v>98</v>
      </c>
      <c r="Q268" s="14" t="s">
        <v>79</v>
      </c>
      <c r="R268" s="23">
        <v>0.55310000000000004</v>
      </c>
      <c r="S268" s="23" t="s">
        <v>2311</v>
      </c>
      <c r="T268" s="23">
        <v>0.49740000000000001</v>
      </c>
      <c r="U268" s="14">
        <v>19.299299999999999</v>
      </c>
      <c r="V268" s="14">
        <v>0.995</v>
      </c>
      <c r="W268" s="23">
        <v>0.81269999999999998</v>
      </c>
      <c r="X268" s="23" t="s">
        <v>2312</v>
      </c>
      <c r="Y268" s="23">
        <v>0.85599999999999998</v>
      </c>
      <c r="Z268" s="14" t="s">
        <v>62</v>
      </c>
      <c r="AA268" s="14" t="s">
        <v>62</v>
      </c>
      <c r="AB268" s="14" t="s">
        <v>62</v>
      </c>
      <c r="AC268" s="23" t="s">
        <v>140</v>
      </c>
      <c r="AD268" s="23" t="s">
        <v>204</v>
      </c>
    </row>
    <row r="269" spans="1:30" ht="14.25" hidden="1">
      <c r="A269" s="23" t="s">
        <v>52</v>
      </c>
      <c r="B269" s="23" t="s">
        <v>84</v>
      </c>
      <c r="C269" s="23" t="s">
        <v>74</v>
      </c>
      <c r="D269" s="23" t="s">
        <v>164</v>
      </c>
      <c r="E269" s="14" t="s">
        <v>2113</v>
      </c>
      <c r="F269" s="23"/>
      <c r="G269" s="23" t="s">
        <v>165</v>
      </c>
      <c r="H269" s="23" t="s">
        <v>2313</v>
      </c>
      <c r="I269" s="23" t="s">
        <v>133</v>
      </c>
      <c r="J269" s="23" t="s">
        <v>2293</v>
      </c>
      <c r="K269" s="23" t="s">
        <v>79</v>
      </c>
      <c r="L269" s="23">
        <v>20</v>
      </c>
      <c r="M269" s="23" t="s">
        <v>79</v>
      </c>
      <c r="N269" s="23" t="s">
        <v>79</v>
      </c>
      <c r="O269" s="23" t="s">
        <v>97</v>
      </c>
      <c r="P269" s="23" t="s">
        <v>98</v>
      </c>
      <c r="Q269" s="14" t="s">
        <v>79</v>
      </c>
      <c r="R269" s="23">
        <v>0.99939999999999996</v>
      </c>
      <c r="S269" s="23" t="s">
        <v>2314</v>
      </c>
      <c r="T269" s="23">
        <v>0.78249999999999997</v>
      </c>
      <c r="U269" s="14">
        <v>18.723800000000001</v>
      </c>
      <c r="V269" s="14">
        <v>0.47470000000000001</v>
      </c>
      <c r="W269" s="23">
        <v>0.99919999999999998</v>
      </c>
      <c r="X269" s="23" t="s">
        <v>2315</v>
      </c>
      <c r="Y269" s="23">
        <v>0.81179999999999997</v>
      </c>
      <c r="Z269" s="14" t="s">
        <v>62</v>
      </c>
      <c r="AA269" s="14" t="s">
        <v>62</v>
      </c>
      <c r="AB269" s="14" t="s">
        <v>62</v>
      </c>
      <c r="AC269" s="23" t="s">
        <v>140</v>
      </c>
      <c r="AD269" s="23" t="s">
        <v>204</v>
      </c>
    </row>
    <row r="270" spans="1:30" ht="14.25" hidden="1">
      <c r="A270" s="23" t="s">
        <v>52</v>
      </c>
      <c r="B270" s="23" t="s">
        <v>84</v>
      </c>
      <c r="C270" s="23" t="s">
        <v>74</v>
      </c>
      <c r="D270" s="23" t="s">
        <v>164</v>
      </c>
      <c r="E270" s="14" t="s">
        <v>2280</v>
      </c>
      <c r="F270" s="23"/>
      <c r="G270" s="23" t="s">
        <v>165</v>
      </c>
      <c r="H270" s="23" t="s">
        <v>79</v>
      </c>
      <c r="I270" s="23" t="s">
        <v>133</v>
      </c>
      <c r="J270" s="23" t="s">
        <v>2293</v>
      </c>
      <c r="K270" s="23" t="s">
        <v>79</v>
      </c>
      <c r="L270" s="23">
        <v>39</v>
      </c>
      <c r="M270" s="23" t="s">
        <v>79</v>
      </c>
      <c r="N270" s="23" t="s">
        <v>79</v>
      </c>
      <c r="O270" s="23" t="s">
        <v>97</v>
      </c>
      <c r="P270" s="23" t="s">
        <v>98</v>
      </c>
      <c r="Q270" s="14" t="s">
        <v>79</v>
      </c>
      <c r="R270" s="23">
        <v>0.48349999999999999</v>
      </c>
      <c r="S270" s="23" t="s">
        <v>2316</v>
      </c>
      <c r="T270" s="23">
        <v>0.28549999999999998</v>
      </c>
      <c r="U270" s="14">
        <v>39.256799999999998</v>
      </c>
      <c r="V270" s="14">
        <v>0.4133</v>
      </c>
      <c r="W270" s="23">
        <v>0.47620000000000001</v>
      </c>
      <c r="X270" s="23" t="s">
        <v>2317</v>
      </c>
      <c r="Y270" s="23">
        <v>0.43730000000000002</v>
      </c>
      <c r="Z270" s="14" t="s">
        <v>62</v>
      </c>
      <c r="AA270" s="14" t="s">
        <v>62</v>
      </c>
      <c r="AB270" s="14" t="s">
        <v>62</v>
      </c>
      <c r="AC270" s="23" t="s">
        <v>140</v>
      </c>
      <c r="AD270" s="23" t="s">
        <v>204</v>
      </c>
    </row>
    <row r="271" spans="1:30" ht="14.25" hidden="1">
      <c r="A271" s="23" t="s">
        <v>52</v>
      </c>
      <c r="B271" s="23" t="s">
        <v>84</v>
      </c>
      <c r="C271" s="23" t="s">
        <v>74</v>
      </c>
      <c r="D271" s="23" t="s">
        <v>164</v>
      </c>
      <c r="E271" s="14" t="s">
        <v>2284</v>
      </c>
      <c r="F271" s="23"/>
      <c r="G271" s="23" t="s">
        <v>165</v>
      </c>
      <c r="H271" s="23" t="s">
        <v>79</v>
      </c>
      <c r="I271" s="23" t="s">
        <v>133</v>
      </c>
      <c r="J271" s="23" t="s">
        <v>2293</v>
      </c>
      <c r="K271" s="23" t="s">
        <v>79</v>
      </c>
      <c r="L271" s="23">
        <v>39</v>
      </c>
      <c r="M271" s="23" t="s">
        <v>79</v>
      </c>
      <c r="N271" s="23" t="s">
        <v>79</v>
      </c>
      <c r="O271" s="23" t="s">
        <v>97</v>
      </c>
      <c r="P271" s="23" t="s">
        <v>98</v>
      </c>
      <c r="Q271" s="14" t="s">
        <v>79</v>
      </c>
      <c r="R271" s="23">
        <v>1.1536999999999999</v>
      </c>
      <c r="S271" s="23" t="s">
        <v>2318</v>
      </c>
      <c r="T271" s="23">
        <v>0.63049999999999995</v>
      </c>
      <c r="U271" s="14">
        <v>50.193300000000001</v>
      </c>
      <c r="V271" s="14">
        <v>8.8999999999999996E-2</v>
      </c>
      <c r="W271" s="23">
        <v>1.0307999999999999</v>
      </c>
      <c r="X271" s="23" t="s">
        <v>2319</v>
      </c>
      <c r="Y271" s="23">
        <v>0.93910000000000005</v>
      </c>
      <c r="Z271" s="14" t="s">
        <v>62</v>
      </c>
      <c r="AA271" s="14" t="s">
        <v>62</v>
      </c>
      <c r="AB271" s="14" t="s">
        <v>62</v>
      </c>
      <c r="AC271" s="23" t="s">
        <v>140</v>
      </c>
      <c r="AD271" s="23" t="s">
        <v>204</v>
      </c>
    </row>
    <row r="272" spans="1:30" ht="14.25" hidden="1">
      <c r="A272" s="23" t="s">
        <v>52</v>
      </c>
      <c r="B272" s="23" t="s">
        <v>84</v>
      </c>
      <c r="C272" s="23" t="s">
        <v>74</v>
      </c>
      <c r="D272" s="23" t="s">
        <v>164</v>
      </c>
      <c r="E272" s="14" t="s">
        <v>1468</v>
      </c>
      <c r="F272" s="23"/>
      <c r="G272" s="23" t="s">
        <v>165</v>
      </c>
      <c r="H272" s="23" t="s">
        <v>79</v>
      </c>
      <c r="I272" s="23" t="s">
        <v>133</v>
      </c>
      <c r="J272" s="23" t="s">
        <v>2293</v>
      </c>
      <c r="K272" s="23" t="s">
        <v>79</v>
      </c>
      <c r="L272" s="23">
        <v>39</v>
      </c>
      <c r="M272" s="23" t="s">
        <v>79</v>
      </c>
      <c r="N272" s="23" t="s">
        <v>79</v>
      </c>
      <c r="O272" s="23" t="s">
        <v>97</v>
      </c>
      <c r="P272" s="23" t="s">
        <v>98</v>
      </c>
      <c r="Q272" s="14" t="s">
        <v>79</v>
      </c>
      <c r="R272" s="23">
        <v>0.54390000000000005</v>
      </c>
      <c r="S272" s="23" t="s">
        <v>2320</v>
      </c>
      <c r="T272" s="23">
        <v>0.29149999999999998</v>
      </c>
      <c r="U272" s="14">
        <v>18.335699999999999</v>
      </c>
      <c r="V272" s="14">
        <v>0.997</v>
      </c>
      <c r="W272" s="23">
        <v>0.58560000000000001</v>
      </c>
      <c r="X272" s="23" t="s">
        <v>2321</v>
      </c>
      <c r="Y272" s="23">
        <v>0.3604</v>
      </c>
      <c r="Z272" s="14" t="s">
        <v>62</v>
      </c>
      <c r="AA272" s="14" t="s">
        <v>62</v>
      </c>
      <c r="AB272" s="14" t="s">
        <v>62</v>
      </c>
      <c r="AC272" s="23" t="s">
        <v>140</v>
      </c>
      <c r="AD272" s="23" t="s">
        <v>204</v>
      </c>
    </row>
    <row r="273" spans="1:30" ht="14.25" hidden="1">
      <c r="A273" s="23" t="s">
        <v>52</v>
      </c>
      <c r="B273" s="23" t="s">
        <v>84</v>
      </c>
      <c r="C273" s="23" t="s">
        <v>74</v>
      </c>
      <c r="D273" s="23" t="s">
        <v>164</v>
      </c>
      <c r="E273" s="14" t="s">
        <v>1495</v>
      </c>
      <c r="F273" s="23"/>
      <c r="G273" s="23" t="s">
        <v>165</v>
      </c>
      <c r="H273" s="23" t="s">
        <v>79</v>
      </c>
      <c r="I273" s="23" t="s">
        <v>133</v>
      </c>
      <c r="J273" s="23" t="s">
        <v>2293</v>
      </c>
      <c r="K273" s="23" t="s">
        <v>79</v>
      </c>
      <c r="L273" s="23">
        <v>39</v>
      </c>
      <c r="M273" s="23" t="s">
        <v>79</v>
      </c>
      <c r="N273" s="23" t="s">
        <v>79</v>
      </c>
      <c r="O273" s="23" t="s">
        <v>97</v>
      </c>
      <c r="P273" s="23" t="s">
        <v>98</v>
      </c>
      <c r="Q273" s="14" t="s">
        <v>79</v>
      </c>
      <c r="R273" s="23">
        <v>1.08</v>
      </c>
      <c r="S273" s="23" t="s">
        <v>2322</v>
      </c>
      <c r="T273" s="23">
        <v>0.67</v>
      </c>
      <c r="U273" s="14">
        <v>34.326000000000001</v>
      </c>
      <c r="V273" s="14">
        <v>0.6401</v>
      </c>
      <c r="W273" s="23">
        <v>0.66310000000000002</v>
      </c>
      <c r="X273" s="23" t="s">
        <v>2323</v>
      </c>
      <c r="Y273" s="23">
        <v>0.95669999999999999</v>
      </c>
      <c r="Z273" s="14" t="s">
        <v>62</v>
      </c>
      <c r="AA273" s="14" t="s">
        <v>62</v>
      </c>
      <c r="AB273" s="14" t="s">
        <v>62</v>
      </c>
      <c r="AC273" s="23" t="s">
        <v>140</v>
      </c>
      <c r="AD273" s="23" t="s">
        <v>204</v>
      </c>
    </row>
    <row r="274" spans="1:30" ht="14.25" hidden="1">
      <c r="A274" s="23" t="s">
        <v>52</v>
      </c>
      <c r="B274" s="23" t="s">
        <v>84</v>
      </c>
      <c r="C274" s="23" t="s">
        <v>74</v>
      </c>
      <c r="D274" s="23" t="s">
        <v>75</v>
      </c>
      <c r="E274" s="14" t="s">
        <v>820</v>
      </c>
      <c r="F274" s="23"/>
      <c r="G274" s="23" t="s">
        <v>113</v>
      </c>
      <c r="H274" s="14" t="s">
        <v>2247</v>
      </c>
      <c r="I274" s="23" t="s">
        <v>133</v>
      </c>
      <c r="J274" s="14" t="s">
        <v>1321</v>
      </c>
      <c r="K274" s="14">
        <f>SUM(M274:N274)</f>
        <v>27209</v>
      </c>
      <c r="L274" s="23">
        <v>50</v>
      </c>
      <c r="M274" s="14">
        <v>11348</v>
      </c>
      <c r="N274" s="14">
        <v>15861</v>
      </c>
      <c r="O274" s="23" t="s">
        <v>97</v>
      </c>
      <c r="P274" s="23" t="s">
        <v>98</v>
      </c>
      <c r="Q274" s="14" t="s">
        <v>79</v>
      </c>
      <c r="R274" s="23">
        <v>0.94669999999999999</v>
      </c>
      <c r="S274" s="23" t="s">
        <v>2327</v>
      </c>
      <c r="T274" s="23">
        <v>0.88090000000000002</v>
      </c>
      <c r="U274" s="23">
        <v>69.278800000000004</v>
      </c>
      <c r="V274" s="23">
        <v>2.3800000000000002E-2</v>
      </c>
      <c r="W274" s="23">
        <v>1.3090999999999999</v>
      </c>
      <c r="X274" s="23" t="s">
        <v>2328</v>
      </c>
      <c r="Y274" s="23">
        <v>0.55740000000000001</v>
      </c>
      <c r="Z274" s="14" t="s">
        <v>62</v>
      </c>
      <c r="AA274" s="14" t="s">
        <v>62</v>
      </c>
      <c r="AB274" s="14" t="s">
        <v>62</v>
      </c>
      <c r="AC274" s="23" t="s">
        <v>140</v>
      </c>
      <c r="AD274" s="23" t="s">
        <v>204</v>
      </c>
    </row>
    <row r="275" spans="1:30" ht="14.25" hidden="1">
      <c r="A275" s="29" t="s">
        <v>52</v>
      </c>
      <c r="B275" s="29" t="s">
        <v>73</v>
      </c>
      <c r="C275" s="29" t="s">
        <v>74</v>
      </c>
      <c r="D275" s="29" t="s">
        <v>75</v>
      </c>
      <c r="E275" s="29" t="s">
        <v>2170</v>
      </c>
      <c r="F275" s="29"/>
      <c r="G275" s="29" t="s">
        <v>113</v>
      </c>
      <c r="H275" s="29" t="s">
        <v>2171</v>
      </c>
      <c r="I275" s="29" t="s">
        <v>133</v>
      </c>
      <c r="J275" s="29" t="s">
        <v>218</v>
      </c>
      <c r="K275" s="42">
        <v>73479</v>
      </c>
      <c r="L275" s="42">
        <v>55</v>
      </c>
      <c r="M275" s="42">
        <v>680</v>
      </c>
      <c r="N275" s="42">
        <v>72799</v>
      </c>
      <c r="O275" s="29" t="s">
        <v>97</v>
      </c>
      <c r="P275" s="29" t="s">
        <v>98</v>
      </c>
      <c r="Q275" s="29">
        <v>33.4</v>
      </c>
      <c r="R275" s="29">
        <v>1.7850999999999999</v>
      </c>
      <c r="S275" s="29" t="s">
        <v>2180</v>
      </c>
      <c r="T275" s="138" t="s">
        <v>2181</v>
      </c>
      <c r="U275" s="29">
        <v>33.470700000000001</v>
      </c>
      <c r="V275" s="29">
        <v>0.75749999999999995</v>
      </c>
      <c r="W275" s="29">
        <v>2.1353</v>
      </c>
      <c r="X275" s="29" t="s">
        <v>2182</v>
      </c>
      <c r="Y275" s="29">
        <v>0.58320000000000005</v>
      </c>
      <c r="Z275" s="29">
        <v>1.7623</v>
      </c>
      <c r="AA275" s="29" t="s">
        <v>2183</v>
      </c>
      <c r="AB275" s="29">
        <v>0.86229999999999996</v>
      </c>
      <c r="AC275" s="29" t="s">
        <v>109</v>
      </c>
      <c r="AD275" s="29" t="s">
        <v>145</v>
      </c>
    </row>
    <row r="276" spans="1:30" ht="14.25" hidden="1">
      <c r="A276" s="14" t="s">
        <v>52</v>
      </c>
      <c r="B276" s="14" t="s">
        <v>20</v>
      </c>
      <c r="C276" s="14" t="s">
        <v>74</v>
      </c>
      <c r="D276" s="14" t="s">
        <v>75</v>
      </c>
      <c r="E276" s="14" t="s">
        <v>1319</v>
      </c>
      <c r="F276" s="14"/>
      <c r="G276" s="14" t="s">
        <v>113</v>
      </c>
      <c r="H276" s="14">
        <v>31194737</v>
      </c>
      <c r="I276" s="14" t="s">
        <v>2535</v>
      </c>
      <c r="J276" s="14" t="s">
        <v>1321</v>
      </c>
      <c r="K276" s="14" t="s">
        <v>1321</v>
      </c>
      <c r="L276" s="14">
        <v>39</v>
      </c>
      <c r="M276" s="14" t="s">
        <v>1321</v>
      </c>
      <c r="N276" s="14" t="s">
        <v>1321</v>
      </c>
      <c r="O276" s="14" t="s">
        <v>97</v>
      </c>
      <c r="P276" s="14" t="s">
        <v>129</v>
      </c>
      <c r="Q276" s="14" t="s">
        <v>79</v>
      </c>
      <c r="R276" s="14" t="s">
        <v>1345</v>
      </c>
      <c r="S276" s="14" t="s">
        <v>1334</v>
      </c>
      <c r="T276" s="14" t="s">
        <v>1346</v>
      </c>
      <c r="U276" s="14" t="s">
        <v>1347</v>
      </c>
      <c r="V276" s="14" t="s">
        <v>1165</v>
      </c>
      <c r="W276" s="14">
        <v>-0.17</v>
      </c>
      <c r="X276" s="14" t="s">
        <v>1348</v>
      </c>
      <c r="Y276" s="14">
        <v>2.5999999999999999E-2</v>
      </c>
      <c r="Z276" s="14" t="s">
        <v>62</v>
      </c>
      <c r="AA276" s="14" t="s">
        <v>62</v>
      </c>
      <c r="AB276" s="14" t="s">
        <v>62</v>
      </c>
      <c r="AC276" s="14" t="s">
        <v>140</v>
      </c>
      <c r="AD276" s="14" t="s">
        <v>145</v>
      </c>
    </row>
    <row r="277" spans="1:30" ht="14.25" hidden="1">
      <c r="A277" s="23" t="s">
        <v>52</v>
      </c>
      <c r="B277" s="23" t="s">
        <v>84</v>
      </c>
      <c r="C277" s="23" t="s">
        <v>74</v>
      </c>
      <c r="D277" s="23" t="s">
        <v>75</v>
      </c>
      <c r="E277" s="14" t="s">
        <v>2243</v>
      </c>
      <c r="F277" s="23"/>
      <c r="G277" s="23" t="s">
        <v>113</v>
      </c>
      <c r="H277" s="14" t="s">
        <v>2244</v>
      </c>
      <c r="I277" s="23" t="s">
        <v>133</v>
      </c>
      <c r="J277" s="14" t="s">
        <v>1321</v>
      </c>
      <c r="K277" s="14">
        <f>SUM(M277:N277)</f>
        <v>4671</v>
      </c>
      <c r="L277" s="23">
        <v>29</v>
      </c>
      <c r="M277" s="14">
        <v>2342</v>
      </c>
      <c r="N277" s="14">
        <v>2329</v>
      </c>
      <c r="O277" s="23" t="s">
        <v>97</v>
      </c>
      <c r="P277" s="23" t="s">
        <v>98</v>
      </c>
      <c r="Q277" s="14" t="s">
        <v>79</v>
      </c>
      <c r="R277" s="23">
        <v>3.4931999999999999</v>
      </c>
      <c r="S277" s="23" t="s">
        <v>2324</v>
      </c>
      <c r="T277" s="23">
        <v>5.33E-2</v>
      </c>
      <c r="U277" s="23">
        <v>162.52510000000001</v>
      </c>
      <c r="V277" s="23" t="s">
        <v>2325</v>
      </c>
      <c r="W277" s="23">
        <v>1.6392</v>
      </c>
      <c r="X277" s="23" t="s">
        <v>2326</v>
      </c>
      <c r="Y277" s="23">
        <v>0.30020000000000002</v>
      </c>
      <c r="Z277" s="14" t="s">
        <v>62</v>
      </c>
      <c r="AA277" s="14" t="s">
        <v>62</v>
      </c>
      <c r="AB277" s="14" t="s">
        <v>62</v>
      </c>
      <c r="AC277" s="23" t="s">
        <v>140</v>
      </c>
      <c r="AD277" s="23" t="s">
        <v>204</v>
      </c>
    </row>
    <row r="278" spans="1:30" ht="14.25" hidden="1">
      <c r="A278" s="10" t="s">
        <v>52</v>
      </c>
      <c r="B278" s="10" t="s">
        <v>135</v>
      </c>
      <c r="C278" s="10" t="s">
        <v>74</v>
      </c>
      <c r="D278" s="10" t="s">
        <v>75</v>
      </c>
      <c r="E278" s="10" t="s">
        <v>1663</v>
      </c>
      <c r="F278" s="10"/>
      <c r="G278" s="10" t="s">
        <v>113</v>
      </c>
      <c r="H278" s="10" t="s">
        <v>1664</v>
      </c>
      <c r="I278" s="10" t="s">
        <v>133</v>
      </c>
      <c r="J278" s="10" t="s">
        <v>218</v>
      </c>
      <c r="K278" s="34">
        <v>217995</v>
      </c>
      <c r="L278" s="10">
        <v>53</v>
      </c>
      <c r="M278" s="34">
        <v>16761</v>
      </c>
      <c r="N278" s="10" t="s">
        <v>1665</v>
      </c>
      <c r="O278" s="62" t="s">
        <v>97</v>
      </c>
      <c r="P278" s="10" t="s">
        <v>98</v>
      </c>
      <c r="Q278" s="10" t="s">
        <v>79</v>
      </c>
      <c r="R278" s="10">
        <v>1.1359999999999999</v>
      </c>
      <c r="S278" s="10" t="s">
        <v>1715</v>
      </c>
      <c r="T278" s="10">
        <v>0.68600000000000005</v>
      </c>
      <c r="U278" s="10" t="s">
        <v>79</v>
      </c>
      <c r="V278" s="10">
        <v>1E-3</v>
      </c>
      <c r="W278" s="10">
        <v>1.1830000000000001</v>
      </c>
      <c r="X278" s="10" t="s">
        <v>1716</v>
      </c>
      <c r="Y278" s="10">
        <v>0.621</v>
      </c>
      <c r="Z278" s="10">
        <v>1.7350000000000001</v>
      </c>
      <c r="AA278" s="10" t="s">
        <v>1717</v>
      </c>
      <c r="AB278" s="10">
        <v>0.61499999999999999</v>
      </c>
      <c r="AC278" s="10" t="s">
        <v>140</v>
      </c>
      <c r="AD278" s="10" t="s">
        <v>145</v>
      </c>
    </row>
    <row r="279" spans="1:30" ht="14.25" hidden="1">
      <c r="A279" s="23" t="s">
        <v>52</v>
      </c>
      <c r="B279" s="23" t="s">
        <v>84</v>
      </c>
      <c r="C279" s="23" t="s">
        <v>74</v>
      </c>
      <c r="D279" s="23" t="s">
        <v>75</v>
      </c>
      <c r="E279" s="14" t="s">
        <v>2264</v>
      </c>
      <c r="F279" s="23"/>
      <c r="G279" s="23" t="s">
        <v>113</v>
      </c>
      <c r="H279" s="14" t="s">
        <v>2265</v>
      </c>
      <c r="I279" s="23" t="s">
        <v>133</v>
      </c>
      <c r="J279" s="14" t="s">
        <v>1321</v>
      </c>
      <c r="K279" s="14">
        <f t="shared" ref="K279:K280" si="27">SUM(M279:N279)</f>
        <v>66450</v>
      </c>
      <c r="L279" s="23">
        <v>53</v>
      </c>
      <c r="M279" s="14">
        <v>25509</v>
      </c>
      <c r="N279" s="14">
        <v>40941</v>
      </c>
      <c r="O279" s="23" t="s">
        <v>97</v>
      </c>
      <c r="P279" s="23" t="s">
        <v>98</v>
      </c>
      <c r="Q279" s="14" t="s">
        <v>79</v>
      </c>
      <c r="R279" s="23">
        <v>0.62060000000000004</v>
      </c>
      <c r="S279" s="23" t="s">
        <v>2331</v>
      </c>
      <c r="T279" s="23">
        <v>9.69E-2</v>
      </c>
      <c r="U279" s="23">
        <v>85.227199999999996</v>
      </c>
      <c r="V279" s="23">
        <v>1.9E-3</v>
      </c>
      <c r="W279" s="23">
        <v>0.64870000000000005</v>
      </c>
      <c r="X279" s="23" t="s">
        <v>2332</v>
      </c>
      <c r="Y279" s="23">
        <v>0.22700000000000001</v>
      </c>
      <c r="Z279" s="14" t="s">
        <v>62</v>
      </c>
      <c r="AA279" s="14" t="s">
        <v>62</v>
      </c>
      <c r="AB279" s="14" t="s">
        <v>62</v>
      </c>
      <c r="AC279" s="23" t="s">
        <v>140</v>
      </c>
      <c r="AD279" s="23" t="s">
        <v>204</v>
      </c>
    </row>
    <row r="280" spans="1:30" ht="14.25" hidden="1">
      <c r="A280" s="23" t="s">
        <v>52</v>
      </c>
      <c r="B280" s="23" t="s">
        <v>84</v>
      </c>
      <c r="C280" s="23" t="s">
        <v>74</v>
      </c>
      <c r="D280" s="23" t="s">
        <v>75</v>
      </c>
      <c r="E280" s="14" t="s">
        <v>2268</v>
      </c>
      <c r="F280" s="23"/>
      <c r="G280" s="23" t="s">
        <v>113</v>
      </c>
      <c r="H280" s="14" t="s">
        <v>2269</v>
      </c>
      <c r="I280" s="23" t="s">
        <v>133</v>
      </c>
      <c r="J280" s="14" t="s">
        <v>1321</v>
      </c>
      <c r="K280" s="14">
        <f t="shared" si="27"/>
        <v>3835</v>
      </c>
      <c r="L280" s="23">
        <v>6</v>
      </c>
      <c r="M280" s="14">
        <v>1896</v>
      </c>
      <c r="N280" s="14">
        <v>1939</v>
      </c>
      <c r="O280" s="23" t="s">
        <v>97</v>
      </c>
      <c r="P280" s="23" t="s">
        <v>98</v>
      </c>
      <c r="Q280" s="14" t="s">
        <v>79</v>
      </c>
      <c r="R280" s="23">
        <v>1.6E-2</v>
      </c>
      <c r="S280" s="23" t="s">
        <v>2333</v>
      </c>
      <c r="T280" s="23">
        <v>7.3400000000000007E-2</v>
      </c>
      <c r="U280" s="23">
        <v>1.9155</v>
      </c>
      <c r="V280" s="23">
        <v>0.75129999999999997</v>
      </c>
      <c r="W280" s="23">
        <v>3.85E-2</v>
      </c>
      <c r="X280" s="23" t="s">
        <v>2334</v>
      </c>
      <c r="Y280" s="23">
        <v>0.23569999999999999</v>
      </c>
      <c r="Z280" s="14" t="s">
        <v>62</v>
      </c>
      <c r="AA280" s="14" t="s">
        <v>62</v>
      </c>
      <c r="AB280" s="14" t="s">
        <v>62</v>
      </c>
      <c r="AC280" s="23" t="s">
        <v>140</v>
      </c>
      <c r="AD280" s="23" t="s">
        <v>204</v>
      </c>
    </row>
    <row r="281" spans="1:30" ht="14.25" hidden="1">
      <c r="A281" s="14" t="s">
        <v>52</v>
      </c>
      <c r="B281" s="14" t="s">
        <v>64</v>
      </c>
      <c r="C281" s="14" t="s">
        <v>74</v>
      </c>
      <c r="D281" s="14" t="s">
        <v>75</v>
      </c>
      <c r="E281" s="14" t="s">
        <v>2138</v>
      </c>
      <c r="F281" s="14"/>
      <c r="G281" s="14" t="s">
        <v>79</v>
      </c>
      <c r="H281" s="14" t="s">
        <v>2139</v>
      </c>
      <c r="I281" s="14" t="s">
        <v>133</v>
      </c>
      <c r="J281" s="14" t="s">
        <v>2140</v>
      </c>
      <c r="K281" s="14" t="s">
        <v>79</v>
      </c>
      <c r="L281" s="14">
        <v>52</v>
      </c>
      <c r="M281" s="14" t="s">
        <v>79</v>
      </c>
      <c r="N281" s="14" t="s">
        <v>79</v>
      </c>
      <c r="O281" s="14" t="s">
        <v>79</v>
      </c>
      <c r="P281" s="14" t="s">
        <v>98</v>
      </c>
      <c r="Q281" s="14" t="s">
        <v>79</v>
      </c>
      <c r="R281" s="45" t="s">
        <v>2151</v>
      </c>
      <c r="S281" s="45" t="s">
        <v>2152</v>
      </c>
      <c r="T281" s="45" t="s">
        <v>2153</v>
      </c>
      <c r="U281" s="45" t="s">
        <v>62</v>
      </c>
      <c r="V281" s="45" t="s">
        <v>2154</v>
      </c>
      <c r="W281" s="45" t="s">
        <v>2155</v>
      </c>
      <c r="X281" s="45" t="s">
        <v>2156</v>
      </c>
      <c r="Y281" s="45" t="s">
        <v>2157</v>
      </c>
      <c r="Z281" s="45" t="s">
        <v>2158</v>
      </c>
      <c r="AA281" s="45" t="s">
        <v>2159</v>
      </c>
      <c r="AB281" s="45" t="s">
        <v>2160</v>
      </c>
      <c r="AC281" s="14" t="s">
        <v>140</v>
      </c>
      <c r="AD281" s="14" t="s">
        <v>145</v>
      </c>
    </row>
    <row r="282" spans="1:30" ht="14.25" hidden="1">
      <c r="A282" s="23" t="s">
        <v>52</v>
      </c>
      <c r="B282" s="23" t="s">
        <v>84</v>
      </c>
      <c r="C282" s="23" t="s">
        <v>74</v>
      </c>
      <c r="D282" s="23" t="s">
        <v>75</v>
      </c>
      <c r="E282" s="14" t="s">
        <v>2284</v>
      </c>
      <c r="F282" s="23"/>
      <c r="G282" s="23" t="s">
        <v>113</v>
      </c>
      <c r="H282" s="14" t="s">
        <v>2285</v>
      </c>
      <c r="I282" s="23" t="s">
        <v>133</v>
      </c>
      <c r="J282" s="14" t="s">
        <v>1321</v>
      </c>
      <c r="K282" s="14">
        <f>SUM(M282:N282)</f>
        <v>140254</v>
      </c>
      <c r="L282" s="23">
        <v>53</v>
      </c>
      <c r="M282" s="14">
        <v>79148</v>
      </c>
      <c r="N282" s="14">
        <v>61106</v>
      </c>
      <c r="O282" s="23" t="s">
        <v>97</v>
      </c>
      <c r="P282" s="23" t="s">
        <v>98</v>
      </c>
      <c r="Q282" s="14" t="s">
        <v>79</v>
      </c>
      <c r="R282" s="23">
        <v>1.298</v>
      </c>
      <c r="S282" s="23" t="s">
        <v>2340</v>
      </c>
      <c r="T282" s="23">
        <v>0.1772</v>
      </c>
      <c r="U282" s="23">
        <v>103.6109</v>
      </c>
      <c r="V282" s="23" t="s">
        <v>2341</v>
      </c>
      <c r="W282" s="23">
        <v>1.379</v>
      </c>
      <c r="X282" s="23" t="s">
        <v>2342</v>
      </c>
      <c r="Y282" s="23">
        <v>0.13569999999999999</v>
      </c>
      <c r="Z282" s="14" t="s">
        <v>62</v>
      </c>
      <c r="AA282" s="14" t="s">
        <v>62</v>
      </c>
      <c r="AB282" s="14" t="s">
        <v>62</v>
      </c>
      <c r="AC282" s="23" t="s">
        <v>140</v>
      </c>
      <c r="AD282" s="23" t="s">
        <v>204</v>
      </c>
    </row>
    <row r="283" spans="1:30" ht="14.25" hidden="1">
      <c r="A283" s="38" t="s">
        <v>70</v>
      </c>
      <c r="B283" s="74" t="s">
        <v>120</v>
      </c>
      <c r="C283" s="74" t="s">
        <v>74</v>
      </c>
      <c r="D283" s="74" t="s">
        <v>1147</v>
      </c>
      <c r="E283" s="74" t="s">
        <v>1093</v>
      </c>
      <c r="F283" s="74"/>
      <c r="G283" s="74" t="s">
        <v>1149</v>
      </c>
      <c r="H283" s="74" t="s">
        <v>62</v>
      </c>
      <c r="I283" s="74" t="s">
        <v>133</v>
      </c>
      <c r="J283" s="74" t="s">
        <v>1096</v>
      </c>
      <c r="K283" s="75">
        <v>6658</v>
      </c>
      <c r="L283" s="74">
        <v>5</v>
      </c>
      <c r="M283" s="75">
        <v>3343</v>
      </c>
      <c r="N283" s="75">
        <f t="shared" ref="N283:N286" si="28">K283-M283</f>
        <v>3315</v>
      </c>
      <c r="O283" s="74" t="s">
        <v>79</v>
      </c>
      <c r="P283" s="74" t="s">
        <v>98</v>
      </c>
      <c r="Q283" s="74">
        <v>3.41</v>
      </c>
      <c r="R283" s="74">
        <v>1.01</v>
      </c>
      <c r="S283" s="74" t="s">
        <v>1150</v>
      </c>
      <c r="T283" s="74">
        <v>0.97099999999999997</v>
      </c>
      <c r="U283" s="74">
        <v>5.96</v>
      </c>
      <c r="V283" s="74">
        <v>0.311</v>
      </c>
      <c r="W283" s="74" t="s">
        <v>62</v>
      </c>
      <c r="X283" s="74" t="s">
        <v>62</v>
      </c>
      <c r="Y283" s="74" t="s">
        <v>62</v>
      </c>
      <c r="Z283" s="74" t="s">
        <v>62</v>
      </c>
      <c r="AA283" s="74" t="s">
        <v>62</v>
      </c>
      <c r="AB283" s="74" t="s">
        <v>62</v>
      </c>
      <c r="AC283" s="74" t="s">
        <v>140</v>
      </c>
      <c r="AD283" s="74" t="s">
        <v>204</v>
      </c>
    </row>
    <row r="284" spans="1:30" ht="14.25" hidden="1">
      <c r="A284" s="38" t="s">
        <v>70</v>
      </c>
      <c r="B284" s="74" t="s">
        <v>120</v>
      </c>
      <c r="C284" s="74" t="s">
        <v>74</v>
      </c>
      <c r="D284" s="74" t="s">
        <v>1205</v>
      </c>
      <c r="E284" s="74" t="s">
        <v>1093</v>
      </c>
      <c r="F284" s="74"/>
      <c r="G284" s="74" t="s">
        <v>113</v>
      </c>
      <c r="H284" s="74" t="s">
        <v>1159</v>
      </c>
      <c r="I284" s="74" t="s">
        <v>133</v>
      </c>
      <c r="J284" s="74" t="s">
        <v>1162</v>
      </c>
      <c r="K284" s="75">
        <v>140254</v>
      </c>
      <c r="L284" s="74">
        <v>41</v>
      </c>
      <c r="M284" s="75">
        <v>79148</v>
      </c>
      <c r="N284" s="75">
        <f t="shared" si="28"/>
        <v>61106</v>
      </c>
      <c r="O284" s="74" t="s">
        <v>79</v>
      </c>
      <c r="P284" s="74" t="s">
        <v>98</v>
      </c>
      <c r="Q284" s="74">
        <v>15.6</v>
      </c>
      <c r="R284" s="74">
        <v>1.25</v>
      </c>
      <c r="S284" s="74" t="s">
        <v>1207</v>
      </c>
      <c r="T284" s="74">
        <v>0.28299999999999997</v>
      </c>
      <c r="U284" s="74">
        <v>92.16</v>
      </c>
      <c r="V284" s="74" t="s">
        <v>1165</v>
      </c>
      <c r="W284" s="74" t="s">
        <v>62</v>
      </c>
      <c r="X284" s="74" t="s">
        <v>62</v>
      </c>
      <c r="Y284" s="74" t="s">
        <v>62</v>
      </c>
      <c r="Z284" s="74" t="s">
        <v>62</v>
      </c>
      <c r="AA284" s="74" t="s">
        <v>62</v>
      </c>
      <c r="AB284" s="74" t="s">
        <v>62</v>
      </c>
      <c r="AC284" s="74" t="s">
        <v>140</v>
      </c>
      <c r="AD284" s="74" t="s">
        <v>204</v>
      </c>
    </row>
    <row r="285" spans="1:30" ht="14.25" hidden="1">
      <c r="A285" s="38" t="s">
        <v>70</v>
      </c>
      <c r="B285" s="74" t="s">
        <v>120</v>
      </c>
      <c r="C285" s="74" t="s">
        <v>74</v>
      </c>
      <c r="D285" s="74" t="s">
        <v>1147</v>
      </c>
      <c r="E285" s="74" t="s">
        <v>1221</v>
      </c>
      <c r="F285" s="74"/>
      <c r="G285" s="74" t="s">
        <v>1149</v>
      </c>
      <c r="H285" s="74" t="s">
        <v>1223</v>
      </c>
      <c r="I285" s="74" t="s">
        <v>133</v>
      </c>
      <c r="J285" s="74" t="s">
        <v>1225</v>
      </c>
      <c r="K285" s="79">
        <v>109347</v>
      </c>
      <c r="L285" s="74">
        <v>24</v>
      </c>
      <c r="M285" s="75">
        <v>5408</v>
      </c>
      <c r="N285" s="75">
        <f t="shared" si="28"/>
        <v>103939</v>
      </c>
      <c r="O285" s="74" t="s">
        <v>79</v>
      </c>
      <c r="P285" s="74" t="s">
        <v>98</v>
      </c>
      <c r="Q285" s="74">
        <v>3.85</v>
      </c>
      <c r="R285" s="74">
        <v>0.98</v>
      </c>
      <c r="S285" s="74" t="s">
        <v>1259</v>
      </c>
      <c r="T285" s="74">
        <v>0.79700000000000004</v>
      </c>
      <c r="U285" s="74">
        <v>2.7</v>
      </c>
      <c r="V285" s="74">
        <v>0.60899999999999999</v>
      </c>
      <c r="W285" s="74" t="s">
        <v>62</v>
      </c>
      <c r="X285" s="74" t="s">
        <v>62</v>
      </c>
      <c r="Y285" s="74" t="s">
        <v>62</v>
      </c>
      <c r="Z285" s="74" t="s">
        <v>62</v>
      </c>
      <c r="AA285" s="74" t="s">
        <v>62</v>
      </c>
      <c r="AB285" s="74" t="s">
        <v>62</v>
      </c>
      <c r="AC285" s="74" t="s">
        <v>140</v>
      </c>
      <c r="AD285" s="74" t="s">
        <v>204</v>
      </c>
    </row>
    <row r="286" spans="1:30" ht="14.25" hidden="1">
      <c r="A286" s="38" t="s">
        <v>70</v>
      </c>
      <c r="B286" s="74" t="s">
        <v>120</v>
      </c>
      <c r="C286" s="74" t="s">
        <v>74</v>
      </c>
      <c r="D286" s="74" t="s">
        <v>1205</v>
      </c>
      <c r="E286" s="74" t="s">
        <v>1221</v>
      </c>
      <c r="F286" s="74"/>
      <c r="G286" s="74" t="s">
        <v>113</v>
      </c>
      <c r="H286" s="74" t="s">
        <v>1261</v>
      </c>
      <c r="I286" s="74" t="s">
        <v>133</v>
      </c>
      <c r="J286" s="80" t="s">
        <v>1264</v>
      </c>
      <c r="K286" s="75">
        <v>95213</v>
      </c>
      <c r="L286" s="74">
        <v>10</v>
      </c>
      <c r="M286" s="75">
        <v>6311</v>
      </c>
      <c r="N286" s="75">
        <f t="shared" si="28"/>
        <v>88902</v>
      </c>
      <c r="O286" s="74" t="s">
        <v>79</v>
      </c>
      <c r="P286" s="74" t="s">
        <v>98</v>
      </c>
      <c r="Q286" s="74">
        <v>16.649999999999999</v>
      </c>
      <c r="R286" s="74">
        <v>2.3199999999999998</v>
      </c>
      <c r="S286" s="74" t="s">
        <v>1303</v>
      </c>
      <c r="T286" s="74">
        <v>5.8000000000000003E-2</v>
      </c>
      <c r="U286" s="74">
        <v>36.619999999999997</v>
      </c>
      <c r="V286" s="74">
        <v>1E-3</v>
      </c>
      <c r="W286" s="74" t="s">
        <v>62</v>
      </c>
      <c r="X286" s="74" t="s">
        <v>62</v>
      </c>
      <c r="Y286" s="74" t="s">
        <v>62</v>
      </c>
      <c r="Z286" s="74" t="s">
        <v>62</v>
      </c>
      <c r="AA286" s="74" t="s">
        <v>62</v>
      </c>
      <c r="AB286" s="74" t="s">
        <v>62</v>
      </c>
      <c r="AC286" s="74" t="s">
        <v>140</v>
      </c>
      <c r="AD286" s="74" t="s">
        <v>204</v>
      </c>
    </row>
    <row r="287" spans="1:30" ht="14.25" hidden="1">
      <c r="A287" s="10" t="s">
        <v>52</v>
      </c>
      <c r="B287" s="10" t="s">
        <v>86</v>
      </c>
      <c r="C287" s="10" t="s">
        <v>74</v>
      </c>
      <c r="D287" s="33" t="s">
        <v>622</v>
      </c>
      <c r="E287" s="33" t="s">
        <v>2343</v>
      </c>
      <c r="F287" s="33"/>
      <c r="G287" s="33" t="s">
        <v>215</v>
      </c>
      <c r="H287" s="33" t="s">
        <v>2344</v>
      </c>
      <c r="I287" s="10" t="s">
        <v>2568</v>
      </c>
      <c r="J287" s="10" t="s">
        <v>2569</v>
      </c>
      <c r="K287" s="34">
        <f t="shared" ref="K287:K290" si="29">SUM(M287:N287)</f>
        <v>337199</v>
      </c>
      <c r="L287" s="33">
        <v>17</v>
      </c>
      <c r="M287" s="35">
        <v>4837</v>
      </c>
      <c r="N287" s="35">
        <v>332362</v>
      </c>
      <c r="O287" s="10" t="s">
        <v>97</v>
      </c>
      <c r="P287" s="10" t="s">
        <v>98</v>
      </c>
      <c r="Q287" s="10" t="s">
        <v>79</v>
      </c>
      <c r="R287" s="10">
        <v>1</v>
      </c>
      <c r="S287" s="10" t="s">
        <v>2347</v>
      </c>
      <c r="T287" s="10">
        <v>0.82399999999999995</v>
      </c>
      <c r="U287" s="10">
        <v>30.1112</v>
      </c>
      <c r="V287" s="10">
        <v>1.7000000000000001E-2</v>
      </c>
      <c r="W287" s="10">
        <v>1.01</v>
      </c>
      <c r="X287" s="10" t="s">
        <v>2348</v>
      </c>
      <c r="Y287" s="10">
        <v>0.38500000000000001</v>
      </c>
      <c r="Z287" s="10">
        <v>1.08</v>
      </c>
      <c r="AA287" s="10" t="s">
        <v>2349</v>
      </c>
      <c r="AB287" s="10">
        <v>0.14199999999999999</v>
      </c>
      <c r="AC287" s="10" t="s">
        <v>109</v>
      </c>
      <c r="AD287" s="10" t="s">
        <v>1689</v>
      </c>
    </row>
    <row r="288" spans="1:30" ht="14.25" hidden="1">
      <c r="A288" s="10" t="s">
        <v>52</v>
      </c>
      <c r="B288" s="10" t="s">
        <v>86</v>
      </c>
      <c r="C288" s="10" t="s">
        <v>74</v>
      </c>
      <c r="D288" s="33" t="s">
        <v>622</v>
      </c>
      <c r="E288" s="33" t="s">
        <v>2350</v>
      </c>
      <c r="F288" s="33"/>
      <c r="G288" s="33" t="s">
        <v>215</v>
      </c>
      <c r="H288" s="33" t="s">
        <v>2351</v>
      </c>
      <c r="I288" s="10" t="s">
        <v>2573</v>
      </c>
      <c r="J288" s="10" t="s">
        <v>2575</v>
      </c>
      <c r="K288" s="34">
        <f t="shared" si="29"/>
        <v>337199</v>
      </c>
      <c r="L288" s="33">
        <v>17</v>
      </c>
      <c r="M288" s="35">
        <v>3927</v>
      </c>
      <c r="N288" s="35">
        <v>333272</v>
      </c>
      <c r="O288" s="10" t="s">
        <v>97</v>
      </c>
      <c r="P288" s="10" t="s">
        <v>98</v>
      </c>
      <c r="Q288" s="10" t="s">
        <v>79</v>
      </c>
      <c r="R288" s="10">
        <v>0.99</v>
      </c>
      <c r="S288" s="10" t="s">
        <v>2354</v>
      </c>
      <c r="T288" s="10">
        <v>0.246</v>
      </c>
      <c r="U288" s="10">
        <v>20.708100000000002</v>
      </c>
      <c r="V288" s="10">
        <v>0.19</v>
      </c>
      <c r="W288" s="10">
        <v>0.98</v>
      </c>
      <c r="X288" s="10" t="s">
        <v>2355</v>
      </c>
      <c r="Y288" s="10">
        <v>0.107</v>
      </c>
      <c r="Z288" s="10">
        <v>1.05</v>
      </c>
      <c r="AA288" s="10" t="s">
        <v>2356</v>
      </c>
      <c r="AB288" s="10">
        <v>0.253</v>
      </c>
      <c r="AC288" s="10" t="s">
        <v>109</v>
      </c>
      <c r="AD288" s="10" t="s">
        <v>1689</v>
      </c>
    </row>
    <row r="289" spans="1:30" ht="14.25" hidden="1">
      <c r="A289" s="10" t="s">
        <v>52</v>
      </c>
      <c r="B289" s="10" t="s">
        <v>86</v>
      </c>
      <c r="C289" s="10" t="s">
        <v>74</v>
      </c>
      <c r="D289" s="33" t="s">
        <v>622</v>
      </c>
      <c r="E289" s="33" t="s">
        <v>2357</v>
      </c>
      <c r="F289" s="33"/>
      <c r="G289" s="33" t="s">
        <v>215</v>
      </c>
      <c r="H289" s="33" t="s">
        <v>2358</v>
      </c>
      <c r="I289" s="10" t="s">
        <v>2580</v>
      </c>
      <c r="J289" s="10" t="s">
        <v>2581</v>
      </c>
      <c r="K289" s="34">
        <f t="shared" si="29"/>
        <v>337199</v>
      </c>
      <c r="L289" s="33">
        <v>17</v>
      </c>
      <c r="M289" s="35">
        <v>8755</v>
      </c>
      <c r="N289" s="35">
        <v>328444</v>
      </c>
      <c r="O289" s="10" t="s">
        <v>97</v>
      </c>
      <c r="P289" s="10" t="s">
        <v>98</v>
      </c>
      <c r="Q289" s="10" t="s">
        <v>79</v>
      </c>
      <c r="R289" s="10">
        <v>1</v>
      </c>
      <c r="S289" s="10" t="s">
        <v>2361</v>
      </c>
      <c r="T289" s="10">
        <v>0.95199999999999996</v>
      </c>
      <c r="U289" s="10">
        <v>33.383299999999998</v>
      </c>
      <c r="V289" s="10">
        <v>7.0000000000000001E-3</v>
      </c>
      <c r="W289" s="10">
        <v>0.99</v>
      </c>
      <c r="X289" s="10" t="s">
        <v>2362</v>
      </c>
      <c r="Y289" s="10">
        <v>0.60299999999999998</v>
      </c>
      <c r="Z289" s="10">
        <v>1.18</v>
      </c>
      <c r="AA289" s="10" t="s">
        <v>2363</v>
      </c>
      <c r="AB289" s="10">
        <v>1.9E-2</v>
      </c>
      <c r="AC289" s="10" t="s">
        <v>140</v>
      </c>
      <c r="AD289" s="10" t="s">
        <v>1689</v>
      </c>
    </row>
    <row r="290" spans="1:30" ht="14.25" hidden="1">
      <c r="A290" s="10" t="s">
        <v>52</v>
      </c>
      <c r="B290" s="10" t="s">
        <v>86</v>
      </c>
      <c r="C290" s="10" t="s">
        <v>74</v>
      </c>
      <c r="D290" s="33" t="s">
        <v>622</v>
      </c>
      <c r="E290" s="33" t="s">
        <v>2364</v>
      </c>
      <c r="F290" s="33"/>
      <c r="G290" s="33" t="s">
        <v>215</v>
      </c>
      <c r="H290" s="33" t="s">
        <v>2365</v>
      </c>
      <c r="I290" s="10" t="s">
        <v>2586</v>
      </c>
      <c r="J290" s="10" t="s">
        <v>2587</v>
      </c>
      <c r="K290" s="34">
        <f t="shared" si="29"/>
        <v>361194</v>
      </c>
      <c r="L290" s="33">
        <v>17</v>
      </c>
      <c r="M290" s="35">
        <v>2353</v>
      </c>
      <c r="N290" s="35">
        <v>358841</v>
      </c>
      <c r="O290" s="10" t="s">
        <v>97</v>
      </c>
      <c r="P290" s="10" t="s">
        <v>98</v>
      </c>
      <c r="Q290" s="10" t="s">
        <v>79</v>
      </c>
      <c r="R290" s="10">
        <v>1</v>
      </c>
      <c r="S290" s="10" t="s">
        <v>2368</v>
      </c>
      <c r="T290" s="10">
        <v>0.53900000000000003</v>
      </c>
      <c r="U290" s="10">
        <v>28.101800000000001</v>
      </c>
      <c r="V290" s="10">
        <v>3.1E-2</v>
      </c>
      <c r="W290" s="10">
        <v>0.99</v>
      </c>
      <c r="X290" s="10" t="s">
        <v>2354</v>
      </c>
      <c r="Y290" s="10">
        <v>0.34</v>
      </c>
      <c r="Z290" s="10">
        <v>0.97</v>
      </c>
      <c r="AA290" s="10" t="s">
        <v>2369</v>
      </c>
      <c r="AB290" s="10">
        <v>0.34</v>
      </c>
      <c r="AC290" s="10" t="s">
        <v>109</v>
      </c>
      <c r="AD290" s="10" t="s">
        <v>1689</v>
      </c>
    </row>
    <row r="291" spans="1:30" ht="14.25" hidden="1">
      <c r="A291" s="10" t="s">
        <v>52</v>
      </c>
      <c r="B291" s="10" t="s">
        <v>86</v>
      </c>
      <c r="C291" s="10" t="s">
        <v>74</v>
      </c>
      <c r="D291" s="33" t="s">
        <v>622</v>
      </c>
      <c r="E291" s="33" t="s">
        <v>2370</v>
      </c>
      <c r="F291" s="33"/>
      <c r="G291" s="33" t="s">
        <v>215</v>
      </c>
      <c r="H291" s="33" t="s">
        <v>2371</v>
      </c>
      <c r="I291" s="10" t="s">
        <v>2588</v>
      </c>
      <c r="J291" s="10" t="s">
        <v>2589</v>
      </c>
      <c r="K291" s="10" t="s">
        <v>79</v>
      </c>
      <c r="L291" s="33">
        <v>16</v>
      </c>
      <c r="M291" s="33" t="s">
        <v>79</v>
      </c>
      <c r="N291" s="33" t="s">
        <v>79</v>
      </c>
      <c r="O291" s="10" t="s">
        <v>97</v>
      </c>
      <c r="P291" s="10" t="s">
        <v>98</v>
      </c>
      <c r="Q291" s="10" t="s">
        <v>79</v>
      </c>
      <c r="R291" s="10">
        <v>0.99</v>
      </c>
      <c r="S291" s="10" t="s">
        <v>2374</v>
      </c>
      <c r="T291" s="10">
        <v>0.05</v>
      </c>
      <c r="U291" s="10">
        <v>30.918500000000002</v>
      </c>
      <c r="V291" s="10">
        <v>8.9999999999999993E-3</v>
      </c>
      <c r="W291" s="10">
        <v>0.98</v>
      </c>
      <c r="X291" s="10" t="s">
        <v>2374</v>
      </c>
      <c r="Y291" s="10">
        <v>1.7000000000000001E-2</v>
      </c>
      <c r="Z291" s="10">
        <v>0.99</v>
      </c>
      <c r="AA291" s="10" t="s">
        <v>2375</v>
      </c>
      <c r="AB291" s="10">
        <v>0.85199999999999998</v>
      </c>
      <c r="AC291" s="10" t="s">
        <v>109</v>
      </c>
      <c r="AD291" s="10" t="s">
        <v>1689</v>
      </c>
    </row>
    <row r="292" spans="1:30" ht="14.25" hidden="1">
      <c r="A292" s="10" t="s">
        <v>52</v>
      </c>
      <c r="B292" s="10" t="s">
        <v>86</v>
      </c>
      <c r="C292" s="10" t="s">
        <v>74</v>
      </c>
      <c r="D292" s="33" t="s">
        <v>622</v>
      </c>
      <c r="E292" s="33" t="s">
        <v>2376</v>
      </c>
      <c r="F292" s="33"/>
      <c r="G292" s="33" t="s">
        <v>215</v>
      </c>
      <c r="H292" s="33" t="s">
        <v>2377</v>
      </c>
      <c r="I292" s="10" t="s">
        <v>2593</v>
      </c>
      <c r="J292" s="10" t="s">
        <v>2594</v>
      </c>
      <c r="K292" s="10" t="s">
        <v>79</v>
      </c>
      <c r="L292" s="33">
        <v>18</v>
      </c>
      <c r="M292" s="33" t="s">
        <v>79</v>
      </c>
      <c r="N292" s="33" t="s">
        <v>79</v>
      </c>
      <c r="O292" s="10" t="s">
        <v>97</v>
      </c>
      <c r="P292" s="10" t="s">
        <v>98</v>
      </c>
      <c r="Q292" s="10" t="s">
        <v>79</v>
      </c>
      <c r="R292" s="10">
        <v>0.99</v>
      </c>
      <c r="S292" s="10" t="s">
        <v>2380</v>
      </c>
      <c r="T292" s="10">
        <v>0.56999999999999995</v>
      </c>
      <c r="U292" s="10">
        <v>35.0578</v>
      </c>
      <c r="V292" s="10">
        <v>6.0000000000000001E-3</v>
      </c>
      <c r="W292" s="10">
        <v>0.99</v>
      </c>
      <c r="X292" s="10" t="s">
        <v>2381</v>
      </c>
      <c r="Y292" s="10">
        <v>0.32400000000000001</v>
      </c>
      <c r="Z292" s="10">
        <v>1.1200000000000001</v>
      </c>
      <c r="AA292" s="10" t="s">
        <v>2382</v>
      </c>
      <c r="AB292" s="10">
        <v>6.4000000000000001E-2</v>
      </c>
      <c r="AC292" s="10" t="s">
        <v>109</v>
      </c>
      <c r="AD292" s="10" t="s">
        <v>1689</v>
      </c>
    </row>
    <row r="293" spans="1:30" ht="14.25" hidden="1">
      <c r="A293" s="10" t="s">
        <v>52</v>
      </c>
      <c r="B293" s="10" t="s">
        <v>86</v>
      </c>
      <c r="C293" s="10" t="s">
        <v>74</v>
      </c>
      <c r="D293" s="33" t="s">
        <v>246</v>
      </c>
      <c r="E293" s="33" t="s">
        <v>2343</v>
      </c>
      <c r="F293" s="33"/>
      <c r="G293" s="33" t="s">
        <v>248</v>
      </c>
      <c r="H293" s="33" t="s">
        <v>2344</v>
      </c>
      <c r="I293" s="10" t="s">
        <v>2598</v>
      </c>
      <c r="J293" s="10" t="s">
        <v>2599</v>
      </c>
      <c r="K293" s="34">
        <f t="shared" ref="K293:K296" si="30">SUM(M293:N293)</f>
        <v>337199</v>
      </c>
      <c r="L293" s="33">
        <v>17</v>
      </c>
      <c r="M293" s="35">
        <v>4837</v>
      </c>
      <c r="N293" s="35">
        <v>332362</v>
      </c>
      <c r="O293" s="10" t="s">
        <v>97</v>
      </c>
      <c r="P293" s="10" t="s">
        <v>98</v>
      </c>
      <c r="Q293" s="10" t="s">
        <v>79</v>
      </c>
      <c r="R293" s="10">
        <v>1</v>
      </c>
      <c r="S293" s="10" t="s">
        <v>2347</v>
      </c>
      <c r="T293" s="10">
        <v>0.97699999999999998</v>
      </c>
      <c r="U293" s="10">
        <v>19.976700000000001</v>
      </c>
      <c r="V293" s="10">
        <v>0.221</v>
      </c>
      <c r="W293" s="10">
        <v>1.01</v>
      </c>
      <c r="X293" s="10" t="s">
        <v>2385</v>
      </c>
      <c r="Y293" s="10">
        <v>0.43</v>
      </c>
      <c r="Z293" s="10">
        <v>1.0900000000000001</v>
      </c>
      <c r="AA293" s="10" t="s">
        <v>2386</v>
      </c>
      <c r="AB293" s="10">
        <v>0.33600000000000002</v>
      </c>
      <c r="AC293" s="10" t="s">
        <v>109</v>
      </c>
      <c r="AD293" s="10" t="s">
        <v>1689</v>
      </c>
    </row>
    <row r="294" spans="1:30" ht="14.25" hidden="1">
      <c r="A294" s="10" t="s">
        <v>52</v>
      </c>
      <c r="B294" s="10" t="s">
        <v>86</v>
      </c>
      <c r="C294" s="10" t="s">
        <v>74</v>
      </c>
      <c r="D294" s="33" t="s">
        <v>246</v>
      </c>
      <c r="E294" s="33" t="s">
        <v>2350</v>
      </c>
      <c r="F294" s="33"/>
      <c r="G294" s="33" t="s">
        <v>248</v>
      </c>
      <c r="H294" s="33" t="s">
        <v>2351</v>
      </c>
      <c r="I294" s="10" t="s">
        <v>2600</v>
      </c>
      <c r="J294" s="10" t="s">
        <v>2601</v>
      </c>
      <c r="K294" s="34">
        <f t="shared" si="30"/>
        <v>337199</v>
      </c>
      <c r="L294" s="33">
        <v>17</v>
      </c>
      <c r="M294" s="35">
        <v>3927</v>
      </c>
      <c r="N294" s="35">
        <v>333272</v>
      </c>
      <c r="O294" s="10" t="s">
        <v>97</v>
      </c>
      <c r="P294" s="10" t="s">
        <v>98</v>
      </c>
      <c r="Q294" s="10" t="s">
        <v>79</v>
      </c>
      <c r="R294" s="10">
        <v>1</v>
      </c>
      <c r="S294" s="10" t="s">
        <v>2368</v>
      </c>
      <c r="T294" s="10">
        <v>0.67800000000000005</v>
      </c>
      <c r="U294" s="10">
        <v>34.654800000000002</v>
      </c>
      <c r="V294" s="10">
        <v>4.0000000000000001E-3</v>
      </c>
      <c r="W294" s="10">
        <v>1</v>
      </c>
      <c r="X294" s="10" t="s">
        <v>2347</v>
      </c>
      <c r="Y294" s="10">
        <v>0.75900000000000001</v>
      </c>
      <c r="Z294" s="10">
        <v>1.1200000000000001</v>
      </c>
      <c r="AA294" s="10" t="s">
        <v>2389</v>
      </c>
      <c r="AB294" s="10">
        <v>0.29899999999999999</v>
      </c>
      <c r="AC294" s="10" t="s">
        <v>109</v>
      </c>
      <c r="AD294" s="10" t="s">
        <v>1689</v>
      </c>
    </row>
    <row r="295" spans="1:30" ht="14.25" hidden="1">
      <c r="A295" s="10" t="s">
        <v>52</v>
      </c>
      <c r="B295" s="10" t="s">
        <v>86</v>
      </c>
      <c r="C295" s="10" t="s">
        <v>74</v>
      </c>
      <c r="D295" s="33" t="s">
        <v>246</v>
      </c>
      <c r="E295" s="33" t="s">
        <v>2357</v>
      </c>
      <c r="F295" s="33"/>
      <c r="G295" s="33" t="s">
        <v>248</v>
      </c>
      <c r="H295" s="33" t="s">
        <v>2358</v>
      </c>
      <c r="I295" s="10" t="s">
        <v>2602</v>
      </c>
      <c r="J295" s="10" t="s">
        <v>2603</v>
      </c>
      <c r="K295" s="34">
        <f t="shared" si="30"/>
        <v>337199</v>
      </c>
      <c r="L295" s="33">
        <v>17</v>
      </c>
      <c r="M295" s="35">
        <v>8755</v>
      </c>
      <c r="N295" s="35">
        <v>328444</v>
      </c>
      <c r="O295" s="10" t="s">
        <v>97</v>
      </c>
      <c r="P295" s="10" t="s">
        <v>98</v>
      </c>
      <c r="Q295" s="10" t="s">
        <v>79</v>
      </c>
      <c r="R295" s="10">
        <v>1</v>
      </c>
      <c r="S295" s="10" t="s">
        <v>2380</v>
      </c>
      <c r="T295" s="10">
        <v>0.80600000000000005</v>
      </c>
      <c r="U295" s="10">
        <v>30.19464</v>
      </c>
      <c r="V295" s="10">
        <v>1.7000000000000001E-2</v>
      </c>
      <c r="W295" s="10">
        <v>0.99</v>
      </c>
      <c r="X295" s="10" t="s">
        <v>2362</v>
      </c>
      <c r="Y295" s="10">
        <v>0.45800000000000002</v>
      </c>
      <c r="Z295" s="10">
        <v>1.2</v>
      </c>
      <c r="AA295" s="10" t="s">
        <v>2392</v>
      </c>
      <c r="AB295" s="10">
        <v>0.217</v>
      </c>
      <c r="AC295" s="10" t="s">
        <v>140</v>
      </c>
      <c r="AD295" s="10" t="s">
        <v>1689</v>
      </c>
    </row>
    <row r="296" spans="1:30" ht="14.25" hidden="1">
      <c r="A296" s="10" t="s">
        <v>52</v>
      </c>
      <c r="B296" s="10" t="s">
        <v>86</v>
      </c>
      <c r="C296" s="10" t="s">
        <v>74</v>
      </c>
      <c r="D296" s="33" t="s">
        <v>246</v>
      </c>
      <c r="E296" s="33" t="s">
        <v>2364</v>
      </c>
      <c r="F296" s="33"/>
      <c r="G296" s="33" t="s">
        <v>248</v>
      </c>
      <c r="H296" s="33" t="s">
        <v>2365</v>
      </c>
      <c r="I296" s="10" t="s">
        <v>2606</v>
      </c>
      <c r="J296" s="10" t="s">
        <v>2607</v>
      </c>
      <c r="K296" s="34">
        <f t="shared" si="30"/>
        <v>361194</v>
      </c>
      <c r="L296" s="33">
        <v>17</v>
      </c>
      <c r="M296" s="35">
        <v>2353</v>
      </c>
      <c r="N296" s="35">
        <v>358841</v>
      </c>
      <c r="O296" s="10" t="s">
        <v>97</v>
      </c>
      <c r="P296" s="10" t="s">
        <v>98</v>
      </c>
      <c r="Q296" s="10" t="s">
        <v>79</v>
      </c>
      <c r="R296" s="10">
        <v>1</v>
      </c>
      <c r="S296" s="10" t="s">
        <v>2395</v>
      </c>
      <c r="T296" s="10">
        <v>0.38300000000000001</v>
      </c>
      <c r="U296" s="10">
        <v>12.43258</v>
      </c>
      <c r="V296" s="10">
        <v>0.71399999999999997</v>
      </c>
      <c r="W296" s="10">
        <v>1</v>
      </c>
      <c r="X296" s="10" t="s">
        <v>2354</v>
      </c>
      <c r="Y296" s="10">
        <v>0.80100000000000005</v>
      </c>
      <c r="Z296" s="10">
        <v>0.94</v>
      </c>
      <c r="AA296" s="10" t="s">
        <v>2396</v>
      </c>
      <c r="AB296" s="10">
        <v>0.29599999999999999</v>
      </c>
      <c r="AC296" s="10" t="s">
        <v>109</v>
      </c>
      <c r="AD296" s="10" t="s">
        <v>1689</v>
      </c>
    </row>
    <row r="297" spans="1:30" ht="14.25" hidden="1">
      <c r="A297" s="10" t="s">
        <v>52</v>
      </c>
      <c r="B297" s="10" t="s">
        <v>86</v>
      </c>
      <c r="C297" s="10" t="s">
        <v>74</v>
      </c>
      <c r="D297" s="33" t="s">
        <v>246</v>
      </c>
      <c r="E297" s="33" t="s">
        <v>2370</v>
      </c>
      <c r="F297" s="33"/>
      <c r="G297" s="33" t="s">
        <v>248</v>
      </c>
      <c r="H297" s="33" t="s">
        <v>2371</v>
      </c>
      <c r="I297" s="10" t="s">
        <v>2610</v>
      </c>
      <c r="J297" s="10" t="s">
        <v>2611</v>
      </c>
      <c r="K297" s="10" t="s">
        <v>79</v>
      </c>
      <c r="L297" s="33">
        <v>17</v>
      </c>
      <c r="M297" s="33" t="s">
        <v>79</v>
      </c>
      <c r="N297" s="33" t="s">
        <v>79</v>
      </c>
      <c r="O297" s="10" t="s">
        <v>97</v>
      </c>
      <c r="P297" s="10" t="s">
        <v>98</v>
      </c>
      <c r="Q297" s="10" t="s">
        <v>79</v>
      </c>
      <c r="R297" s="10">
        <v>1</v>
      </c>
      <c r="S297" s="10" t="s">
        <v>2395</v>
      </c>
      <c r="T297" s="10">
        <v>0.69599999999999995</v>
      </c>
      <c r="U297" s="10">
        <v>12.730130000000001</v>
      </c>
      <c r="V297" s="10">
        <v>0.69199999999999995</v>
      </c>
      <c r="W297" s="10">
        <v>1</v>
      </c>
      <c r="X297" s="10" t="s">
        <v>2395</v>
      </c>
      <c r="Y297" s="10">
        <v>0.997</v>
      </c>
      <c r="Z297" s="10">
        <v>1.03</v>
      </c>
      <c r="AA297" s="10" t="s">
        <v>2399</v>
      </c>
      <c r="AB297" s="10">
        <v>0.6</v>
      </c>
      <c r="AC297" s="10" t="s">
        <v>109</v>
      </c>
      <c r="AD297" s="10" t="s">
        <v>1689</v>
      </c>
    </row>
    <row r="298" spans="1:30" ht="14.25" hidden="1">
      <c r="A298" s="10" t="s">
        <v>52</v>
      </c>
      <c r="B298" s="10" t="s">
        <v>86</v>
      </c>
      <c r="C298" s="10" t="s">
        <v>74</v>
      </c>
      <c r="D298" s="33" t="s">
        <v>246</v>
      </c>
      <c r="E298" s="33" t="s">
        <v>2376</v>
      </c>
      <c r="F298" s="33"/>
      <c r="G298" s="33" t="s">
        <v>248</v>
      </c>
      <c r="H298" s="33" t="s">
        <v>2377</v>
      </c>
      <c r="I298" s="10" t="s">
        <v>2620</v>
      </c>
      <c r="J298" s="10" t="s">
        <v>2621</v>
      </c>
      <c r="K298" s="10" t="s">
        <v>79</v>
      </c>
      <c r="L298" s="33">
        <v>17</v>
      </c>
      <c r="M298" s="33" t="s">
        <v>79</v>
      </c>
      <c r="N298" s="33" t="s">
        <v>79</v>
      </c>
      <c r="O298" s="10" t="s">
        <v>97</v>
      </c>
      <c r="P298" s="10" t="s">
        <v>98</v>
      </c>
      <c r="Q298" s="10" t="s">
        <v>79</v>
      </c>
      <c r="R298" s="10">
        <v>1.01</v>
      </c>
      <c r="S298" s="10" t="s">
        <v>2385</v>
      </c>
      <c r="T298" s="10">
        <v>0.44900000000000001</v>
      </c>
      <c r="U298" s="10">
        <v>27.288</v>
      </c>
      <c r="V298" s="10">
        <v>3.7999999999999999E-2</v>
      </c>
      <c r="W298" s="10">
        <v>1</v>
      </c>
      <c r="X298" s="10" t="s">
        <v>2402</v>
      </c>
      <c r="Y298" s="10">
        <v>0.68899999999999995</v>
      </c>
      <c r="Z298" s="10">
        <v>1.0900000000000001</v>
      </c>
      <c r="AA298" s="10" t="s">
        <v>2403</v>
      </c>
      <c r="AB298" s="10">
        <v>0.46899999999999997</v>
      </c>
      <c r="AC298" s="10" t="s">
        <v>109</v>
      </c>
      <c r="AD298" s="10" t="s">
        <v>1689</v>
      </c>
    </row>
    <row r="299" spans="1:30" ht="14.25" hidden="1">
      <c r="A299" s="14" t="s">
        <v>52</v>
      </c>
      <c r="B299" s="14" t="s">
        <v>87</v>
      </c>
      <c r="C299" s="14" t="s">
        <v>2196</v>
      </c>
      <c r="D299" s="14" t="s">
        <v>246</v>
      </c>
      <c r="E299" s="14" t="s">
        <v>2404</v>
      </c>
      <c r="F299" s="14"/>
      <c r="G299" s="14" t="s">
        <v>248</v>
      </c>
      <c r="H299" s="14" t="s">
        <v>79</v>
      </c>
      <c r="I299" s="14" t="s">
        <v>2624</v>
      </c>
      <c r="J299" s="14" t="s">
        <v>2625</v>
      </c>
      <c r="K299" s="14">
        <v>361797</v>
      </c>
      <c r="L299" s="14">
        <v>15</v>
      </c>
      <c r="M299" s="14">
        <v>37014</v>
      </c>
      <c r="N299" s="14">
        <f t="shared" ref="N299:N308" si="31">K299-M299</f>
        <v>324783</v>
      </c>
      <c r="O299" s="14" t="s">
        <v>97</v>
      </c>
      <c r="P299" s="14" t="s">
        <v>98</v>
      </c>
      <c r="Q299" s="14">
        <v>68.67</v>
      </c>
      <c r="R299" s="14">
        <v>1.0900000000000001</v>
      </c>
      <c r="S299" s="14" t="s">
        <v>2407</v>
      </c>
      <c r="T299" s="14" t="s">
        <v>79</v>
      </c>
      <c r="U299" s="14" t="s">
        <v>79</v>
      </c>
      <c r="V299" s="14" t="s">
        <v>79</v>
      </c>
      <c r="W299" s="14" t="s">
        <v>62</v>
      </c>
      <c r="X299" s="14" t="s">
        <v>62</v>
      </c>
      <c r="Y299" s="14" t="s">
        <v>62</v>
      </c>
      <c r="Z299" s="14" t="s">
        <v>62</v>
      </c>
      <c r="AA299" s="14" t="s">
        <v>62</v>
      </c>
      <c r="AB299" s="14" t="s">
        <v>62</v>
      </c>
      <c r="AC299" s="14" t="s">
        <v>140</v>
      </c>
      <c r="AD299" s="14" t="s">
        <v>1689</v>
      </c>
    </row>
    <row r="300" spans="1:30" ht="14.25" hidden="1">
      <c r="A300" s="14" t="s">
        <v>52</v>
      </c>
      <c r="B300" s="14" t="s">
        <v>87</v>
      </c>
      <c r="C300" s="14" t="s">
        <v>2196</v>
      </c>
      <c r="D300" s="14" t="s">
        <v>246</v>
      </c>
      <c r="E300" s="14" t="s">
        <v>2408</v>
      </c>
      <c r="F300" s="14"/>
      <c r="G300" s="14" t="s">
        <v>248</v>
      </c>
      <c r="H300" s="14" t="s">
        <v>79</v>
      </c>
      <c r="I300" s="14" t="s">
        <v>2626</v>
      </c>
      <c r="J300" s="14" t="s">
        <v>2627</v>
      </c>
      <c r="K300" s="14">
        <v>361797</v>
      </c>
      <c r="L300" s="14">
        <v>15</v>
      </c>
      <c r="M300" s="14">
        <v>9298</v>
      </c>
      <c r="N300" s="14">
        <f t="shared" si="31"/>
        <v>352499</v>
      </c>
      <c r="O300" s="14" t="s">
        <v>97</v>
      </c>
      <c r="P300" s="14" t="s">
        <v>98</v>
      </c>
      <c r="Q300" s="14">
        <v>70.17</v>
      </c>
      <c r="R300" s="14">
        <v>0.59</v>
      </c>
      <c r="S300" s="14" t="s">
        <v>2411</v>
      </c>
      <c r="T300" s="14" t="s">
        <v>79</v>
      </c>
      <c r="U300" s="14" t="s">
        <v>79</v>
      </c>
      <c r="V300" s="14" t="s">
        <v>79</v>
      </c>
      <c r="W300" s="14" t="s">
        <v>62</v>
      </c>
      <c r="X300" s="14" t="s">
        <v>62</v>
      </c>
      <c r="Y300" s="14" t="s">
        <v>62</v>
      </c>
      <c r="Z300" s="14" t="s">
        <v>62</v>
      </c>
      <c r="AA300" s="14" t="s">
        <v>62</v>
      </c>
      <c r="AB300" s="14" t="s">
        <v>62</v>
      </c>
      <c r="AC300" s="14" t="s">
        <v>140</v>
      </c>
      <c r="AD300" s="14" t="s">
        <v>1689</v>
      </c>
    </row>
    <row r="301" spans="1:30" ht="14.25" hidden="1">
      <c r="A301" s="14" t="s">
        <v>52</v>
      </c>
      <c r="B301" s="14" t="s">
        <v>87</v>
      </c>
      <c r="C301" s="14" t="s">
        <v>2196</v>
      </c>
      <c r="D301" s="14" t="s">
        <v>246</v>
      </c>
      <c r="E301" s="14" t="s">
        <v>2412</v>
      </c>
      <c r="F301" s="14"/>
      <c r="G301" s="14" t="s">
        <v>248</v>
      </c>
      <c r="H301" s="14" t="s">
        <v>79</v>
      </c>
      <c r="I301" s="14" t="s">
        <v>2628</v>
      </c>
      <c r="J301" s="14" t="s">
        <v>2629</v>
      </c>
      <c r="K301" s="14">
        <v>361797</v>
      </c>
      <c r="L301" s="14">
        <v>15</v>
      </c>
      <c r="M301" s="14">
        <v>7264</v>
      </c>
      <c r="N301" s="14">
        <f t="shared" si="31"/>
        <v>354533</v>
      </c>
      <c r="O301" s="14" t="s">
        <v>97</v>
      </c>
      <c r="P301" s="14" t="s">
        <v>98</v>
      </c>
      <c r="Q301" s="14">
        <v>70.27</v>
      </c>
      <c r="R301" s="14">
        <v>0.69</v>
      </c>
      <c r="S301" s="14" t="s">
        <v>2415</v>
      </c>
      <c r="T301" s="14" t="s">
        <v>79</v>
      </c>
      <c r="U301" s="14" t="s">
        <v>79</v>
      </c>
      <c r="V301" s="14" t="s">
        <v>79</v>
      </c>
      <c r="W301" s="14" t="s">
        <v>62</v>
      </c>
      <c r="X301" s="14" t="s">
        <v>62</v>
      </c>
      <c r="Y301" s="14" t="s">
        <v>62</v>
      </c>
      <c r="Z301" s="14" t="s">
        <v>62</v>
      </c>
      <c r="AA301" s="14" t="s">
        <v>62</v>
      </c>
      <c r="AB301" s="14" t="s">
        <v>62</v>
      </c>
      <c r="AC301" s="14" t="s">
        <v>140</v>
      </c>
      <c r="AD301" s="14" t="s">
        <v>1689</v>
      </c>
    </row>
    <row r="302" spans="1:30" ht="14.25" hidden="1">
      <c r="A302" s="14" t="s">
        <v>52</v>
      </c>
      <c r="B302" s="14" t="s">
        <v>87</v>
      </c>
      <c r="C302" s="14" t="s">
        <v>2196</v>
      </c>
      <c r="D302" s="14" t="s">
        <v>246</v>
      </c>
      <c r="E302" s="14" t="s">
        <v>2416</v>
      </c>
      <c r="F302" s="14"/>
      <c r="G302" s="14" t="s">
        <v>248</v>
      </c>
      <c r="H302" s="14" t="s">
        <v>79</v>
      </c>
      <c r="I302" s="14" t="s">
        <v>2630</v>
      </c>
      <c r="J302" s="14" t="s">
        <v>2631</v>
      </c>
      <c r="K302" s="14">
        <v>361797</v>
      </c>
      <c r="L302" s="14">
        <v>15</v>
      </c>
      <c r="M302" s="14">
        <v>11773</v>
      </c>
      <c r="N302" s="14">
        <f t="shared" si="31"/>
        <v>350024</v>
      </c>
      <c r="O302" s="14" t="s">
        <v>97</v>
      </c>
      <c r="P302" s="14" t="s">
        <v>98</v>
      </c>
      <c r="Q302" s="14">
        <v>68.03</v>
      </c>
      <c r="R302" s="14">
        <v>0.77</v>
      </c>
      <c r="S302" s="14" t="s">
        <v>2419</v>
      </c>
      <c r="T302" s="14" t="s">
        <v>79</v>
      </c>
      <c r="U302" s="14" t="s">
        <v>79</v>
      </c>
      <c r="V302" s="14" t="s">
        <v>79</v>
      </c>
      <c r="W302" s="14" t="s">
        <v>62</v>
      </c>
      <c r="X302" s="14" t="s">
        <v>62</v>
      </c>
      <c r="Y302" s="14" t="s">
        <v>62</v>
      </c>
      <c r="Z302" s="14" t="s">
        <v>62</v>
      </c>
      <c r="AA302" s="14" t="s">
        <v>62</v>
      </c>
      <c r="AB302" s="14" t="s">
        <v>62</v>
      </c>
      <c r="AC302" s="14" t="s">
        <v>140</v>
      </c>
      <c r="AD302" s="14" t="s">
        <v>1689</v>
      </c>
    </row>
    <row r="303" spans="1:30" ht="14.25" hidden="1">
      <c r="A303" s="14" t="s">
        <v>52</v>
      </c>
      <c r="B303" s="14" t="s">
        <v>87</v>
      </c>
      <c r="C303" s="14" t="s">
        <v>2196</v>
      </c>
      <c r="D303" s="14" t="s">
        <v>246</v>
      </c>
      <c r="E303" s="14" t="s">
        <v>2420</v>
      </c>
      <c r="F303" s="14"/>
      <c r="G303" s="14" t="s">
        <v>248</v>
      </c>
      <c r="H303" s="14" t="s">
        <v>79</v>
      </c>
      <c r="I303" s="14" t="s">
        <v>2635</v>
      </c>
      <c r="J303" s="14" t="s">
        <v>2636</v>
      </c>
      <c r="K303" s="14">
        <v>361797</v>
      </c>
      <c r="L303" s="14">
        <v>15</v>
      </c>
      <c r="M303" s="14">
        <v>25915</v>
      </c>
      <c r="N303" s="14">
        <f t="shared" si="31"/>
        <v>335882</v>
      </c>
      <c r="O303" s="14" t="s">
        <v>97</v>
      </c>
      <c r="P303" s="14" t="s">
        <v>98</v>
      </c>
      <c r="Q303" s="14">
        <v>62.42</v>
      </c>
      <c r="R303" s="14">
        <v>0.74</v>
      </c>
      <c r="S303" s="14" t="s">
        <v>2423</v>
      </c>
      <c r="T303" s="14" t="s">
        <v>79</v>
      </c>
      <c r="U303" s="14" t="s">
        <v>79</v>
      </c>
      <c r="V303" s="14" t="s">
        <v>79</v>
      </c>
      <c r="W303" s="14" t="s">
        <v>62</v>
      </c>
      <c r="X303" s="14" t="s">
        <v>62</v>
      </c>
      <c r="Y303" s="14" t="s">
        <v>62</v>
      </c>
      <c r="Z303" s="14" t="s">
        <v>62</v>
      </c>
      <c r="AA303" s="14" t="s">
        <v>62</v>
      </c>
      <c r="AB303" s="14" t="s">
        <v>62</v>
      </c>
      <c r="AC303" s="14" t="s">
        <v>140</v>
      </c>
      <c r="AD303" s="14" t="s">
        <v>1689</v>
      </c>
    </row>
    <row r="304" spans="1:30" ht="14.25" hidden="1">
      <c r="A304" s="14" t="s">
        <v>52</v>
      </c>
      <c r="B304" s="14" t="s">
        <v>87</v>
      </c>
      <c r="C304" s="14" t="s">
        <v>2196</v>
      </c>
      <c r="D304" s="14" t="s">
        <v>622</v>
      </c>
      <c r="E304" s="14" t="s">
        <v>2404</v>
      </c>
      <c r="F304" s="14"/>
      <c r="G304" s="14" t="s">
        <v>215</v>
      </c>
      <c r="H304" s="14" t="s">
        <v>79</v>
      </c>
      <c r="I304" s="14" t="s">
        <v>2639</v>
      </c>
      <c r="J304" s="14" t="s">
        <v>2640</v>
      </c>
      <c r="K304" s="14">
        <v>361797</v>
      </c>
      <c r="L304" s="14">
        <v>28</v>
      </c>
      <c r="M304" s="14">
        <v>37014</v>
      </c>
      <c r="N304" s="14">
        <f t="shared" si="31"/>
        <v>324783</v>
      </c>
      <c r="O304" s="14" t="s">
        <v>97</v>
      </c>
      <c r="P304" s="14" t="s">
        <v>98</v>
      </c>
      <c r="Q304" s="14">
        <v>288.74</v>
      </c>
      <c r="R304" s="14">
        <v>0.87</v>
      </c>
      <c r="S304" s="14" t="s">
        <v>2426</v>
      </c>
      <c r="T304" s="14" t="s">
        <v>79</v>
      </c>
      <c r="U304" s="14" t="s">
        <v>79</v>
      </c>
      <c r="V304" s="14" t="s">
        <v>79</v>
      </c>
      <c r="W304" s="14" t="s">
        <v>62</v>
      </c>
      <c r="X304" s="14" t="s">
        <v>62</v>
      </c>
      <c r="Y304" s="14" t="s">
        <v>62</v>
      </c>
      <c r="Z304" s="14" t="s">
        <v>62</v>
      </c>
      <c r="AA304" s="14" t="s">
        <v>62</v>
      </c>
      <c r="AB304" s="14" t="s">
        <v>62</v>
      </c>
      <c r="AC304" s="14" t="s">
        <v>140</v>
      </c>
      <c r="AD304" s="14" t="s">
        <v>1689</v>
      </c>
    </row>
    <row r="305" spans="1:30" ht="14.25" hidden="1">
      <c r="A305" s="14" t="s">
        <v>52</v>
      </c>
      <c r="B305" s="14" t="s">
        <v>87</v>
      </c>
      <c r="C305" s="14" t="s">
        <v>2196</v>
      </c>
      <c r="D305" s="14" t="s">
        <v>622</v>
      </c>
      <c r="E305" s="14" t="s">
        <v>2408</v>
      </c>
      <c r="F305" s="14"/>
      <c r="G305" s="14" t="s">
        <v>215</v>
      </c>
      <c r="H305" s="14" t="s">
        <v>79</v>
      </c>
      <c r="I305" s="14" t="s">
        <v>2647</v>
      </c>
      <c r="J305" s="14" t="s">
        <v>2648</v>
      </c>
      <c r="K305" s="14">
        <v>361797</v>
      </c>
      <c r="L305" s="14">
        <v>28</v>
      </c>
      <c r="M305" s="14">
        <v>9298</v>
      </c>
      <c r="N305" s="14">
        <f t="shared" si="31"/>
        <v>352499</v>
      </c>
      <c r="O305" s="14" t="s">
        <v>97</v>
      </c>
      <c r="P305" s="14" t="s">
        <v>98</v>
      </c>
      <c r="Q305" s="14">
        <v>319.57</v>
      </c>
      <c r="R305" s="14">
        <v>0.92</v>
      </c>
      <c r="S305" s="14" t="s">
        <v>2429</v>
      </c>
      <c r="T305" s="14" t="s">
        <v>79</v>
      </c>
      <c r="U305" s="14" t="s">
        <v>79</v>
      </c>
      <c r="V305" s="14" t="s">
        <v>79</v>
      </c>
      <c r="W305" s="14" t="s">
        <v>62</v>
      </c>
      <c r="X305" s="14" t="s">
        <v>62</v>
      </c>
      <c r="Y305" s="14" t="s">
        <v>62</v>
      </c>
      <c r="Z305" s="14" t="s">
        <v>62</v>
      </c>
      <c r="AA305" s="14" t="s">
        <v>62</v>
      </c>
      <c r="AB305" s="14" t="s">
        <v>62</v>
      </c>
      <c r="AC305" s="14" t="s">
        <v>140</v>
      </c>
      <c r="AD305" s="14" t="s">
        <v>1689</v>
      </c>
    </row>
    <row r="306" spans="1:30" ht="14.25" hidden="1">
      <c r="A306" s="14" t="s">
        <v>52</v>
      </c>
      <c r="B306" s="14" t="s">
        <v>87</v>
      </c>
      <c r="C306" s="14" t="s">
        <v>2196</v>
      </c>
      <c r="D306" s="14" t="s">
        <v>622</v>
      </c>
      <c r="E306" s="14" t="s">
        <v>2412</v>
      </c>
      <c r="F306" s="14"/>
      <c r="G306" s="14" t="s">
        <v>215</v>
      </c>
      <c r="H306" s="14" t="s">
        <v>79</v>
      </c>
      <c r="I306" s="14" t="s">
        <v>2653</v>
      </c>
      <c r="J306" s="14" t="s">
        <v>2654</v>
      </c>
      <c r="K306" s="14">
        <v>361797</v>
      </c>
      <c r="L306" s="14">
        <v>28</v>
      </c>
      <c r="M306" s="14">
        <v>7264</v>
      </c>
      <c r="N306" s="14">
        <f t="shared" si="31"/>
        <v>354533</v>
      </c>
      <c r="O306" s="14" t="s">
        <v>97</v>
      </c>
      <c r="P306" s="14" t="s">
        <v>98</v>
      </c>
      <c r="Q306" s="14">
        <v>322.39</v>
      </c>
      <c r="R306" s="14">
        <v>0.87</v>
      </c>
      <c r="S306" s="14" t="s">
        <v>2432</v>
      </c>
      <c r="T306" s="14" t="s">
        <v>79</v>
      </c>
      <c r="U306" s="14" t="s">
        <v>79</v>
      </c>
      <c r="V306" s="14" t="s">
        <v>79</v>
      </c>
      <c r="W306" s="14" t="s">
        <v>62</v>
      </c>
      <c r="X306" s="14" t="s">
        <v>62</v>
      </c>
      <c r="Y306" s="14" t="s">
        <v>62</v>
      </c>
      <c r="Z306" s="14" t="s">
        <v>62</v>
      </c>
      <c r="AA306" s="14" t="s">
        <v>62</v>
      </c>
      <c r="AB306" s="14" t="s">
        <v>62</v>
      </c>
      <c r="AC306" s="14" t="s">
        <v>140</v>
      </c>
      <c r="AD306" s="14" t="s">
        <v>1689</v>
      </c>
    </row>
    <row r="307" spans="1:30" ht="14.25" hidden="1">
      <c r="A307" s="14" t="s">
        <v>52</v>
      </c>
      <c r="B307" s="14" t="s">
        <v>87</v>
      </c>
      <c r="C307" s="14" t="s">
        <v>2196</v>
      </c>
      <c r="D307" s="14" t="s">
        <v>622</v>
      </c>
      <c r="E307" s="14" t="s">
        <v>2416</v>
      </c>
      <c r="F307" s="14"/>
      <c r="G307" s="14" t="s">
        <v>215</v>
      </c>
      <c r="H307" s="14" t="s">
        <v>79</v>
      </c>
      <c r="I307" s="14" t="s">
        <v>2659</v>
      </c>
      <c r="J307" s="14" t="s">
        <v>2660</v>
      </c>
      <c r="K307" s="14">
        <v>361797</v>
      </c>
      <c r="L307" s="14">
        <v>28</v>
      </c>
      <c r="M307" s="14">
        <v>11773</v>
      </c>
      <c r="N307" s="14">
        <f t="shared" si="31"/>
        <v>350024</v>
      </c>
      <c r="O307" s="14" t="s">
        <v>97</v>
      </c>
      <c r="P307" s="14" t="s">
        <v>98</v>
      </c>
      <c r="Q307" s="14">
        <v>321.19</v>
      </c>
      <c r="R307" s="14">
        <v>0.83</v>
      </c>
      <c r="S307" s="14" t="s">
        <v>2436</v>
      </c>
      <c r="T307" s="14" t="s">
        <v>79</v>
      </c>
      <c r="U307" s="14" t="s">
        <v>79</v>
      </c>
      <c r="V307" s="14" t="s">
        <v>79</v>
      </c>
      <c r="W307" s="14" t="s">
        <v>62</v>
      </c>
      <c r="X307" s="14" t="s">
        <v>62</v>
      </c>
      <c r="Y307" s="14" t="s">
        <v>62</v>
      </c>
      <c r="Z307" s="14" t="s">
        <v>62</v>
      </c>
      <c r="AA307" s="14" t="s">
        <v>62</v>
      </c>
      <c r="AB307" s="14" t="s">
        <v>62</v>
      </c>
      <c r="AC307" s="14" t="s">
        <v>140</v>
      </c>
      <c r="AD307" s="14" t="s">
        <v>1689</v>
      </c>
    </row>
    <row r="308" spans="1:30" ht="14.25" hidden="1">
      <c r="A308" s="14" t="s">
        <v>52</v>
      </c>
      <c r="B308" s="14" t="s">
        <v>87</v>
      </c>
      <c r="C308" s="14" t="s">
        <v>2196</v>
      </c>
      <c r="D308" s="14" t="s">
        <v>622</v>
      </c>
      <c r="E308" s="14" t="s">
        <v>2420</v>
      </c>
      <c r="F308" s="14"/>
      <c r="G308" s="14" t="s">
        <v>215</v>
      </c>
      <c r="H308" s="14" t="s">
        <v>79</v>
      </c>
      <c r="I308" s="14" t="s">
        <v>2666</v>
      </c>
      <c r="J308" s="14" t="s">
        <v>2667</v>
      </c>
      <c r="K308" s="14">
        <v>361797</v>
      </c>
      <c r="L308" s="14">
        <v>28</v>
      </c>
      <c r="M308" s="14">
        <v>25915</v>
      </c>
      <c r="N308" s="14">
        <f t="shared" si="31"/>
        <v>335882</v>
      </c>
      <c r="O308" s="14" t="s">
        <v>97</v>
      </c>
      <c r="P308" s="14" t="s">
        <v>98</v>
      </c>
      <c r="Q308" s="14">
        <v>318.8</v>
      </c>
      <c r="R308" s="14">
        <v>0.82</v>
      </c>
      <c r="S308" s="14" t="s">
        <v>2440</v>
      </c>
      <c r="T308" s="14" t="s">
        <v>79</v>
      </c>
      <c r="U308" s="14" t="s">
        <v>79</v>
      </c>
      <c r="V308" s="14" t="s">
        <v>79</v>
      </c>
      <c r="W308" s="14" t="s">
        <v>62</v>
      </c>
      <c r="X308" s="14" t="s">
        <v>62</v>
      </c>
      <c r="Y308" s="14" t="s">
        <v>62</v>
      </c>
      <c r="Z308" s="14" t="s">
        <v>62</v>
      </c>
      <c r="AA308" s="14" t="s">
        <v>62</v>
      </c>
      <c r="AB308" s="14" t="s">
        <v>62</v>
      </c>
      <c r="AC308" s="14" t="s">
        <v>140</v>
      </c>
      <c r="AD308" s="14" t="s">
        <v>1689</v>
      </c>
    </row>
    <row r="309" spans="1:30" ht="14.25" hidden="1">
      <c r="A309" s="14" t="s">
        <v>52</v>
      </c>
      <c r="B309" s="14" t="s">
        <v>87</v>
      </c>
      <c r="C309" s="14" t="s">
        <v>74</v>
      </c>
      <c r="D309" s="14" t="s">
        <v>246</v>
      </c>
      <c r="E309" s="14" t="s">
        <v>2404</v>
      </c>
      <c r="F309" s="14"/>
      <c r="G309" s="14" t="s">
        <v>248</v>
      </c>
      <c r="H309" s="14" t="s">
        <v>79</v>
      </c>
      <c r="I309" s="14" t="s">
        <v>2670</v>
      </c>
      <c r="J309" s="14" t="s">
        <v>1264</v>
      </c>
      <c r="K309" s="14">
        <v>218792</v>
      </c>
      <c r="L309" s="14">
        <v>15</v>
      </c>
      <c r="M309" s="14">
        <v>21012</v>
      </c>
      <c r="N309" s="14">
        <v>197780</v>
      </c>
      <c r="O309" s="14" t="s">
        <v>97</v>
      </c>
      <c r="P309" s="14" t="s">
        <v>98</v>
      </c>
      <c r="Q309" s="14">
        <v>71.63</v>
      </c>
      <c r="R309" s="14">
        <v>1.07</v>
      </c>
      <c r="S309" s="14" t="s">
        <v>2442</v>
      </c>
      <c r="T309" s="14">
        <v>0.75</v>
      </c>
      <c r="U309" s="14" t="s">
        <v>1321</v>
      </c>
      <c r="V309" s="14" t="s">
        <v>1321</v>
      </c>
      <c r="W309" s="14">
        <v>0.96</v>
      </c>
      <c r="X309" s="14" t="s">
        <v>2443</v>
      </c>
      <c r="Y309" s="14">
        <v>0.87</v>
      </c>
      <c r="Z309" s="14">
        <v>0.55000000000000004</v>
      </c>
      <c r="AA309" s="14" t="s">
        <v>2444</v>
      </c>
      <c r="AB309" s="14">
        <v>0.52</v>
      </c>
      <c r="AC309" s="14" t="s">
        <v>140</v>
      </c>
      <c r="AD309" s="14" t="s">
        <v>1689</v>
      </c>
    </row>
    <row r="310" spans="1:30" ht="14.25" hidden="1">
      <c r="A310" s="14" t="s">
        <v>52</v>
      </c>
      <c r="B310" s="14" t="s">
        <v>87</v>
      </c>
      <c r="C310" s="14" t="s">
        <v>74</v>
      </c>
      <c r="D310" s="14" t="s">
        <v>246</v>
      </c>
      <c r="E310" s="14" t="s">
        <v>2408</v>
      </c>
      <c r="F310" s="14"/>
      <c r="G310" s="14" t="s">
        <v>248</v>
      </c>
      <c r="H310" s="14" t="s">
        <v>79</v>
      </c>
      <c r="I310" s="14" t="s">
        <v>2671</v>
      </c>
      <c r="J310" s="14" t="s">
        <v>1264</v>
      </c>
      <c r="K310" s="14">
        <v>212947</v>
      </c>
      <c r="L310" s="14">
        <v>15</v>
      </c>
      <c r="M310" s="14">
        <v>12632</v>
      </c>
      <c r="N310" s="14">
        <v>200315</v>
      </c>
      <c r="O310" s="14" t="s">
        <v>97</v>
      </c>
      <c r="P310" s="14" t="s">
        <v>98</v>
      </c>
      <c r="Q310" s="14">
        <v>71.63</v>
      </c>
      <c r="R310" s="14">
        <v>1.03</v>
      </c>
      <c r="S310" s="14" t="s">
        <v>2447</v>
      </c>
      <c r="T310" s="14">
        <v>0.9</v>
      </c>
      <c r="U310" s="14" t="s">
        <v>1321</v>
      </c>
      <c r="V310" s="14" t="s">
        <v>1321</v>
      </c>
      <c r="W310" s="14">
        <v>0.85</v>
      </c>
      <c r="X310" s="14" t="s">
        <v>2448</v>
      </c>
      <c r="Y310" s="14">
        <v>0.59</v>
      </c>
      <c r="Z310" s="14">
        <v>4.63</v>
      </c>
      <c r="AA310" s="14" t="s">
        <v>2449</v>
      </c>
      <c r="AB310" s="14">
        <v>0.12</v>
      </c>
      <c r="AC310" s="14" t="s">
        <v>140</v>
      </c>
      <c r="AD310" s="14" t="s">
        <v>1689</v>
      </c>
    </row>
    <row r="311" spans="1:30" ht="14.25" hidden="1">
      <c r="A311" s="14" t="s">
        <v>52</v>
      </c>
      <c r="B311" s="14" t="s">
        <v>87</v>
      </c>
      <c r="C311" s="14" t="s">
        <v>74</v>
      </c>
      <c r="D311" s="14" t="s">
        <v>246</v>
      </c>
      <c r="E311" s="14" t="s">
        <v>2412</v>
      </c>
      <c r="F311" s="14"/>
      <c r="G311" s="14" t="s">
        <v>248</v>
      </c>
      <c r="H311" s="14" t="s">
        <v>79</v>
      </c>
      <c r="I311" s="14" t="s">
        <v>2672</v>
      </c>
      <c r="J311" s="14" t="s">
        <v>1264</v>
      </c>
      <c r="K311" s="14">
        <v>212774</v>
      </c>
      <c r="L311" s="14">
        <v>15</v>
      </c>
      <c r="M311" s="14">
        <v>10551</v>
      </c>
      <c r="N311" s="14">
        <v>202223</v>
      </c>
      <c r="O311" s="14" t="s">
        <v>97</v>
      </c>
      <c r="P311" s="14" t="s">
        <v>98</v>
      </c>
      <c r="Q311" s="14">
        <v>71.63</v>
      </c>
      <c r="R311" s="14">
        <v>0.88</v>
      </c>
      <c r="S311" s="14" t="s">
        <v>2451</v>
      </c>
      <c r="T311" s="14">
        <v>0.65</v>
      </c>
      <c r="U311" s="14" t="s">
        <v>1321</v>
      </c>
      <c r="V311" s="14" t="s">
        <v>1321</v>
      </c>
      <c r="W311" s="14">
        <v>0.86</v>
      </c>
      <c r="X311" s="14" t="s">
        <v>2452</v>
      </c>
      <c r="Y311" s="14">
        <v>0.64</v>
      </c>
      <c r="Z311" s="14">
        <v>5.98</v>
      </c>
      <c r="AA311" s="14" t="s">
        <v>2453</v>
      </c>
      <c r="AB311" s="14">
        <v>0.08</v>
      </c>
      <c r="AC311" s="14" t="s">
        <v>140</v>
      </c>
      <c r="AD311" s="14" t="s">
        <v>1689</v>
      </c>
    </row>
    <row r="312" spans="1:30" ht="14.25" hidden="1">
      <c r="A312" s="14" t="s">
        <v>52</v>
      </c>
      <c r="B312" s="14" t="s">
        <v>87</v>
      </c>
      <c r="C312" s="14" t="s">
        <v>74</v>
      </c>
      <c r="D312" s="14" t="s">
        <v>246</v>
      </c>
      <c r="E312" s="14" t="s">
        <v>2416</v>
      </c>
      <c r="F312" s="14"/>
      <c r="G312" s="14" t="s">
        <v>248</v>
      </c>
      <c r="H312" s="14" t="s">
        <v>79</v>
      </c>
      <c r="I312" s="14" t="s">
        <v>2673</v>
      </c>
      <c r="J312" s="14" t="s">
        <v>1264</v>
      </c>
      <c r="K312" s="14">
        <v>195091</v>
      </c>
      <c r="L312" s="14">
        <v>15</v>
      </c>
      <c r="M312" s="14">
        <v>23701</v>
      </c>
      <c r="N312" s="14">
        <v>171390</v>
      </c>
      <c r="O312" s="14" t="s">
        <v>97</v>
      </c>
      <c r="P312" s="14" t="s">
        <v>98</v>
      </c>
      <c r="Q312" s="14">
        <v>71.63</v>
      </c>
      <c r="R312" s="14">
        <v>1.05</v>
      </c>
      <c r="S312" s="14" t="s">
        <v>2455</v>
      </c>
      <c r="T312" s="14">
        <v>0.76</v>
      </c>
      <c r="U312" s="14" t="s">
        <v>1321</v>
      </c>
      <c r="V312" s="14" t="s">
        <v>1321</v>
      </c>
      <c r="W312" s="14">
        <v>1.17</v>
      </c>
      <c r="X312" s="14" t="s">
        <v>2456</v>
      </c>
      <c r="Y312" s="14">
        <v>0.49</v>
      </c>
      <c r="Z312" s="14">
        <v>3.56</v>
      </c>
      <c r="AA312" s="14" t="s">
        <v>2457</v>
      </c>
      <c r="AB312" s="14">
        <v>0.05</v>
      </c>
      <c r="AC312" s="14" t="s">
        <v>140</v>
      </c>
      <c r="AD312" s="14" t="s">
        <v>1689</v>
      </c>
    </row>
    <row r="313" spans="1:30" ht="14.25" hidden="1">
      <c r="A313" s="14" t="s">
        <v>52</v>
      </c>
      <c r="B313" s="14" t="s">
        <v>87</v>
      </c>
      <c r="C313" s="14" t="s">
        <v>74</v>
      </c>
      <c r="D313" s="14" t="s">
        <v>246</v>
      </c>
      <c r="E313" s="14" t="s">
        <v>2420</v>
      </c>
      <c r="F313" s="14"/>
      <c r="G313" s="14" t="s">
        <v>248</v>
      </c>
      <c r="H313" s="14" t="s">
        <v>79</v>
      </c>
      <c r="I313" s="14" t="s">
        <v>2674</v>
      </c>
      <c r="J313" s="14" t="s">
        <v>1264</v>
      </c>
      <c r="K313" s="14">
        <v>116926</v>
      </c>
      <c r="L313" s="14">
        <v>15</v>
      </c>
      <c r="M313" s="14">
        <v>22068</v>
      </c>
      <c r="N313" s="14">
        <v>94858</v>
      </c>
      <c r="O313" s="14" t="s">
        <v>97</v>
      </c>
      <c r="P313" s="14" t="s">
        <v>98</v>
      </c>
      <c r="Q313" s="14">
        <v>71.63</v>
      </c>
      <c r="R313" s="14">
        <v>1.22</v>
      </c>
      <c r="S313" s="14" t="s">
        <v>2459</v>
      </c>
      <c r="T313" s="14">
        <v>0.56999999999999995</v>
      </c>
      <c r="U313" s="14" t="s">
        <v>1321</v>
      </c>
      <c r="V313" s="14" t="s">
        <v>1321</v>
      </c>
      <c r="W313" s="14">
        <v>0.98</v>
      </c>
      <c r="X313" s="14" t="s">
        <v>2460</v>
      </c>
      <c r="Y313" s="14">
        <v>0.96</v>
      </c>
      <c r="Z313" s="14">
        <v>4.5599999999999996</v>
      </c>
      <c r="AA313" s="14" t="s">
        <v>2461</v>
      </c>
      <c r="AB313" s="14">
        <v>0.28999999999999998</v>
      </c>
      <c r="AC313" s="14" t="s">
        <v>140</v>
      </c>
      <c r="AD313" s="14" t="s">
        <v>1689</v>
      </c>
    </row>
    <row r="314" spans="1:30" ht="14.25" hidden="1">
      <c r="A314" s="14" t="s">
        <v>52</v>
      </c>
      <c r="B314" s="14" t="s">
        <v>87</v>
      </c>
      <c r="C314" s="14" t="s">
        <v>74</v>
      </c>
      <c r="D314" s="14" t="s">
        <v>622</v>
      </c>
      <c r="E314" s="14" t="s">
        <v>2404</v>
      </c>
      <c r="F314" s="14"/>
      <c r="G314" s="14" t="s">
        <v>215</v>
      </c>
      <c r="H314" s="14" t="s">
        <v>79</v>
      </c>
      <c r="I314" s="14" t="s">
        <v>2675</v>
      </c>
      <c r="J314" s="14" t="s">
        <v>1264</v>
      </c>
      <c r="K314" s="14">
        <v>218792</v>
      </c>
      <c r="L314" s="14">
        <v>27</v>
      </c>
      <c r="M314" s="14">
        <v>21012</v>
      </c>
      <c r="N314" s="14">
        <v>197780</v>
      </c>
      <c r="O314" s="14" t="s">
        <v>97</v>
      </c>
      <c r="P314" s="14" t="s">
        <v>98</v>
      </c>
      <c r="Q314" s="14">
        <v>101.62</v>
      </c>
      <c r="R314" s="14">
        <v>1.06</v>
      </c>
      <c r="S314" s="14" t="s">
        <v>2463</v>
      </c>
      <c r="T314" s="14">
        <v>0.65</v>
      </c>
      <c r="U314" s="14" t="s">
        <v>1321</v>
      </c>
      <c r="V314" s="14" t="s">
        <v>1321</v>
      </c>
      <c r="W314" s="14">
        <v>1.1000000000000001</v>
      </c>
      <c r="X314" s="14" t="s">
        <v>2464</v>
      </c>
      <c r="Y314" s="14">
        <v>0.57999999999999996</v>
      </c>
      <c r="Z314" s="14">
        <v>0.78</v>
      </c>
      <c r="AA314" s="14" t="s">
        <v>2465</v>
      </c>
      <c r="AB314" s="14">
        <v>0.78</v>
      </c>
      <c r="AC314" s="14" t="s">
        <v>140</v>
      </c>
      <c r="AD314" s="14" t="s">
        <v>1689</v>
      </c>
    </row>
    <row r="315" spans="1:30" ht="14.25" hidden="1">
      <c r="A315" s="14" t="s">
        <v>52</v>
      </c>
      <c r="B315" s="14" t="s">
        <v>87</v>
      </c>
      <c r="C315" s="14" t="s">
        <v>74</v>
      </c>
      <c r="D315" s="14" t="s">
        <v>622</v>
      </c>
      <c r="E315" s="14" t="s">
        <v>2408</v>
      </c>
      <c r="F315" s="14"/>
      <c r="G315" s="14" t="s">
        <v>215</v>
      </c>
      <c r="H315" s="14" t="s">
        <v>79</v>
      </c>
      <c r="I315" s="14" t="s">
        <v>2676</v>
      </c>
      <c r="J315" s="14" t="s">
        <v>1264</v>
      </c>
      <c r="K315" s="14">
        <v>212947</v>
      </c>
      <c r="L315" s="14">
        <v>27</v>
      </c>
      <c r="M315" s="14">
        <v>12632</v>
      </c>
      <c r="N315" s="14">
        <v>200315</v>
      </c>
      <c r="O315" s="14" t="s">
        <v>97</v>
      </c>
      <c r="P315" s="14" t="s">
        <v>98</v>
      </c>
      <c r="Q315" s="14">
        <v>101.62</v>
      </c>
      <c r="R315" s="14">
        <v>0.85</v>
      </c>
      <c r="S315" s="14" t="s">
        <v>2467</v>
      </c>
      <c r="T315" s="14">
        <v>0.25</v>
      </c>
      <c r="U315" s="14" t="s">
        <v>1321</v>
      </c>
      <c r="V315" s="14" t="s">
        <v>1321</v>
      </c>
      <c r="W315" s="14">
        <v>0.8</v>
      </c>
      <c r="X315" s="14" t="s">
        <v>2468</v>
      </c>
      <c r="Y315" s="14">
        <v>0.22</v>
      </c>
      <c r="Z315" s="14">
        <v>0.88</v>
      </c>
      <c r="AA315" s="14" t="s">
        <v>2469</v>
      </c>
      <c r="AB315" s="14">
        <v>0.9</v>
      </c>
      <c r="AC315" s="14" t="s">
        <v>140</v>
      </c>
      <c r="AD315" s="14" t="s">
        <v>1689</v>
      </c>
    </row>
    <row r="316" spans="1:30" ht="14.25" hidden="1">
      <c r="A316" s="14" t="s">
        <v>52</v>
      </c>
      <c r="B316" s="14" t="s">
        <v>87</v>
      </c>
      <c r="C316" s="14" t="s">
        <v>74</v>
      </c>
      <c r="D316" s="14" t="s">
        <v>622</v>
      </c>
      <c r="E316" s="14" t="s">
        <v>2412</v>
      </c>
      <c r="F316" s="14"/>
      <c r="G316" s="14" t="s">
        <v>215</v>
      </c>
      <c r="H316" s="14" t="s">
        <v>79</v>
      </c>
      <c r="I316" s="14" t="s">
        <v>2677</v>
      </c>
      <c r="J316" s="14" t="s">
        <v>1264</v>
      </c>
      <c r="K316" s="14">
        <v>212774</v>
      </c>
      <c r="L316" s="14">
        <v>27</v>
      </c>
      <c r="M316" s="14">
        <v>10551</v>
      </c>
      <c r="N316" s="14">
        <v>202223</v>
      </c>
      <c r="O316" s="14" t="s">
        <v>97</v>
      </c>
      <c r="P316" s="14" t="s">
        <v>98</v>
      </c>
      <c r="Q316" s="14">
        <v>101.62</v>
      </c>
      <c r="R316" s="14">
        <v>0.82</v>
      </c>
      <c r="S316" s="14" t="s">
        <v>2471</v>
      </c>
      <c r="T316" s="14">
        <v>0.16</v>
      </c>
      <c r="U316" s="14" t="s">
        <v>1321</v>
      </c>
      <c r="V316" s="14" t="s">
        <v>1321</v>
      </c>
      <c r="W316" s="14">
        <v>0.84</v>
      </c>
      <c r="X316" s="14" t="s">
        <v>2472</v>
      </c>
      <c r="Y316" s="14">
        <v>0.38</v>
      </c>
      <c r="Z316" s="14">
        <v>0.9</v>
      </c>
      <c r="AA316" s="14" t="s">
        <v>2473</v>
      </c>
      <c r="AB316" s="14">
        <v>0.92</v>
      </c>
      <c r="AC316" s="14" t="s">
        <v>140</v>
      </c>
      <c r="AD316" s="14" t="s">
        <v>1689</v>
      </c>
    </row>
    <row r="317" spans="1:30" ht="14.25" hidden="1">
      <c r="A317" s="14" t="s">
        <v>52</v>
      </c>
      <c r="B317" s="14" t="s">
        <v>87</v>
      </c>
      <c r="C317" s="14" t="s">
        <v>74</v>
      </c>
      <c r="D317" s="14" t="s">
        <v>622</v>
      </c>
      <c r="E317" s="14" t="s">
        <v>2416</v>
      </c>
      <c r="F317" s="14"/>
      <c r="G317" s="14" t="s">
        <v>215</v>
      </c>
      <c r="H317" s="14" t="s">
        <v>79</v>
      </c>
      <c r="I317" s="14" t="s">
        <v>2678</v>
      </c>
      <c r="J317" s="14" t="s">
        <v>1264</v>
      </c>
      <c r="K317" s="14">
        <v>195091</v>
      </c>
      <c r="L317" s="14">
        <v>27</v>
      </c>
      <c r="M317" s="14">
        <v>23701</v>
      </c>
      <c r="N317" s="14">
        <v>171390</v>
      </c>
      <c r="O317" s="14" t="s">
        <v>97</v>
      </c>
      <c r="P317" s="14" t="s">
        <v>98</v>
      </c>
      <c r="Q317" s="14">
        <v>101.62</v>
      </c>
      <c r="R317" s="14">
        <v>1.1399999999999999</v>
      </c>
      <c r="S317" s="14" t="s">
        <v>2475</v>
      </c>
      <c r="T317" s="14">
        <v>0.21</v>
      </c>
      <c r="U317" s="14" t="s">
        <v>1321</v>
      </c>
      <c r="V317" s="14" t="s">
        <v>1321</v>
      </c>
      <c r="W317" s="14">
        <v>1.26</v>
      </c>
      <c r="X317" s="14" t="s">
        <v>2476</v>
      </c>
      <c r="Y317" s="14">
        <v>0.12</v>
      </c>
      <c r="Z317" s="14">
        <v>0.79</v>
      </c>
      <c r="AA317" s="14" t="s">
        <v>2477</v>
      </c>
      <c r="AB317" s="14">
        <v>0.75</v>
      </c>
      <c r="AC317" s="14" t="s">
        <v>140</v>
      </c>
      <c r="AD317" s="14" t="s">
        <v>1689</v>
      </c>
    </row>
    <row r="318" spans="1:30" ht="14.25" hidden="1">
      <c r="A318" s="14" t="s">
        <v>52</v>
      </c>
      <c r="B318" s="14" t="s">
        <v>87</v>
      </c>
      <c r="C318" s="14" t="s">
        <v>74</v>
      </c>
      <c r="D318" s="14" t="s">
        <v>622</v>
      </c>
      <c r="E318" s="14" t="s">
        <v>2420</v>
      </c>
      <c r="F318" s="14"/>
      <c r="G318" s="14" t="s">
        <v>215</v>
      </c>
      <c r="H318" s="14" t="s">
        <v>79</v>
      </c>
      <c r="I318" s="14" t="s">
        <v>2679</v>
      </c>
      <c r="J318" s="14" t="s">
        <v>1264</v>
      </c>
      <c r="K318" s="14">
        <v>116926</v>
      </c>
      <c r="L318" s="14">
        <v>27</v>
      </c>
      <c r="M318" s="14">
        <v>22068</v>
      </c>
      <c r="N318" s="14">
        <v>94858</v>
      </c>
      <c r="O318" s="14" t="s">
        <v>97</v>
      </c>
      <c r="P318" s="14" t="s">
        <v>98</v>
      </c>
      <c r="Q318" s="14">
        <v>101.62</v>
      </c>
      <c r="R318" s="14">
        <v>0.92</v>
      </c>
      <c r="S318" s="14" t="s">
        <v>2479</v>
      </c>
      <c r="T318" s="14">
        <v>0.68</v>
      </c>
      <c r="U318" s="14" t="s">
        <v>1321</v>
      </c>
      <c r="V318" s="14" t="s">
        <v>1321</v>
      </c>
      <c r="W318" s="14">
        <v>0.98</v>
      </c>
      <c r="X318" s="14" t="s">
        <v>2480</v>
      </c>
      <c r="Y318" s="14">
        <v>0.94</v>
      </c>
      <c r="Z318" s="14">
        <v>0.03</v>
      </c>
      <c r="AA318" s="14" t="s">
        <v>2481</v>
      </c>
      <c r="AB318" s="14">
        <v>0.01</v>
      </c>
      <c r="AC318" s="14" t="s">
        <v>140</v>
      </c>
      <c r="AD318" s="14" t="s">
        <v>1689</v>
      </c>
    </row>
    <row r="319" spans="1:30" ht="14.25" hidden="1">
      <c r="A319" s="14" t="s">
        <v>52</v>
      </c>
      <c r="B319" s="14" t="s">
        <v>87</v>
      </c>
      <c r="C319" s="14" t="s">
        <v>74</v>
      </c>
      <c r="D319" s="14" t="s">
        <v>246</v>
      </c>
      <c r="E319" s="14" t="s">
        <v>2404</v>
      </c>
      <c r="F319" s="14"/>
      <c r="G319" s="14" t="s">
        <v>248</v>
      </c>
      <c r="H319" s="14" t="s">
        <v>79</v>
      </c>
      <c r="I319" s="14" t="s">
        <v>2680</v>
      </c>
      <c r="J319" s="14" t="s">
        <v>2483</v>
      </c>
      <c r="K319" s="14">
        <v>184305</v>
      </c>
      <c r="L319" s="14">
        <v>15</v>
      </c>
      <c r="M319" s="14">
        <v>60801</v>
      </c>
      <c r="N319" s="14">
        <v>123504</v>
      </c>
      <c r="O319" s="14" t="s">
        <v>97</v>
      </c>
      <c r="P319" s="14" t="s">
        <v>98</v>
      </c>
      <c r="Q319" s="14">
        <v>71.63</v>
      </c>
      <c r="R319" s="14">
        <v>1.0900000000000001</v>
      </c>
      <c r="S319" s="14" t="s">
        <v>2484</v>
      </c>
      <c r="T319" s="14">
        <v>0.57999999999999996</v>
      </c>
      <c r="U319" s="14" t="s">
        <v>1321</v>
      </c>
      <c r="V319" s="14" t="s">
        <v>1321</v>
      </c>
      <c r="W319" s="14">
        <v>1.41</v>
      </c>
      <c r="X319" s="14" t="s">
        <v>2485</v>
      </c>
      <c r="Y319" s="14">
        <v>0.08</v>
      </c>
      <c r="Z319" s="14">
        <v>0.81</v>
      </c>
      <c r="AA319" s="14" t="s">
        <v>2486</v>
      </c>
      <c r="AB319" s="14">
        <v>0.75</v>
      </c>
      <c r="AC319" s="14" t="s">
        <v>140</v>
      </c>
      <c r="AD319" s="14" t="s">
        <v>1689</v>
      </c>
    </row>
    <row r="320" spans="1:30" ht="14.25" hidden="1">
      <c r="A320" s="14" t="s">
        <v>52</v>
      </c>
      <c r="B320" s="14" t="s">
        <v>87</v>
      </c>
      <c r="C320" s="14" t="s">
        <v>74</v>
      </c>
      <c r="D320" s="14" t="s">
        <v>246</v>
      </c>
      <c r="E320" s="14" t="s">
        <v>2408</v>
      </c>
      <c r="F320" s="14"/>
      <c r="G320" s="14" t="s">
        <v>248</v>
      </c>
      <c r="H320" s="14" t="s">
        <v>79</v>
      </c>
      <c r="I320" s="14" t="s">
        <v>2681</v>
      </c>
      <c r="J320" s="14" t="s">
        <v>2488</v>
      </c>
      <c r="K320" s="14">
        <v>446696</v>
      </c>
      <c r="L320" s="14">
        <v>15</v>
      </c>
      <c r="M320" s="14">
        <v>40585</v>
      </c>
      <c r="N320" s="14">
        <v>406111</v>
      </c>
      <c r="O320" s="14" t="s">
        <v>97</v>
      </c>
      <c r="P320" s="14" t="s">
        <v>98</v>
      </c>
      <c r="Q320" s="14">
        <v>71.63</v>
      </c>
      <c r="R320" s="14">
        <v>0.99</v>
      </c>
      <c r="S320" s="14" t="s">
        <v>2489</v>
      </c>
      <c r="T320" s="14">
        <v>0.96</v>
      </c>
      <c r="U320" s="14" t="s">
        <v>1321</v>
      </c>
      <c r="V320" s="14" t="s">
        <v>1321</v>
      </c>
      <c r="W320" s="14">
        <v>0.74</v>
      </c>
      <c r="X320" s="14" t="s">
        <v>2490</v>
      </c>
      <c r="Y320" s="14">
        <v>0.11</v>
      </c>
      <c r="Z320" s="14">
        <v>0.63</v>
      </c>
      <c r="AA320" s="14" t="s">
        <v>2491</v>
      </c>
      <c r="AB320" s="14">
        <v>0.46</v>
      </c>
      <c r="AC320" s="14" t="s">
        <v>140</v>
      </c>
      <c r="AD320" s="14" t="s">
        <v>1689</v>
      </c>
    </row>
    <row r="321" spans="1:30" ht="14.25" hidden="1">
      <c r="A321" s="14" t="s">
        <v>52</v>
      </c>
      <c r="B321" s="14" t="s">
        <v>87</v>
      </c>
      <c r="C321" s="14" t="s">
        <v>74</v>
      </c>
      <c r="D321" s="14" t="s">
        <v>246</v>
      </c>
      <c r="E321" s="14" t="s">
        <v>2412</v>
      </c>
      <c r="F321" s="14"/>
      <c r="G321" s="14" t="s">
        <v>248</v>
      </c>
      <c r="H321" s="14" t="s">
        <v>79</v>
      </c>
      <c r="I321" s="14" t="s">
        <v>2682</v>
      </c>
      <c r="J321" s="14" t="s">
        <v>2488</v>
      </c>
      <c r="K321" s="14">
        <v>440328</v>
      </c>
      <c r="L321" s="14">
        <v>15</v>
      </c>
      <c r="M321" s="14">
        <v>34217</v>
      </c>
      <c r="N321" s="14">
        <v>406111</v>
      </c>
      <c r="O321" s="14" t="s">
        <v>97</v>
      </c>
      <c r="P321" s="14" t="s">
        <v>98</v>
      </c>
      <c r="Q321" s="14">
        <v>71.63</v>
      </c>
      <c r="R321" s="14">
        <v>0.96</v>
      </c>
      <c r="S321" s="14" t="s">
        <v>2493</v>
      </c>
      <c r="T321" s="14">
        <v>0.82</v>
      </c>
      <c r="U321" s="14" t="s">
        <v>1321</v>
      </c>
      <c r="V321" s="14" t="s">
        <v>1321</v>
      </c>
      <c r="W321" s="14">
        <v>0.75</v>
      </c>
      <c r="X321" s="14" t="s">
        <v>2494</v>
      </c>
      <c r="Y321" s="14">
        <v>0.18</v>
      </c>
      <c r="Z321" s="14">
        <v>0.38</v>
      </c>
      <c r="AA321" s="14" t="s">
        <v>2495</v>
      </c>
      <c r="AB321" s="14">
        <v>0.16</v>
      </c>
      <c r="AC321" s="14" t="s">
        <v>140</v>
      </c>
      <c r="AD321" s="14" t="s">
        <v>1689</v>
      </c>
    </row>
    <row r="322" spans="1:30" ht="14.25" hidden="1">
      <c r="A322" s="14" t="s">
        <v>52</v>
      </c>
      <c r="B322" s="14" t="s">
        <v>87</v>
      </c>
      <c r="C322" s="14" t="s">
        <v>74</v>
      </c>
      <c r="D322" s="14" t="s">
        <v>246</v>
      </c>
      <c r="E322" s="14" t="s">
        <v>2416</v>
      </c>
      <c r="F322" s="14"/>
      <c r="G322" s="14" t="s">
        <v>248</v>
      </c>
      <c r="H322" s="14" t="s">
        <v>79</v>
      </c>
      <c r="I322" s="14" t="s">
        <v>2683</v>
      </c>
      <c r="J322" s="14" t="s">
        <v>2497</v>
      </c>
      <c r="K322" s="14">
        <v>977323</v>
      </c>
      <c r="L322" s="14">
        <v>15</v>
      </c>
      <c r="M322" s="14">
        <v>47309</v>
      </c>
      <c r="N322" s="14">
        <v>930014</v>
      </c>
      <c r="O322" s="14" t="s">
        <v>97</v>
      </c>
      <c r="P322" s="14" t="s">
        <v>98</v>
      </c>
      <c r="Q322" s="14">
        <v>71.63</v>
      </c>
      <c r="R322" s="14">
        <v>1.38</v>
      </c>
      <c r="S322" s="14" t="s">
        <v>2498</v>
      </c>
      <c r="T322" s="14">
        <v>0.02</v>
      </c>
      <c r="U322" s="14" t="s">
        <v>1321</v>
      </c>
      <c r="V322" s="14" t="s">
        <v>1321</v>
      </c>
      <c r="W322" s="14">
        <v>1.62</v>
      </c>
      <c r="X322" s="14" t="s">
        <v>2499</v>
      </c>
      <c r="Y322" s="14">
        <v>0.01</v>
      </c>
      <c r="Z322" s="14">
        <v>1.45</v>
      </c>
      <c r="AA322" s="14" t="s">
        <v>2500</v>
      </c>
      <c r="AB322" s="14">
        <v>0.49</v>
      </c>
      <c r="AC322" s="14" t="s">
        <v>140</v>
      </c>
      <c r="AD322" s="14" t="s">
        <v>1689</v>
      </c>
    </row>
    <row r="323" spans="1:30" ht="14.25" hidden="1">
      <c r="A323" s="14" t="s">
        <v>52</v>
      </c>
      <c r="B323" s="14" t="s">
        <v>87</v>
      </c>
      <c r="C323" s="14" t="s">
        <v>74</v>
      </c>
      <c r="D323" s="14" t="s">
        <v>246</v>
      </c>
      <c r="E323" s="14" t="s">
        <v>2420</v>
      </c>
      <c r="F323" s="14"/>
      <c r="G323" s="14" t="s">
        <v>248</v>
      </c>
      <c r="H323" s="14" t="s">
        <v>79</v>
      </c>
      <c r="I323" s="14" t="s">
        <v>2684</v>
      </c>
      <c r="J323" s="14" t="s">
        <v>2502</v>
      </c>
      <c r="K323" s="14">
        <v>1030836</v>
      </c>
      <c r="L323" s="14">
        <v>15</v>
      </c>
      <c r="M323" s="14">
        <v>60662</v>
      </c>
      <c r="N323" s="14">
        <v>970174</v>
      </c>
      <c r="O323" s="14" t="s">
        <v>97</v>
      </c>
      <c r="P323" s="14" t="s">
        <v>98</v>
      </c>
      <c r="Q323" s="14">
        <v>71.63</v>
      </c>
      <c r="R323" s="14">
        <v>0.98</v>
      </c>
      <c r="S323" s="14" t="s">
        <v>2503</v>
      </c>
      <c r="T323" s="14">
        <v>0.84</v>
      </c>
      <c r="U323" s="14" t="s">
        <v>1321</v>
      </c>
      <c r="V323" s="14" t="s">
        <v>1321</v>
      </c>
      <c r="W323" s="14">
        <v>0.87</v>
      </c>
      <c r="X323" s="14" t="s">
        <v>2504</v>
      </c>
      <c r="Y323" s="14">
        <v>0.28999999999999998</v>
      </c>
      <c r="Z323" s="14">
        <v>0.83</v>
      </c>
      <c r="AA323" s="14" t="s">
        <v>2505</v>
      </c>
      <c r="AB323" s="14">
        <v>0.67</v>
      </c>
      <c r="AC323" s="14" t="s">
        <v>140</v>
      </c>
      <c r="AD323" s="14" t="s">
        <v>1689</v>
      </c>
    </row>
    <row r="324" spans="1:30" ht="14.25" hidden="1">
      <c r="A324" s="14" t="s">
        <v>52</v>
      </c>
      <c r="B324" s="14" t="s">
        <v>87</v>
      </c>
      <c r="C324" s="14" t="s">
        <v>74</v>
      </c>
      <c r="D324" s="14" t="s">
        <v>622</v>
      </c>
      <c r="E324" s="14" t="s">
        <v>2404</v>
      </c>
      <c r="F324" s="14"/>
      <c r="G324" s="14" t="s">
        <v>215</v>
      </c>
      <c r="H324" s="14" t="s">
        <v>79</v>
      </c>
      <c r="I324" s="14" t="s">
        <v>2685</v>
      </c>
      <c r="J324" s="14" t="s">
        <v>2483</v>
      </c>
      <c r="K324" s="14">
        <v>184305</v>
      </c>
      <c r="L324" s="14">
        <v>28</v>
      </c>
      <c r="M324" s="14">
        <v>60801</v>
      </c>
      <c r="N324" s="14">
        <v>123504</v>
      </c>
      <c r="O324" s="14" t="s">
        <v>97</v>
      </c>
      <c r="P324" s="14" t="s">
        <v>98</v>
      </c>
      <c r="Q324" s="14">
        <v>101.43</v>
      </c>
      <c r="R324" s="14">
        <v>0.88</v>
      </c>
      <c r="S324" s="14" t="s">
        <v>2507</v>
      </c>
      <c r="T324" s="14">
        <v>0.21</v>
      </c>
      <c r="U324" s="14" t="s">
        <v>1321</v>
      </c>
      <c r="V324" s="14" t="s">
        <v>1321</v>
      </c>
      <c r="W324" s="14">
        <v>0.82</v>
      </c>
      <c r="X324" s="14" t="s">
        <v>2508</v>
      </c>
      <c r="Y324" s="14">
        <v>0.13</v>
      </c>
      <c r="Z324" s="14">
        <v>0.83</v>
      </c>
      <c r="AA324" s="14" t="s">
        <v>2509</v>
      </c>
      <c r="AB324" s="14">
        <v>0.8</v>
      </c>
      <c r="AC324" s="14" t="s">
        <v>140</v>
      </c>
      <c r="AD324" s="14" t="s">
        <v>1689</v>
      </c>
    </row>
    <row r="325" spans="1:30" ht="14.25" hidden="1">
      <c r="A325" s="14" t="s">
        <v>52</v>
      </c>
      <c r="B325" s="14" t="s">
        <v>87</v>
      </c>
      <c r="C325" s="14" t="s">
        <v>74</v>
      </c>
      <c r="D325" s="14" t="s">
        <v>622</v>
      </c>
      <c r="E325" s="14" t="s">
        <v>2408</v>
      </c>
      <c r="F325" s="14"/>
      <c r="G325" s="14" t="s">
        <v>215</v>
      </c>
      <c r="H325" s="14" t="s">
        <v>79</v>
      </c>
      <c r="I325" s="14" t="s">
        <v>2686</v>
      </c>
      <c r="J325" s="14" t="s">
        <v>2488</v>
      </c>
      <c r="K325" s="14">
        <v>446696</v>
      </c>
      <c r="L325" s="14">
        <v>28</v>
      </c>
      <c r="M325" s="14">
        <v>40585</v>
      </c>
      <c r="N325" s="14">
        <v>406111</v>
      </c>
      <c r="O325" s="14" t="s">
        <v>97</v>
      </c>
      <c r="P325" s="14" t="s">
        <v>98</v>
      </c>
      <c r="Q325" s="14">
        <v>101.43</v>
      </c>
      <c r="R325" s="14">
        <v>0.91</v>
      </c>
      <c r="S325" s="14" t="s">
        <v>2511</v>
      </c>
      <c r="T325" s="14">
        <v>0.25</v>
      </c>
      <c r="U325" s="14" t="s">
        <v>1321</v>
      </c>
      <c r="V325" s="14" t="s">
        <v>1321</v>
      </c>
      <c r="W325" s="14">
        <v>0.91</v>
      </c>
      <c r="X325" s="14" t="s">
        <v>2512</v>
      </c>
      <c r="Y325" s="14">
        <v>0.4</v>
      </c>
      <c r="Z325" s="14">
        <v>0.61</v>
      </c>
      <c r="AA325" s="14" t="s">
        <v>2513</v>
      </c>
      <c r="AB325" s="14">
        <v>0.38</v>
      </c>
      <c r="AC325" s="14" t="s">
        <v>140</v>
      </c>
      <c r="AD325" s="14" t="s">
        <v>1689</v>
      </c>
    </row>
    <row r="326" spans="1:30" ht="14.25" hidden="1">
      <c r="A326" s="14" t="s">
        <v>52</v>
      </c>
      <c r="B326" s="14" t="s">
        <v>87</v>
      </c>
      <c r="C326" s="14" t="s">
        <v>74</v>
      </c>
      <c r="D326" s="14" t="s">
        <v>622</v>
      </c>
      <c r="E326" s="14" t="s">
        <v>2412</v>
      </c>
      <c r="F326" s="14"/>
      <c r="G326" s="14" t="s">
        <v>215</v>
      </c>
      <c r="H326" s="14" t="s">
        <v>79</v>
      </c>
      <c r="I326" s="14" t="s">
        <v>2687</v>
      </c>
      <c r="J326" s="14" t="s">
        <v>2488</v>
      </c>
      <c r="K326" s="14">
        <v>440328</v>
      </c>
      <c r="L326" s="14">
        <v>28</v>
      </c>
      <c r="M326" s="14">
        <v>34217</v>
      </c>
      <c r="N326" s="14">
        <v>406111</v>
      </c>
      <c r="O326" s="14" t="s">
        <v>97</v>
      </c>
      <c r="P326" s="14" t="s">
        <v>98</v>
      </c>
      <c r="Q326" s="14">
        <v>101.43</v>
      </c>
      <c r="R326" s="14">
        <v>0.94</v>
      </c>
      <c r="S326" s="14" t="s">
        <v>2515</v>
      </c>
      <c r="T326" s="14">
        <v>0.51</v>
      </c>
      <c r="U326" s="14" t="s">
        <v>1321</v>
      </c>
      <c r="V326" s="14" t="s">
        <v>1321</v>
      </c>
      <c r="W326" s="14">
        <v>1.1200000000000001</v>
      </c>
      <c r="X326" s="14" t="s">
        <v>2516</v>
      </c>
      <c r="Y326" s="14">
        <v>0.37</v>
      </c>
      <c r="Z326" s="14">
        <v>0.67</v>
      </c>
      <c r="AA326" s="14" t="s">
        <v>2517</v>
      </c>
      <c r="AB326" s="14">
        <v>0.52</v>
      </c>
      <c r="AC326" s="14" t="s">
        <v>140</v>
      </c>
      <c r="AD326" s="14" t="s">
        <v>1689</v>
      </c>
    </row>
    <row r="327" spans="1:30" ht="14.25" hidden="1">
      <c r="A327" s="14" t="s">
        <v>52</v>
      </c>
      <c r="B327" s="14" t="s">
        <v>87</v>
      </c>
      <c r="C327" s="14" t="s">
        <v>74</v>
      </c>
      <c r="D327" s="14" t="s">
        <v>622</v>
      </c>
      <c r="E327" s="14" t="s">
        <v>2416</v>
      </c>
      <c r="F327" s="14"/>
      <c r="G327" s="14" t="s">
        <v>215</v>
      </c>
      <c r="H327" s="14" t="s">
        <v>79</v>
      </c>
      <c r="I327" s="14" t="s">
        <v>2688</v>
      </c>
      <c r="J327" s="14" t="s">
        <v>2497</v>
      </c>
      <c r="K327" s="14">
        <v>977323</v>
      </c>
      <c r="L327" s="14">
        <v>28</v>
      </c>
      <c r="M327" s="14">
        <v>47309</v>
      </c>
      <c r="N327" s="14">
        <v>930014</v>
      </c>
      <c r="O327" s="14" t="s">
        <v>97</v>
      </c>
      <c r="P327" s="14" t="s">
        <v>98</v>
      </c>
      <c r="Q327" s="14">
        <v>101.43</v>
      </c>
      <c r="R327" s="14">
        <v>1.0900000000000001</v>
      </c>
      <c r="S327" s="14" t="s">
        <v>2519</v>
      </c>
      <c r="T327" s="14">
        <v>0.25</v>
      </c>
      <c r="U327" s="14" t="s">
        <v>1321</v>
      </c>
      <c r="V327" s="14" t="s">
        <v>1321</v>
      </c>
      <c r="W327" s="14">
        <v>1.1000000000000001</v>
      </c>
      <c r="X327" s="14" t="s">
        <v>2520</v>
      </c>
      <c r="Y327" s="14">
        <v>0.34</v>
      </c>
      <c r="Z327" s="14">
        <v>0.79</v>
      </c>
      <c r="AA327" s="14" t="s">
        <v>2521</v>
      </c>
      <c r="AB327" s="14">
        <v>0.65</v>
      </c>
      <c r="AC327" s="14" t="s">
        <v>140</v>
      </c>
      <c r="AD327" s="14" t="s">
        <v>1689</v>
      </c>
    </row>
    <row r="328" spans="1:30" ht="14.25" hidden="1">
      <c r="A328" s="14" t="s">
        <v>52</v>
      </c>
      <c r="B328" s="14" t="s">
        <v>87</v>
      </c>
      <c r="C328" s="14" t="s">
        <v>74</v>
      </c>
      <c r="D328" s="14" t="s">
        <v>622</v>
      </c>
      <c r="E328" s="14" t="s">
        <v>2420</v>
      </c>
      <c r="F328" s="14"/>
      <c r="G328" s="14" t="s">
        <v>215</v>
      </c>
      <c r="H328" s="14" t="s">
        <v>79</v>
      </c>
      <c r="I328" s="14" t="s">
        <v>2689</v>
      </c>
      <c r="J328" s="14" t="s">
        <v>2523</v>
      </c>
      <c r="K328" s="14">
        <v>1030836</v>
      </c>
      <c r="L328" s="14">
        <v>28</v>
      </c>
      <c r="M328" s="14">
        <v>60662</v>
      </c>
      <c r="N328" s="14">
        <v>970174</v>
      </c>
      <c r="O328" s="14" t="s">
        <v>97</v>
      </c>
      <c r="P328" s="14" t="s">
        <v>98</v>
      </c>
      <c r="Q328" s="14">
        <v>101.43</v>
      </c>
      <c r="R328" s="14">
        <v>1.03</v>
      </c>
      <c r="S328" s="14" t="s">
        <v>2524</v>
      </c>
      <c r="T328" s="14">
        <v>0.78</v>
      </c>
      <c r="U328" s="14" t="s">
        <v>1321</v>
      </c>
      <c r="V328" s="14" t="s">
        <v>1321</v>
      </c>
      <c r="W328" s="14">
        <v>1.26</v>
      </c>
      <c r="X328" s="14" t="s">
        <v>2525</v>
      </c>
      <c r="Y328" s="14">
        <v>0.04</v>
      </c>
      <c r="Z328" s="14">
        <v>0.76</v>
      </c>
      <c r="AA328" s="14" t="s">
        <v>2526</v>
      </c>
      <c r="AB328" s="14">
        <v>0.72</v>
      </c>
      <c r="AC328" s="14" t="s">
        <v>140</v>
      </c>
      <c r="AD328" s="14" t="s">
        <v>1689</v>
      </c>
    </row>
    <row r="329" spans="1:30" ht="14.25" hidden="1">
      <c r="A329" s="38" t="s">
        <v>70</v>
      </c>
      <c r="B329" s="82" t="s">
        <v>177</v>
      </c>
      <c r="C329" s="41" t="s">
        <v>74</v>
      </c>
      <c r="D329" s="82" t="s">
        <v>246</v>
      </c>
      <c r="E329" s="41" t="s">
        <v>2056</v>
      </c>
      <c r="F329" s="41"/>
      <c r="G329" s="41" t="s">
        <v>248</v>
      </c>
      <c r="H329" s="41" t="s">
        <v>2058</v>
      </c>
      <c r="I329" s="41" t="s">
        <v>133</v>
      </c>
      <c r="J329" s="41" t="s">
        <v>2059</v>
      </c>
      <c r="K329" s="41" t="s">
        <v>79</v>
      </c>
      <c r="L329" s="41" t="s">
        <v>79</v>
      </c>
      <c r="M329" s="130">
        <v>3751</v>
      </c>
      <c r="N329" s="130">
        <v>372016</v>
      </c>
      <c r="O329" s="41" t="s">
        <v>79</v>
      </c>
      <c r="P329" s="41" t="s">
        <v>98</v>
      </c>
      <c r="Q329" s="41" t="s">
        <v>79</v>
      </c>
      <c r="R329" s="130">
        <v>1.0009999999999999</v>
      </c>
      <c r="S329" s="41" t="s">
        <v>2527</v>
      </c>
      <c r="T329" s="41">
        <v>0.82899999999999996</v>
      </c>
      <c r="U329" s="41" t="s">
        <v>79</v>
      </c>
      <c r="V329" s="41" t="s">
        <v>79</v>
      </c>
      <c r="W329" s="41" t="s">
        <v>79</v>
      </c>
      <c r="X329" s="41" t="s">
        <v>79</v>
      </c>
      <c r="Y329" s="41" t="s">
        <v>79</v>
      </c>
      <c r="Z329" s="41" t="s">
        <v>79</v>
      </c>
      <c r="AA329" s="41" t="s">
        <v>79</v>
      </c>
      <c r="AB329" s="41" t="s">
        <v>79</v>
      </c>
      <c r="AC329" s="41" t="s">
        <v>109</v>
      </c>
      <c r="AD329" s="41" t="s">
        <v>204</v>
      </c>
    </row>
    <row r="330" spans="1:30" ht="14.25" hidden="1">
      <c r="A330" s="38" t="s">
        <v>70</v>
      </c>
      <c r="B330" s="82" t="s">
        <v>177</v>
      </c>
      <c r="C330" s="41" t="s">
        <v>74</v>
      </c>
      <c r="D330" s="82" t="s">
        <v>459</v>
      </c>
      <c r="E330" s="41" t="s">
        <v>2056</v>
      </c>
      <c r="F330" s="41"/>
      <c r="G330" s="41" t="s">
        <v>2528</v>
      </c>
      <c r="H330" s="41" t="s">
        <v>2058</v>
      </c>
      <c r="I330" s="41" t="s">
        <v>133</v>
      </c>
      <c r="J330" s="41" t="s">
        <v>2059</v>
      </c>
      <c r="K330" s="41" t="s">
        <v>79</v>
      </c>
      <c r="L330" s="41" t="s">
        <v>79</v>
      </c>
      <c r="M330" s="130">
        <v>3751</v>
      </c>
      <c r="N330" s="130">
        <v>372016</v>
      </c>
      <c r="O330" s="41" t="s">
        <v>79</v>
      </c>
      <c r="P330" s="41" t="s">
        <v>98</v>
      </c>
      <c r="Q330" s="41" t="s">
        <v>79</v>
      </c>
      <c r="R330" s="41">
        <v>0.996</v>
      </c>
      <c r="S330" s="41" t="s">
        <v>2529</v>
      </c>
      <c r="T330" s="41">
        <v>0.53500000000000003</v>
      </c>
      <c r="U330" s="41" t="s">
        <v>79</v>
      </c>
      <c r="V330" s="41" t="s">
        <v>79</v>
      </c>
      <c r="W330" s="41" t="s">
        <v>79</v>
      </c>
      <c r="X330" s="41" t="s">
        <v>79</v>
      </c>
      <c r="Y330" s="41" t="s">
        <v>79</v>
      </c>
      <c r="Z330" s="41" t="s">
        <v>79</v>
      </c>
      <c r="AA330" s="41" t="s">
        <v>79</v>
      </c>
      <c r="AB330" s="41" t="s">
        <v>79</v>
      </c>
      <c r="AC330" s="41" t="s">
        <v>109</v>
      </c>
      <c r="AD330" s="41" t="s">
        <v>204</v>
      </c>
    </row>
    <row r="331" spans="1:30" ht="14.25" hidden="1">
      <c r="A331" s="38" t="s">
        <v>70</v>
      </c>
      <c r="B331" s="41" t="s">
        <v>93</v>
      </c>
      <c r="C331" s="29" t="s">
        <v>74</v>
      </c>
      <c r="D331" s="41" t="s">
        <v>75</v>
      </c>
      <c r="E331" s="41" t="s">
        <v>1037</v>
      </c>
      <c r="F331" s="41"/>
      <c r="G331" s="41" t="s">
        <v>113</v>
      </c>
      <c r="H331" s="63" t="s">
        <v>1038</v>
      </c>
      <c r="I331" s="41" t="s">
        <v>133</v>
      </c>
      <c r="J331" s="41" t="s">
        <v>834</v>
      </c>
      <c r="K331" s="64">
        <v>24108</v>
      </c>
      <c r="L331" s="41">
        <v>34</v>
      </c>
      <c r="M331" s="64">
        <v>2664</v>
      </c>
      <c r="N331" s="64">
        <f>K331-M331</f>
        <v>21444</v>
      </c>
      <c r="O331" s="41" t="s">
        <v>79</v>
      </c>
      <c r="P331" s="29" t="s">
        <v>98</v>
      </c>
      <c r="Q331" s="41" t="s">
        <v>79</v>
      </c>
      <c r="R331" s="41">
        <v>0.88400000000000001</v>
      </c>
      <c r="S331" s="41" t="s">
        <v>1079</v>
      </c>
      <c r="T331" s="41">
        <v>0.84699999999999998</v>
      </c>
      <c r="U331" s="41">
        <v>39.194000000000003</v>
      </c>
      <c r="V331" s="41">
        <v>0.21199999999999999</v>
      </c>
      <c r="W331" s="41">
        <v>2.0449999999999999</v>
      </c>
      <c r="X331" s="41" t="s">
        <v>1083</v>
      </c>
      <c r="Y331" s="41">
        <v>0.45300000000000001</v>
      </c>
      <c r="Z331" s="41">
        <v>15.477</v>
      </c>
      <c r="AA331" s="41" t="s">
        <v>1084</v>
      </c>
      <c r="AB331" s="41">
        <v>0.31</v>
      </c>
      <c r="AC331" s="41" t="s">
        <v>140</v>
      </c>
      <c r="AD331" s="41" t="s">
        <v>204</v>
      </c>
    </row>
    <row r="332" spans="1:30" ht="14.25" hidden="1">
      <c r="A332" s="38" t="s">
        <v>70</v>
      </c>
      <c r="B332" s="82" t="s">
        <v>177</v>
      </c>
      <c r="C332" s="41" t="s">
        <v>74</v>
      </c>
      <c r="D332" s="82" t="s">
        <v>164</v>
      </c>
      <c r="E332" s="41" t="s">
        <v>2056</v>
      </c>
      <c r="F332" s="41"/>
      <c r="G332" s="41" t="s">
        <v>2530</v>
      </c>
      <c r="H332" s="41" t="s">
        <v>2058</v>
      </c>
      <c r="I332" s="41" t="s">
        <v>133</v>
      </c>
      <c r="J332" s="41" t="s">
        <v>2059</v>
      </c>
      <c r="K332" s="41" t="s">
        <v>79</v>
      </c>
      <c r="L332" s="41" t="s">
        <v>79</v>
      </c>
      <c r="M332" s="130">
        <v>3751</v>
      </c>
      <c r="N332" s="130">
        <v>372016</v>
      </c>
      <c r="O332" s="41" t="s">
        <v>79</v>
      </c>
      <c r="P332" s="41" t="s">
        <v>98</v>
      </c>
      <c r="Q332" s="41" t="s">
        <v>79</v>
      </c>
      <c r="R332" s="130">
        <v>1.0049999999999999</v>
      </c>
      <c r="S332" s="41" t="s">
        <v>2531</v>
      </c>
      <c r="T332" s="41">
        <v>0.13</v>
      </c>
      <c r="U332" s="41" t="s">
        <v>79</v>
      </c>
      <c r="V332" s="41" t="s">
        <v>79</v>
      </c>
      <c r="W332" s="41" t="s">
        <v>79</v>
      </c>
      <c r="X332" s="41" t="s">
        <v>79</v>
      </c>
      <c r="Y332" s="41" t="s">
        <v>79</v>
      </c>
      <c r="Z332" s="41" t="s">
        <v>79</v>
      </c>
      <c r="AA332" s="41" t="s">
        <v>79</v>
      </c>
      <c r="AB332" s="41" t="s">
        <v>79</v>
      </c>
      <c r="AC332" s="41" t="s">
        <v>109</v>
      </c>
      <c r="AD332" s="41" t="s">
        <v>204</v>
      </c>
    </row>
    <row r="333" spans="1:30" ht="14.25" hidden="1">
      <c r="A333" s="38" t="s">
        <v>70</v>
      </c>
      <c r="B333" s="82" t="s">
        <v>177</v>
      </c>
      <c r="C333" s="41" t="s">
        <v>74</v>
      </c>
      <c r="D333" s="82" t="s">
        <v>246</v>
      </c>
      <c r="E333" s="41" t="s">
        <v>2296</v>
      </c>
      <c r="F333" s="41"/>
      <c r="G333" s="41" t="s">
        <v>248</v>
      </c>
      <c r="H333" s="41" t="s">
        <v>2297</v>
      </c>
      <c r="I333" s="41" t="s">
        <v>133</v>
      </c>
      <c r="J333" s="41" t="s">
        <v>2059</v>
      </c>
      <c r="K333" s="41" t="s">
        <v>79</v>
      </c>
      <c r="L333" s="41" t="s">
        <v>79</v>
      </c>
      <c r="M333" s="130">
        <v>23694</v>
      </c>
      <c r="N333" s="130">
        <v>372016</v>
      </c>
      <c r="O333" s="41" t="s">
        <v>79</v>
      </c>
      <c r="P333" s="41" t="s">
        <v>98</v>
      </c>
      <c r="Q333" s="41" t="s">
        <v>79</v>
      </c>
      <c r="R333" s="130">
        <v>1.002</v>
      </c>
      <c r="S333" s="41" t="s">
        <v>2532</v>
      </c>
      <c r="T333" s="41">
        <v>0.91</v>
      </c>
      <c r="U333" s="41" t="s">
        <v>79</v>
      </c>
      <c r="V333" s="41" t="s">
        <v>79</v>
      </c>
      <c r="W333" s="41" t="s">
        <v>79</v>
      </c>
      <c r="X333" s="41" t="s">
        <v>79</v>
      </c>
      <c r="Y333" s="41" t="s">
        <v>79</v>
      </c>
      <c r="Z333" s="41" t="s">
        <v>79</v>
      </c>
      <c r="AA333" s="41" t="s">
        <v>79</v>
      </c>
      <c r="AB333" s="41" t="s">
        <v>79</v>
      </c>
      <c r="AC333" s="41" t="s">
        <v>109</v>
      </c>
      <c r="AD333" s="41" t="s">
        <v>204</v>
      </c>
    </row>
    <row r="334" spans="1:30" ht="14.25" hidden="1">
      <c r="A334" s="38" t="s">
        <v>70</v>
      </c>
      <c r="B334" s="82" t="s">
        <v>177</v>
      </c>
      <c r="C334" s="41" t="s">
        <v>74</v>
      </c>
      <c r="D334" s="82" t="s">
        <v>459</v>
      </c>
      <c r="E334" s="41" t="s">
        <v>2296</v>
      </c>
      <c r="F334" s="41"/>
      <c r="G334" s="41" t="s">
        <v>2528</v>
      </c>
      <c r="H334" s="41" t="s">
        <v>2297</v>
      </c>
      <c r="I334" s="41" t="s">
        <v>133</v>
      </c>
      <c r="J334" s="41" t="s">
        <v>2059</v>
      </c>
      <c r="K334" s="41" t="s">
        <v>79</v>
      </c>
      <c r="L334" s="41" t="s">
        <v>79</v>
      </c>
      <c r="M334" s="130">
        <v>23694</v>
      </c>
      <c r="N334" s="130">
        <v>372016</v>
      </c>
      <c r="O334" s="41" t="s">
        <v>79</v>
      </c>
      <c r="P334" s="41" t="s">
        <v>98</v>
      </c>
      <c r="Q334" s="41" t="s">
        <v>79</v>
      </c>
      <c r="R334" s="41">
        <v>0.95199999999999996</v>
      </c>
      <c r="S334" s="41" t="s">
        <v>2533</v>
      </c>
      <c r="T334" s="41">
        <v>7.0000000000000001E-3</v>
      </c>
      <c r="U334" s="41" t="s">
        <v>79</v>
      </c>
      <c r="V334" s="41" t="s">
        <v>79</v>
      </c>
      <c r="W334" s="41" t="s">
        <v>79</v>
      </c>
      <c r="X334" s="41" t="s">
        <v>79</v>
      </c>
      <c r="Y334" s="41" t="s">
        <v>79</v>
      </c>
      <c r="Z334" s="41" t="s">
        <v>79</v>
      </c>
      <c r="AA334" s="41" t="s">
        <v>79</v>
      </c>
      <c r="AB334" s="41" t="s">
        <v>79</v>
      </c>
      <c r="AC334" s="41" t="s">
        <v>109</v>
      </c>
      <c r="AD334" s="41" t="s">
        <v>204</v>
      </c>
    </row>
    <row r="335" spans="1:30" ht="14.25" hidden="1">
      <c r="A335" s="23" t="s">
        <v>52</v>
      </c>
      <c r="B335" s="23" t="s">
        <v>84</v>
      </c>
      <c r="C335" s="23" t="s">
        <v>74</v>
      </c>
      <c r="D335" s="23" t="s">
        <v>75</v>
      </c>
      <c r="E335" s="14" t="s">
        <v>2250</v>
      </c>
      <c r="F335" s="23"/>
      <c r="G335" s="23" t="s">
        <v>113</v>
      </c>
      <c r="H335" s="14" t="s">
        <v>2251</v>
      </c>
      <c r="I335" s="23" t="s">
        <v>133</v>
      </c>
      <c r="J335" s="14" t="s">
        <v>1321</v>
      </c>
      <c r="K335" s="14">
        <f>SUM(M335:N335)</f>
        <v>18313</v>
      </c>
      <c r="L335" s="23">
        <v>50</v>
      </c>
      <c r="M335" s="14">
        <v>3275</v>
      </c>
      <c r="N335" s="14">
        <v>15038</v>
      </c>
      <c r="O335" s="23" t="s">
        <v>97</v>
      </c>
      <c r="P335" s="23" t="s">
        <v>98</v>
      </c>
      <c r="Q335" s="14" t="s">
        <v>79</v>
      </c>
      <c r="R335" s="23">
        <v>0.48780000000000001</v>
      </c>
      <c r="S335" s="23" t="s">
        <v>2329</v>
      </c>
      <c r="T335" s="23">
        <v>0.21629999999999999</v>
      </c>
      <c r="U335" s="23">
        <v>76.017499999999998</v>
      </c>
      <c r="V335" s="23">
        <v>6.1000000000000004E-3</v>
      </c>
      <c r="W335" s="23">
        <v>0.96509999999999996</v>
      </c>
      <c r="X335" s="23" t="s">
        <v>2330</v>
      </c>
      <c r="Y335" s="23">
        <v>0.96020000000000005</v>
      </c>
      <c r="Z335" s="14" t="s">
        <v>62</v>
      </c>
      <c r="AA335" s="14" t="s">
        <v>62</v>
      </c>
      <c r="AB335" s="14" t="s">
        <v>62</v>
      </c>
      <c r="AC335" s="23" t="s">
        <v>140</v>
      </c>
      <c r="AD335" s="23" t="s">
        <v>204</v>
      </c>
    </row>
    <row r="336" spans="1:30" ht="14.25" hidden="1">
      <c r="A336" s="38" t="s">
        <v>70</v>
      </c>
      <c r="B336" s="82" t="s">
        <v>177</v>
      </c>
      <c r="C336" s="41" t="s">
        <v>74</v>
      </c>
      <c r="D336" s="82" t="s">
        <v>164</v>
      </c>
      <c r="E336" s="41" t="s">
        <v>2296</v>
      </c>
      <c r="F336" s="41"/>
      <c r="G336" s="41" t="s">
        <v>2530</v>
      </c>
      <c r="H336" s="41" t="s">
        <v>2297</v>
      </c>
      <c r="I336" s="41" t="s">
        <v>133</v>
      </c>
      <c r="J336" s="41" t="s">
        <v>2059</v>
      </c>
      <c r="K336" s="41" t="s">
        <v>79</v>
      </c>
      <c r="L336" s="41" t="s">
        <v>79</v>
      </c>
      <c r="M336" s="130">
        <v>23694</v>
      </c>
      <c r="N336" s="130">
        <v>372016</v>
      </c>
      <c r="O336" s="41" t="s">
        <v>79</v>
      </c>
      <c r="P336" s="41" t="s">
        <v>98</v>
      </c>
      <c r="Q336" s="41" t="s">
        <v>79</v>
      </c>
      <c r="R336" s="130">
        <v>1.0109999999999999</v>
      </c>
      <c r="S336" s="41" t="s">
        <v>2534</v>
      </c>
      <c r="T336" s="41">
        <v>0.26700000000000002</v>
      </c>
      <c r="U336" s="41" t="s">
        <v>79</v>
      </c>
      <c r="V336" s="41" t="s">
        <v>79</v>
      </c>
      <c r="W336" s="41" t="s">
        <v>79</v>
      </c>
      <c r="X336" s="41" t="s">
        <v>79</v>
      </c>
      <c r="Y336" s="41" t="s">
        <v>79</v>
      </c>
      <c r="Z336" s="41" t="s">
        <v>79</v>
      </c>
      <c r="AA336" s="41" t="s">
        <v>79</v>
      </c>
      <c r="AB336" s="41" t="s">
        <v>79</v>
      </c>
      <c r="AC336" s="41" t="s">
        <v>109</v>
      </c>
      <c r="AD336" s="41" t="s">
        <v>204</v>
      </c>
    </row>
    <row r="337" spans="1:30" ht="14.25" hidden="1">
      <c r="A337" s="38" t="s">
        <v>70</v>
      </c>
      <c r="B337" s="41" t="s">
        <v>93</v>
      </c>
      <c r="C337" s="29" t="s">
        <v>74</v>
      </c>
      <c r="D337" s="41" t="s">
        <v>75</v>
      </c>
      <c r="E337" s="41" t="s">
        <v>977</v>
      </c>
      <c r="F337" s="41"/>
      <c r="G337" s="41" t="s">
        <v>113</v>
      </c>
      <c r="H337" s="63" t="s">
        <v>867</v>
      </c>
      <c r="I337" s="41" t="s">
        <v>133</v>
      </c>
      <c r="J337" s="41" t="s">
        <v>834</v>
      </c>
      <c r="K337" s="64">
        <v>63053</v>
      </c>
      <c r="L337" s="41">
        <v>34</v>
      </c>
      <c r="M337" s="64">
        <v>7426</v>
      </c>
      <c r="N337" s="64">
        <f>K337-M337</f>
        <v>55627</v>
      </c>
      <c r="O337" s="41" t="s">
        <v>79</v>
      </c>
      <c r="P337" s="29" t="s">
        <v>98</v>
      </c>
      <c r="Q337" s="41" t="s">
        <v>79</v>
      </c>
      <c r="R337" s="41">
        <v>0.49399999999999999</v>
      </c>
      <c r="S337" s="41" t="s">
        <v>1052</v>
      </c>
      <c r="T337" s="41">
        <v>8.4000000000000005E-2</v>
      </c>
      <c r="U337" s="41">
        <v>37.911000000000001</v>
      </c>
      <c r="V337" s="41">
        <v>0.255</v>
      </c>
      <c r="W337" s="41">
        <v>0.81299999999999994</v>
      </c>
      <c r="X337" s="41" t="s">
        <v>1053</v>
      </c>
      <c r="Y337" s="41">
        <v>0.73399999999999999</v>
      </c>
      <c r="Z337" s="41">
        <v>2.609</v>
      </c>
      <c r="AA337" s="41" t="s">
        <v>1054</v>
      </c>
      <c r="AB337" s="41">
        <v>0.56599999999999995</v>
      </c>
      <c r="AC337" s="41" t="s">
        <v>140</v>
      </c>
      <c r="AD337" s="41" t="s">
        <v>204</v>
      </c>
    </row>
    <row r="338" spans="1:30" ht="14.25" hidden="1">
      <c r="A338" s="23" t="s">
        <v>70</v>
      </c>
      <c r="B338" s="150" t="s">
        <v>186</v>
      </c>
      <c r="C338" s="151" t="s">
        <v>74</v>
      </c>
      <c r="D338" s="150" t="s">
        <v>622</v>
      </c>
      <c r="E338" s="151" t="s">
        <v>652</v>
      </c>
      <c r="F338" s="141"/>
      <c r="G338" s="141"/>
      <c r="H338" s="141"/>
      <c r="I338" s="151" t="s">
        <v>133</v>
      </c>
      <c r="J338" s="151" t="s">
        <v>218</v>
      </c>
      <c r="K338" s="141" t="s">
        <v>79</v>
      </c>
      <c r="L338" s="141" t="s">
        <v>79</v>
      </c>
      <c r="M338" s="143">
        <v>350</v>
      </c>
      <c r="N338" s="143">
        <v>212952</v>
      </c>
      <c r="O338" s="141" t="s">
        <v>79</v>
      </c>
      <c r="P338" s="141" t="s">
        <v>98</v>
      </c>
      <c r="Q338" s="141" t="s">
        <v>79</v>
      </c>
      <c r="R338" s="141">
        <v>7.73</v>
      </c>
      <c r="S338" s="151" t="s">
        <v>2537</v>
      </c>
      <c r="T338" s="151">
        <v>0.36799999999999999</v>
      </c>
      <c r="U338" s="141" t="s">
        <v>79</v>
      </c>
      <c r="V338" s="141" t="s">
        <v>79</v>
      </c>
      <c r="W338" s="141" t="s">
        <v>79</v>
      </c>
      <c r="X338" s="141" t="s">
        <v>79</v>
      </c>
      <c r="Y338" s="141" t="s">
        <v>79</v>
      </c>
      <c r="Z338" s="141" t="s">
        <v>79</v>
      </c>
      <c r="AA338" s="141" t="s">
        <v>79</v>
      </c>
      <c r="AB338" s="141" t="s">
        <v>79</v>
      </c>
      <c r="AC338" s="141" t="s">
        <v>1754</v>
      </c>
      <c r="AD338" s="141" t="s">
        <v>145</v>
      </c>
    </row>
    <row r="339" spans="1:30" ht="14.25" hidden="1">
      <c r="A339" s="23" t="s">
        <v>70</v>
      </c>
      <c r="B339" s="150" t="s">
        <v>186</v>
      </c>
      <c r="C339" s="141" t="s">
        <v>74</v>
      </c>
      <c r="D339" s="150" t="s">
        <v>246</v>
      </c>
      <c r="E339" s="151" t="s">
        <v>652</v>
      </c>
      <c r="F339" s="141"/>
      <c r="G339" s="141"/>
      <c r="H339" s="141"/>
      <c r="I339" s="151" t="s">
        <v>133</v>
      </c>
      <c r="J339" s="151" t="s">
        <v>218</v>
      </c>
      <c r="K339" s="141" t="s">
        <v>79</v>
      </c>
      <c r="L339" s="141" t="s">
        <v>79</v>
      </c>
      <c r="M339" s="143">
        <v>350</v>
      </c>
      <c r="N339" s="143">
        <v>212952</v>
      </c>
      <c r="O339" s="141" t="s">
        <v>79</v>
      </c>
      <c r="P339" s="141" t="s">
        <v>98</v>
      </c>
      <c r="Q339" s="141" t="s">
        <v>79</v>
      </c>
      <c r="R339" s="141">
        <v>95.12</v>
      </c>
      <c r="S339" s="151" t="s">
        <v>2538</v>
      </c>
      <c r="T339" s="151">
        <v>1.9E-2</v>
      </c>
      <c r="U339" s="141" t="s">
        <v>79</v>
      </c>
      <c r="V339" s="141" t="s">
        <v>79</v>
      </c>
      <c r="W339" s="141" t="s">
        <v>79</v>
      </c>
      <c r="X339" s="141" t="s">
        <v>79</v>
      </c>
      <c r="Y339" s="141" t="s">
        <v>79</v>
      </c>
      <c r="Z339" s="141" t="s">
        <v>79</v>
      </c>
      <c r="AA339" s="141" t="s">
        <v>79</v>
      </c>
      <c r="AB339" s="141" t="s">
        <v>79</v>
      </c>
      <c r="AC339" s="141" t="s">
        <v>1754</v>
      </c>
      <c r="AD339" s="141" t="s">
        <v>145</v>
      </c>
    </row>
    <row r="340" spans="1:30" ht="14.25" hidden="1">
      <c r="A340" s="38" t="s">
        <v>70</v>
      </c>
      <c r="B340" s="82" t="s">
        <v>196</v>
      </c>
      <c r="C340" s="22" t="s">
        <v>74</v>
      </c>
      <c r="D340" s="22" t="s">
        <v>246</v>
      </c>
      <c r="E340" s="22" t="s">
        <v>1781</v>
      </c>
      <c r="F340" s="22"/>
      <c r="G340" s="22" t="s">
        <v>248</v>
      </c>
      <c r="H340" s="22" t="s">
        <v>1779</v>
      </c>
      <c r="I340" s="22" t="s">
        <v>1414</v>
      </c>
      <c r="J340" s="22" t="s">
        <v>218</v>
      </c>
      <c r="K340" s="22" t="s">
        <v>79</v>
      </c>
      <c r="L340" s="118">
        <v>9</v>
      </c>
      <c r="M340" s="118">
        <v>26122</v>
      </c>
      <c r="N340" s="118">
        <v>461431</v>
      </c>
      <c r="O340" s="22" t="s">
        <v>79</v>
      </c>
      <c r="P340" s="22" t="s">
        <v>98</v>
      </c>
      <c r="Q340" s="22" t="s">
        <v>79</v>
      </c>
      <c r="R340" s="22">
        <v>0.84</v>
      </c>
      <c r="S340" s="22" t="s">
        <v>2539</v>
      </c>
      <c r="T340" s="22">
        <v>0.57899999999999996</v>
      </c>
      <c r="U340" s="22" t="s">
        <v>79</v>
      </c>
      <c r="V340" s="22" t="s">
        <v>79</v>
      </c>
      <c r="W340" s="22">
        <v>0.73099999999999998</v>
      </c>
      <c r="X340" s="22" t="s">
        <v>2540</v>
      </c>
      <c r="Y340" s="22">
        <v>0.43099999999999999</v>
      </c>
      <c r="Z340" s="22">
        <v>3.0000000000000001E-3</v>
      </c>
      <c r="AA340" s="22" t="s">
        <v>2541</v>
      </c>
      <c r="AB340" s="22">
        <v>0.14899999999999999</v>
      </c>
      <c r="AC340" s="22" t="s">
        <v>1754</v>
      </c>
      <c r="AD340" s="22" t="s">
        <v>385</v>
      </c>
    </row>
    <row r="341" spans="1:30" ht="14.25" hidden="1">
      <c r="A341" s="38" t="s">
        <v>70</v>
      </c>
      <c r="B341" s="82" t="s">
        <v>196</v>
      </c>
      <c r="C341" s="22" t="s">
        <v>74</v>
      </c>
      <c r="D341" s="22" t="s">
        <v>459</v>
      </c>
      <c r="E341" s="22" t="s">
        <v>1781</v>
      </c>
      <c r="F341" s="22"/>
      <c r="G341" s="22" t="s">
        <v>215</v>
      </c>
      <c r="H341" s="152" t="s">
        <v>1779</v>
      </c>
      <c r="I341" s="22" t="s">
        <v>1414</v>
      </c>
      <c r="J341" s="22" t="s">
        <v>218</v>
      </c>
      <c r="K341" s="22" t="s">
        <v>79</v>
      </c>
      <c r="L341" s="118">
        <v>15</v>
      </c>
      <c r="M341" s="118">
        <v>26122</v>
      </c>
      <c r="N341" s="118">
        <v>461431</v>
      </c>
      <c r="O341" s="22" t="s">
        <v>79</v>
      </c>
      <c r="P341" s="22" t="s">
        <v>98</v>
      </c>
      <c r="Q341" s="22" t="s">
        <v>79</v>
      </c>
      <c r="R341" s="22">
        <v>1.26</v>
      </c>
      <c r="S341" s="22" t="s">
        <v>2542</v>
      </c>
      <c r="T341" s="22">
        <v>0.42099999999999999</v>
      </c>
      <c r="U341" s="22" t="s">
        <v>79</v>
      </c>
      <c r="V341" s="22" t="s">
        <v>79</v>
      </c>
      <c r="W341" s="22">
        <v>1.87</v>
      </c>
      <c r="X341" s="22" t="s">
        <v>2543</v>
      </c>
      <c r="Y341" s="22">
        <v>0.112</v>
      </c>
      <c r="Z341" s="22">
        <v>0.91400000000000003</v>
      </c>
      <c r="AA341" s="22" t="s">
        <v>2544</v>
      </c>
      <c r="AB341" s="22">
        <v>0.94699999999999995</v>
      </c>
      <c r="AC341" s="22" t="s">
        <v>1754</v>
      </c>
      <c r="AD341" s="22" t="s">
        <v>385</v>
      </c>
    </row>
    <row r="342" spans="1:30" ht="14.25" hidden="1">
      <c r="A342" s="23" t="s">
        <v>70</v>
      </c>
      <c r="B342" s="150" t="s">
        <v>186</v>
      </c>
      <c r="C342" s="141" t="s">
        <v>74</v>
      </c>
      <c r="D342" s="141" t="s">
        <v>75</v>
      </c>
      <c r="E342" s="141" t="s">
        <v>652</v>
      </c>
      <c r="F342" s="141"/>
      <c r="G342" s="141"/>
      <c r="H342" s="141"/>
      <c r="I342" s="141" t="s">
        <v>133</v>
      </c>
      <c r="J342" s="141" t="s">
        <v>218</v>
      </c>
      <c r="K342" s="141" t="s">
        <v>79</v>
      </c>
      <c r="L342" s="141" t="s">
        <v>79</v>
      </c>
      <c r="M342" s="143">
        <v>350</v>
      </c>
      <c r="N342" s="143">
        <v>212952</v>
      </c>
      <c r="O342" s="141" t="s">
        <v>79</v>
      </c>
      <c r="P342" s="141" t="s">
        <v>98</v>
      </c>
      <c r="Q342" s="141" t="s">
        <v>79</v>
      </c>
      <c r="R342" s="141">
        <v>1.96</v>
      </c>
      <c r="S342" s="141" t="s">
        <v>2536</v>
      </c>
      <c r="T342" s="141">
        <v>0.59599999999999997</v>
      </c>
      <c r="U342" s="141" t="s">
        <v>79</v>
      </c>
      <c r="V342" s="141" t="s">
        <v>79</v>
      </c>
      <c r="W342" s="141" t="s">
        <v>79</v>
      </c>
      <c r="X342" s="141" t="s">
        <v>79</v>
      </c>
      <c r="Y342" s="141" t="s">
        <v>79</v>
      </c>
      <c r="Z342" s="141" t="s">
        <v>79</v>
      </c>
      <c r="AA342" s="141" t="s">
        <v>79</v>
      </c>
      <c r="AB342" s="141" t="s">
        <v>79</v>
      </c>
      <c r="AC342" s="141" t="s">
        <v>1754</v>
      </c>
      <c r="AD342" s="141" t="s">
        <v>145</v>
      </c>
    </row>
    <row r="343" spans="1:30" ht="14.25" hidden="1">
      <c r="A343" s="38" t="s">
        <v>70</v>
      </c>
      <c r="B343" s="82" t="s">
        <v>196</v>
      </c>
      <c r="C343" s="22" t="s">
        <v>74</v>
      </c>
      <c r="D343" s="22" t="s">
        <v>164</v>
      </c>
      <c r="E343" s="22" t="s">
        <v>1781</v>
      </c>
      <c r="F343" s="22"/>
      <c r="G343" s="22" t="s">
        <v>165</v>
      </c>
      <c r="H343" s="152" t="s">
        <v>1779</v>
      </c>
      <c r="I343" s="22" t="s">
        <v>1414</v>
      </c>
      <c r="J343" s="22" t="s">
        <v>218</v>
      </c>
      <c r="K343" s="22" t="s">
        <v>79</v>
      </c>
      <c r="L343" s="118">
        <v>32</v>
      </c>
      <c r="M343" s="118">
        <v>26122</v>
      </c>
      <c r="N343" s="118">
        <v>461431</v>
      </c>
      <c r="O343" s="22" t="s">
        <v>79</v>
      </c>
      <c r="P343" s="22" t="s">
        <v>98</v>
      </c>
      <c r="Q343" s="22" t="s">
        <v>79</v>
      </c>
      <c r="R343" s="22">
        <v>0.56999999999999995</v>
      </c>
      <c r="S343" s="22" t="s">
        <v>2546</v>
      </c>
      <c r="T343" s="22">
        <v>2E-3</v>
      </c>
      <c r="U343" s="118">
        <v>42.722999999999999</v>
      </c>
      <c r="V343" s="22">
        <v>7.8E-2</v>
      </c>
      <c r="W343" s="22">
        <v>0.59499999999999997</v>
      </c>
      <c r="X343" s="22" t="s">
        <v>2547</v>
      </c>
      <c r="Y343" s="22">
        <v>1.6E-2</v>
      </c>
      <c r="Z343" s="22">
        <v>0.25800000000000001</v>
      </c>
      <c r="AA343" s="22" t="s">
        <v>2548</v>
      </c>
      <c r="AB343" s="22">
        <v>0.13</v>
      </c>
      <c r="AC343" s="22" t="s">
        <v>1754</v>
      </c>
      <c r="AD343" s="22" t="s">
        <v>385</v>
      </c>
    </row>
    <row r="344" spans="1:30" ht="14.25" hidden="1">
      <c r="A344" s="23" t="s">
        <v>70</v>
      </c>
      <c r="B344" s="150" t="s">
        <v>199</v>
      </c>
      <c r="C344" s="141" t="s">
        <v>74</v>
      </c>
      <c r="D344" s="141" t="s">
        <v>246</v>
      </c>
      <c r="E344" s="141" t="s">
        <v>2549</v>
      </c>
      <c r="F344" s="141"/>
      <c r="G344" s="141" t="s">
        <v>248</v>
      </c>
      <c r="H344" s="153" t="s">
        <v>2550</v>
      </c>
      <c r="I344" s="141" t="s">
        <v>133</v>
      </c>
      <c r="J344" s="141" t="s">
        <v>218</v>
      </c>
      <c r="K344" s="141" t="s">
        <v>79</v>
      </c>
      <c r="L344" s="143">
        <v>17</v>
      </c>
      <c r="M344" s="141" t="s">
        <v>79</v>
      </c>
      <c r="N344" s="141" t="s">
        <v>79</v>
      </c>
      <c r="O344" s="141" t="s">
        <v>79</v>
      </c>
      <c r="P344" s="141" t="s">
        <v>98</v>
      </c>
      <c r="Q344" s="143">
        <v>20.818000000000001</v>
      </c>
      <c r="R344" s="143">
        <v>2.3929999999999998</v>
      </c>
      <c r="S344" s="141" t="s">
        <v>2551</v>
      </c>
      <c r="T344" s="141">
        <v>0.13800000000000001</v>
      </c>
      <c r="U344" s="143">
        <v>15.641999999999999</v>
      </c>
      <c r="V344" s="141">
        <v>0.47799999999999998</v>
      </c>
      <c r="W344" s="143">
        <v>5.0380000000000003</v>
      </c>
      <c r="X344" s="141" t="s">
        <v>2552</v>
      </c>
      <c r="Y344" s="141">
        <v>4.7E-2</v>
      </c>
      <c r="Z344" s="141">
        <v>7.0699999999999995E-4</v>
      </c>
      <c r="AA344" s="141" t="s">
        <v>2553</v>
      </c>
      <c r="AB344" s="141">
        <v>0.27900000000000003</v>
      </c>
      <c r="AC344" s="141" t="s">
        <v>109</v>
      </c>
      <c r="AD344" s="141" t="s">
        <v>145</v>
      </c>
    </row>
    <row r="345" spans="1:30" ht="14.25" hidden="1">
      <c r="A345" s="23" t="s">
        <v>52</v>
      </c>
      <c r="B345" s="23" t="s">
        <v>84</v>
      </c>
      <c r="C345" s="23" t="s">
        <v>74</v>
      </c>
      <c r="D345" s="23" t="s">
        <v>75</v>
      </c>
      <c r="E345" s="14" t="s">
        <v>2280</v>
      </c>
      <c r="F345" s="23"/>
      <c r="G345" s="23" t="s">
        <v>113</v>
      </c>
      <c r="H345" s="14" t="s">
        <v>2281</v>
      </c>
      <c r="I345" s="23" t="s">
        <v>133</v>
      </c>
      <c r="J345" s="14" t="s">
        <v>1321</v>
      </c>
      <c r="K345" s="14">
        <f>SUM(M345:N345)</f>
        <v>1080</v>
      </c>
      <c r="L345" s="23">
        <v>9</v>
      </c>
      <c r="M345" s="14">
        <v>649</v>
      </c>
      <c r="N345" s="14">
        <v>431</v>
      </c>
      <c r="O345" s="23" t="s">
        <v>97</v>
      </c>
      <c r="P345" s="23" t="s">
        <v>98</v>
      </c>
      <c r="Q345" s="14" t="s">
        <v>79</v>
      </c>
      <c r="R345" s="23">
        <v>0.39910000000000001</v>
      </c>
      <c r="S345" s="23" t="s">
        <v>2338</v>
      </c>
      <c r="T345" s="23">
        <v>0.78959999999999997</v>
      </c>
      <c r="U345" s="23">
        <v>10.047000000000001</v>
      </c>
      <c r="V345" s="23">
        <v>0.18590000000000001</v>
      </c>
      <c r="W345" s="23">
        <v>2.6499999999999999E-2</v>
      </c>
      <c r="X345" s="23" t="s">
        <v>2339</v>
      </c>
      <c r="Y345" s="23">
        <v>0.40679999999999999</v>
      </c>
      <c r="Z345" s="14" t="s">
        <v>62</v>
      </c>
      <c r="AA345" s="14" t="s">
        <v>62</v>
      </c>
      <c r="AB345" s="14" t="s">
        <v>62</v>
      </c>
      <c r="AC345" s="23" t="s">
        <v>140</v>
      </c>
      <c r="AD345" s="23" t="s">
        <v>204</v>
      </c>
    </row>
    <row r="346" spans="1:30" ht="14.25" hidden="1">
      <c r="A346" s="23" t="s">
        <v>70</v>
      </c>
      <c r="B346" s="141" t="s">
        <v>199</v>
      </c>
      <c r="C346" s="141" t="s">
        <v>74</v>
      </c>
      <c r="D346" s="141" t="s">
        <v>459</v>
      </c>
      <c r="E346" s="141" t="s">
        <v>2549</v>
      </c>
      <c r="F346" s="141"/>
      <c r="G346" s="141" t="s">
        <v>215</v>
      </c>
      <c r="H346" s="142" t="s">
        <v>2550</v>
      </c>
      <c r="I346" s="141" t="s">
        <v>133</v>
      </c>
      <c r="J346" s="141" t="s">
        <v>218</v>
      </c>
      <c r="K346" s="141" t="s">
        <v>79</v>
      </c>
      <c r="L346" s="143">
        <v>18</v>
      </c>
      <c r="M346" s="141" t="s">
        <v>79</v>
      </c>
      <c r="N346" s="141" t="s">
        <v>79</v>
      </c>
      <c r="O346" s="141" t="s">
        <v>79</v>
      </c>
      <c r="P346" s="141" t="s">
        <v>98</v>
      </c>
      <c r="Q346" s="143">
        <v>17.571000000000002</v>
      </c>
      <c r="R346" s="141">
        <v>0.98499999999999999</v>
      </c>
      <c r="S346" s="141" t="s">
        <v>2557</v>
      </c>
      <c r="T346" s="141">
        <v>0.82199999999999995</v>
      </c>
      <c r="U346" s="143">
        <v>34.191000000000003</v>
      </c>
      <c r="V346" s="141">
        <v>7.9299999999999995E-3</v>
      </c>
      <c r="W346" s="141">
        <v>0.79700000000000004</v>
      </c>
      <c r="X346" s="141" t="s">
        <v>2557</v>
      </c>
      <c r="Y346" s="141">
        <v>0.82199999999999995</v>
      </c>
      <c r="Z346" s="143">
        <v>1.746</v>
      </c>
      <c r="AA346" s="141" t="s">
        <v>2558</v>
      </c>
      <c r="AB346" s="141">
        <v>0.90300000000000002</v>
      </c>
      <c r="AC346" s="141" t="s">
        <v>109</v>
      </c>
      <c r="AD346" s="141" t="s">
        <v>145</v>
      </c>
    </row>
    <row r="347" spans="1:30" ht="14.25" hidden="1">
      <c r="A347" s="23" t="s">
        <v>70</v>
      </c>
      <c r="B347" s="141" t="s">
        <v>199</v>
      </c>
      <c r="C347" s="141" t="s">
        <v>74</v>
      </c>
      <c r="D347" s="141" t="s">
        <v>164</v>
      </c>
      <c r="E347" s="141" t="s">
        <v>2549</v>
      </c>
      <c r="F347" s="141"/>
      <c r="G347" s="141" t="s">
        <v>165</v>
      </c>
      <c r="H347" s="142" t="s">
        <v>2550</v>
      </c>
      <c r="I347" s="141" t="s">
        <v>133</v>
      </c>
      <c r="J347" s="141" t="s">
        <v>218</v>
      </c>
      <c r="K347" s="141" t="s">
        <v>79</v>
      </c>
      <c r="L347" s="143">
        <v>39</v>
      </c>
      <c r="M347" s="141" t="s">
        <v>79</v>
      </c>
      <c r="N347" s="141" t="s">
        <v>79</v>
      </c>
      <c r="O347" s="141" t="s">
        <v>79</v>
      </c>
      <c r="P347" s="141" t="s">
        <v>98</v>
      </c>
      <c r="Q347" s="143">
        <v>24.760999999999999</v>
      </c>
      <c r="R347" s="141">
        <v>0.84599999999999997</v>
      </c>
      <c r="S347" s="141" t="s">
        <v>2559</v>
      </c>
      <c r="T347" s="141">
        <v>0.71299999999999997</v>
      </c>
      <c r="U347" s="143">
        <v>71.358000000000004</v>
      </c>
      <c r="V347" s="154">
        <v>8.4400000000000002E-4</v>
      </c>
      <c r="W347" s="143">
        <v>1.218</v>
      </c>
      <c r="X347" s="141" t="s">
        <v>2560</v>
      </c>
      <c r="Y347" s="141">
        <v>0.71799999999999997</v>
      </c>
      <c r="Z347" s="141">
        <v>7.9399999999999991E-3</v>
      </c>
      <c r="AA347" s="141" t="s">
        <v>2561</v>
      </c>
      <c r="AB347" s="141">
        <v>1.47E-2</v>
      </c>
      <c r="AC347" s="141" t="s">
        <v>109</v>
      </c>
      <c r="AD347" s="141" t="s">
        <v>145</v>
      </c>
    </row>
    <row r="348" spans="1:30" ht="14.25" hidden="1">
      <c r="A348" s="23" t="s">
        <v>70</v>
      </c>
      <c r="B348" s="141" t="s">
        <v>199</v>
      </c>
      <c r="C348" s="141" t="s">
        <v>74</v>
      </c>
      <c r="D348" s="141" t="s">
        <v>246</v>
      </c>
      <c r="E348" s="141" t="s">
        <v>2562</v>
      </c>
      <c r="F348" s="141"/>
      <c r="G348" s="141" t="s">
        <v>248</v>
      </c>
      <c r="H348" s="142" t="s">
        <v>2563</v>
      </c>
      <c r="I348" s="141" t="s">
        <v>133</v>
      </c>
      <c r="J348" s="141" t="s">
        <v>218</v>
      </c>
      <c r="K348" s="141" t="s">
        <v>2564</v>
      </c>
      <c r="L348" s="143">
        <v>17</v>
      </c>
      <c r="M348" s="141" t="s">
        <v>79</v>
      </c>
      <c r="N348" s="141" t="s">
        <v>79</v>
      </c>
      <c r="O348" s="141" t="s">
        <v>79</v>
      </c>
      <c r="P348" s="141" t="s">
        <v>98</v>
      </c>
      <c r="Q348" s="143">
        <v>20.818000000000001</v>
      </c>
      <c r="R348" s="143">
        <v>4.4749999999999996</v>
      </c>
      <c r="S348" s="141" t="s">
        <v>2565</v>
      </c>
      <c r="T348" s="141">
        <v>3.7999999999999999E-2</v>
      </c>
      <c r="U348" s="154">
        <v>21.599</v>
      </c>
      <c r="V348" s="141">
        <v>0.157</v>
      </c>
      <c r="W348" s="143">
        <v>5.5540000000000003</v>
      </c>
      <c r="X348" s="141" t="s">
        <v>2566</v>
      </c>
      <c r="Y348" s="141">
        <v>4.2700000000000002E-2</v>
      </c>
      <c r="Z348" s="143">
        <v>66.84</v>
      </c>
      <c r="AA348" s="141" t="s">
        <v>2567</v>
      </c>
      <c r="AB348" s="141">
        <v>0.61399999999999999</v>
      </c>
      <c r="AC348" s="141" t="s">
        <v>109</v>
      </c>
      <c r="AD348" s="141" t="s">
        <v>145</v>
      </c>
    </row>
    <row r="349" spans="1:30" ht="14.25" hidden="1">
      <c r="A349" s="33" t="s">
        <v>70</v>
      </c>
      <c r="B349" s="33" t="s">
        <v>175</v>
      </c>
      <c r="C349" s="33" t="s">
        <v>74</v>
      </c>
      <c r="D349" s="33" t="s">
        <v>75</v>
      </c>
      <c r="E349" s="33" t="s">
        <v>562</v>
      </c>
      <c r="F349" s="33"/>
      <c r="G349" s="33" t="s">
        <v>113</v>
      </c>
      <c r="H349" s="33" t="s">
        <v>2044</v>
      </c>
      <c r="I349" s="33" t="s">
        <v>133</v>
      </c>
      <c r="J349" s="33" t="s">
        <v>218</v>
      </c>
      <c r="K349" s="35">
        <v>214620</v>
      </c>
      <c r="L349" s="33">
        <v>53</v>
      </c>
      <c r="M349" s="35">
        <v>4320</v>
      </c>
      <c r="N349" s="35">
        <f>K349-M349</f>
        <v>210300</v>
      </c>
      <c r="O349" s="33" t="s">
        <v>79</v>
      </c>
      <c r="P349" s="33" t="s">
        <v>98</v>
      </c>
      <c r="Q349" s="33" t="s">
        <v>79</v>
      </c>
      <c r="R349" s="33">
        <v>0.97699999999999998</v>
      </c>
      <c r="S349" s="33" t="s">
        <v>2053</v>
      </c>
      <c r="T349" s="33">
        <v>0.95199999999999996</v>
      </c>
      <c r="U349" s="33">
        <v>49.505000000000003</v>
      </c>
      <c r="V349" s="33">
        <v>0.57299999999999995</v>
      </c>
      <c r="W349" s="33">
        <v>0.76500000000000001</v>
      </c>
      <c r="X349" s="33" t="s">
        <v>2054</v>
      </c>
      <c r="Y349" s="33">
        <v>0.63900000000000001</v>
      </c>
      <c r="Z349" s="129">
        <v>0.19</v>
      </c>
      <c r="AA349" s="33" t="s">
        <v>2055</v>
      </c>
      <c r="AB349" s="33">
        <v>0.20599999999999999</v>
      </c>
      <c r="AC349" s="10" t="s">
        <v>140</v>
      </c>
      <c r="AD349" s="33" t="s">
        <v>385</v>
      </c>
    </row>
    <row r="350" spans="1:30" ht="14.25" hidden="1">
      <c r="A350" s="23" t="s">
        <v>70</v>
      </c>
      <c r="B350" s="141" t="s">
        <v>199</v>
      </c>
      <c r="C350" s="141" t="s">
        <v>74</v>
      </c>
      <c r="D350" s="141" t="s">
        <v>459</v>
      </c>
      <c r="E350" s="141" t="s">
        <v>2562</v>
      </c>
      <c r="F350" s="141"/>
      <c r="G350" s="141" t="s">
        <v>215</v>
      </c>
      <c r="H350" s="142" t="s">
        <v>2563</v>
      </c>
      <c r="I350" s="141" t="s">
        <v>133</v>
      </c>
      <c r="J350" s="141" t="s">
        <v>218</v>
      </c>
      <c r="K350" s="141" t="s">
        <v>79</v>
      </c>
      <c r="L350" s="143">
        <v>18</v>
      </c>
      <c r="M350" s="141" t="s">
        <v>79</v>
      </c>
      <c r="N350" s="141" t="s">
        <v>79</v>
      </c>
      <c r="O350" s="141" t="s">
        <v>79</v>
      </c>
      <c r="P350" s="141" t="s">
        <v>98</v>
      </c>
      <c r="Q350" s="143">
        <v>17.585000000000001</v>
      </c>
      <c r="R350" s="141">
        <v>0.89200000000000002</v>
      </c>
      <c r="S350" s="141" t="s">
        <v>2574</v>
      </c>
      <c r="T350" s="141">
        <v>0.91400000000000003</v>
      </c>
      <c r="U350" s="143">
        <v>37.994</v>
      </c>
      <c r="V350" s="141">
        <v>2.4599999999999999E-3</v>
      </c>
      <c r="W350" s="141">
        <v>0.29399999999999998</v>
      </c>
      <c r="X350" s="141" t="s">
        <v>2576</v>
      </c>
      <c r="Y350" s="141">
        <v>0.246</v>
      </c>
      <c r="Z350" s="143">
        <v>18.076000000000001</v>
      </c>
      <c r="AA350" s="141" t="s">
        <v>2577</v>
      </c>
      <c r="AB350" s="141">
        <v>0.56799999999999995</v>
      </c>
      <c r="AC350" s="141" t="s">
        <v>109</v>
      </c>
      <c r="AD350" s="141" t="s">
        <v>145</v>
      </c>
    </row>
    <row r="351" spans="1:30" ht="14.25" hidden="1">
      <c r="A351" s="23" t="s">
        <v>70</v>
      </c>
      <c r="B351" s="141" t="s">
        <v>199</v>
      </c>
      <c r="C351" s="141" t="s">
        <v>74</v>
      </c>
      <c r="D351" s="141" t="s">
        <v>164</v>
      </c>
      <c r="E351" s="141" t="s">
        <v>2562</v>
      </c>
      <c r="F351" s="141"/>
      <c r="G351" s="141" t="s">
        <v>165</v>
      </c>
      <c r="H351" s="142" t="s">
        <v>2563</v>
      </c>
      <c r="I351" s="141" t="s">
        <v>133</v>
      </c>
      <c r="J351" s="141" t="s">
        <v>218</v>
      </c>
      <c r="K351" s="141" t="s">
        <v>79</v>
      </c>
      <c r="L351" s="143">
        <v>39</v>
      </c>
      <c r="M351" s="141" t="s">
        <v>79</v>
      </c>
      <c r="N351" s="141" t="s">
        <v>79</v>
      </c>
      <c r="O351" s="141" t="s">
        <v>79</v>
      </c>
      <c r="P351" s="141" t="s">
        <v>98</v>
      </c>
      <c r="Q351" s="143">
        <v>25.209</v>
      </c>
      <c r="R351" s="141">
        <v>0.32200000000000001</v>
      </c>
      <c r="S351" s="141" t="s">
        <v>2578</v>
      </c>
      <c r="T351" s="141">
        <v>7.1599999999999997E-3</v>
      </c>
      <c r="U351" s="143">
        <v>54.624000000000002</v>
      </c>
      <c r="V351" s="141">
        <v>3.9399999999999998E-2</v>
      </c>
      <c r="W351" s="141">
        <v>0.23899999999999999</v>
      </c>
      <c r="X351" s="141" t="s">
        <v>2579</v>
      </c>
      <c r="Y351" s="141">
        <v>1.0699999999999999E-2</v>
      </c>
      <c r="Z351" s="141">
        <v>0.42499999999999999</v>
      </c>
      <c r="AA351" s="141" t="s">
        <v>2582</v>
      </c>
      <c r="AB351" s="141">
        <v>0.65400000000000003</v>
      </c>
      <c r="AC351" s="141" t="s">
        <v>109</v>
      </c>
      <c r="AD351" s="141" t="s">
        <v>145</v>
      </c>
    </row>
    <row r="352" spans="1:30" ht="14.25" hidden="1">
      <c r="A352" s="23" t="s">
        <v>70</v>
      </c>
      <c r="B352" s="141" t="s">
        <v>199</v>
      </c>
      <c r="C352" s="141" t="s">
        <v>74</v>
      </c>
      <c r="D352" s="141" t="s">
        <v>246</v>
      </c>
      <c r="E352" s="141" t="s">
        <v>2254</v>
      </c>
      <c r="F352" s="141"/>
      <c r="G352" s="141" t="s">
        <v>248</v>
      </c>
      <c r="H352" s="142" t="s">
        <v>2255</v>
      </c>
      <c r="I352" s="141" t="s">
        <v>133</v>
      </c>
      <c r="J352" s="141" t="s">
        <v>218</v>
      </c>
      <c r="K352" s="141" t="s">
        <v>79</v>
      </c>
      <c r="L352" s="143">
        <v>17</v>
      </c>
      <c r="M352" s="141" t="s">
        <v>79</v>
      </c>
      <c r="N352" s="141" t="s">
        <v>79</v>
      </c>
      <c r="O352" s="141" t="s">
        <v>79</v>
      </c>
      <c r="P352" s="141" t="s">
        <v>98</v>
      </c>
      <c r="Q352" s="143">
        <v>20.222999999999999</v>
      </c>
      <c r="R352" s="141">
        <v>0.88100000000000001</v>
      </c>
      <c r="S352" s="141" t="s">
        <v>2583</v>
      </c>
      <c r="T352" s="141">
        <v>0.76400000000000001</v>
      </c>
      <c r="U352" s="143">
        <v>26.931000000000001</v>
      </c>
      <c r="V352" s="141">
        <v>4.2299999999999997E-2</v>
      </c>
      <c r="W352" s="141">
        <v>0.69199999999999995</v>
      </c>
      <c r="X352" s="141" t="s">
        <v>2584</v>
      </c>
      <c r="Y352" s="141">
        <v>0.46100000000000002</v>
      </c>
      <c r="Z352" s="143">
        <v>36.783999999999999</v>
      </c>
      <c r="AA352" s="141" t="s">
        <v>2585</v>
      </c>
      <c r="AB352" s="141">
        <v>0.45500000000000002</v>
      </c>
      <c r="AC352" s="141" t="s">
        <v>109</v>
      </c>
      <c r="AD352" s="141" t="s">
        <v>145</v>
      </c>
    </row>
    <row r="353" spans="1:30" ht="14.25" hidden="1">
      <c r="A353" s="23" t="s">
        <v>70</v>
      </c>
      <c r="B353" s="141" t="s">
        <v>199</v>
      </c>
      <c r="C353" s="141" t="s">
        <v>74</v>
      </c>
      <c r="D353" s="141" t="s">
        <v>75</v>
      </c>
      <c r="E353" s="141" t="s">
        <v>2549</v>
      </c>
      <c r="F353" s="142"/>
      <c r="G353" s="142" t="s">
        <v>113</v>
      </c>
      <c r="H353" s="142" t="s">
        <v>2550</v>
      </c>
      <c r="I353" s="141" t="s">
        <v>133</v>
      </c>
      <c r="J353" s="141" t="s">
        <v>218</v>
      </c>
      <c r="K353" s="141" t="s">
        <v>79</v>
      </c>
      <c r="L353" s="143">
        <v>52</v>
      </c>
      <c r="M353" s="141" t="s">
        <v>79</v>
      </c>
      <c r="N353" s="141" t="s">
        <v>79</v>
      </c>
      <c r="O353" s="141" t="s">
        <v>79</v>
      </c>
      <c r="P353" s="141" t="s">
        <v>98</v>
      </c>
      <c r="Q353" s="143">
        <v>15.502000000000001</v>
      </c>
      <c r="R353" s="141">
        <v>0.79500000000000004</v>
      </c>
      <c r="S353" s="141" t="s">
        <v>2554</v>
      </c>
      <c r="T353" s="141">
        <v>0.56899999999999995</v>
      </c>
      <c r="U353" s="154">
        <v>55.030999999999999</v>
      </c>
      <c r="V353" s="141">
        <v>0.32500000000000001</v>
      </c>
      <c r="W353" s="141">
        <v>0.49</v>
      </c>
      <c r="X353" s="141" t="s">
        <v>2555</v>
      </c>
      <c r="Y353" s="141">
        <v>0.252</v>
      </c>
      <c r="Z353" s="141">
        <v>4.2000000000000003E-2</v>
      </c>
      <c r="AA353" s="141" t="s">
        <v>2556</v>
      </c>
      <c r="AB353" s="141">
        <v>2.01E-2</v>
      </c>
      <c r="AC353" s="141" t="s">
        <v>109</v>
      </c>
      <c r="AD353" s="141" t="s">
        <v>145</v>
      </c>
    </row>
    <row r="354" spans="1:30" ht="14.25" hidden="1">
      <c r="A354" s="23" t="s">
        <v>70</v>
      </c>
      <c r="B354" s="141" t="s">
        <v>199</v>
      </c>
      <c r="C354" s="141" t="s">
        <v>74</v>
      </c>
      <c r="D354" s="141" t="s">
        <v>459</v>
      </c>
      <c r="E354" s="141" t="s">
        <v>2254</v>
      </c>
      <c r="F354" s="141"/>
      <c r="G354" s="141" t="s">
        <v>215</v>
      </c>
      <c r="H354" s="142" t="s">
        <v>2255</v>
      </c>
      <c r="I354" s="141" t="s">
        <v>133</v>
      </c>
      <c r="J354" s="141" t="s">
        <v>218</v>
      </c>
      <c r="K354" s="141" t="s">
        <v>79</v>
      </c>
      <c r="L354" s="143">
        <v>18</v>
      </c>
      <c r="M354" s="141" t="s">
        <v>79</v>
      </c>
      <c r="N354" s="141" t="s">
        <v>79</v>
      </c>
      <c r="O354" s="141" t="s">
        <v>79</v>
      </c>
      <c r="P354" s="141" t="s">
        <v>98</v>
      </c>
      <c r="Q354" s="143">
        <v>17.571000000000002</v>
      </c>
      <c r="R354" s="143">
        <v>1.4730000000000001</v>
      </c>
      <c r="S354" s="141" t="s">
        <v>2590</v>
      </c>
      <c r="T354" s="141">
        <v>0.4</v>
      </c>
      <c r="U354" s="143">
        <v>26.09</v>
      </c>
      <c r="V354" s="141">
        <v>7.2800000000000004E-2</v>
      </c>
      <c r="W354" s="141">
        <v>0.86499999999999999</v>
      </c>
      <c r="X354" s="141" t="s">
        <v>2591</v>
      </c>
      <c r="Y354" s="141">
        <v>0.78100000000000003</v>
      </c>
      <c r="Z354" s="141">
        <v>0.51400000000000001</v>
      </c>
      <c r="AA354" s="141" t="s">
        <v>2592</v>
      </c>
      <c r="AB354" s="141">
        <v>0.76300000000000001</v>
      </c>
      <c r="AC354" s="141" t="s">
        <v>109</v>
      </c>
      <c r="AD354" s="141" t="s">
        <v>145</v>
      </c>
    </row>
    <row r="355" spans="1:30" ht="14.25" hidden="1">
      <c r="A355" s="23" t="s">
        <v>70</v>
      </c>
      <c r="B355" s="141" t="s">
        <v>199</v>
      </c>
      <c r="C355" s="141" t="s">
        <v>74</v>
      </c>
      <c r="D355" s="141" t="s">
        <v>164</v>
      </c>
      <c r="E355" s="141" t="s">
        <v>2254</v>
      </c>
      <c r="F355" s="141"/>
      <c r="G355" s="141" t="s">
        <v>165</v>
      </c>
      <c r="H355" s="142" t="s">
        <v>2255</v>
      </c>
      <c r="I355" s="141" t="s">
        <v>133</v>
      </c>
      <c r="J355" s="141" t="s">
        <v>218</v>
      </c>
      <c r="K355" s="141" t="s">
        <v>79</v>
      </c>
      <c r="L355" s="143">
        <v>39</v>
      </c>
      <c r="M355" s="141" t="s">
        <v>79</v>
      </c>
      <c r="N355" s="141" t="s">
        <v>79</v>
      </c>
      <c r="O355" s="141" t="s">
        <v>79</v>
      </c>
      <c r="P355" s="141" t="s">
        <v>98</v>
      </c>
      <c r="Q355" s="143">
        <v>25.209</v>
      </c>
      <c r="R355" s="143">
        <v>1.1599999999999999</v>
      </c>
      <c r="S355" s="141" t="s">
        <v>2595</v>
      </c>
      <c r="T355" s="141">
        <v>0.53400000000000003</v>
      </c>
      <c r="U355" s="143">
        <v>63.680999999999997</v>
      </c>
      <c r="V355" s="141">
        <v>5.62E-3</v>
      </c>
      <c r="W355" s="143">
        <v>1.0189999999999999</v>
      </c>
      <c r="X355" s="141" t="s">
        <v>2596</v>
      </c>
      <c r="Y355" s="141">
        <v>0.95199999999999996</v>
      </c>
      <c r="Z355" s="143">
        <v>2.4289999999999998</v>
      </c>
      <c r="AA355" s="141" t="s">
        <v>2597</v>
      </c>
      <c r="AB355" s="141">
        <v>0.41</v>
      </c>
      <c r="AC355" s="141" t="s">
        <v>109</v>
      </c>
      <c r="AD355" s="141" t="s">
        <v>145</v>
      </c>
    </row>
    <row r="356" spans="1:30" ht="14.25" hidden="1">
      <c r="A356" s="23" t="s">
        <v>52</v>
      </c>
      <c r="B356" s="23" t="s">
        <v>167</v>
      </c>
      <c r="C356" s="23" t="s">
        <v>74</v>
      </c>
      <c r="D356" s="23" t="s">
        <v>75</v>
      </c>
      <c r="E356" s="23" t="s">
        <v>2030</v>
      </c>
      <c r="F356" s="23"/>
      <c r="G356" s="23" t="s">
        <v>113</v>
      </c>
      <c r="H356" s="23" t="s">
        <v>2031</v>
      </c>
      <c r="I356" s="23" t="s">
        <v>133</v>
      </c>
      <c r="J356" s="23" t="s">
        <v>1264</v>
      </c>
      <c r="K356" s="23">
        <v>309154</v>
      </c>
      <c r="L356" s="23">
        <v>55</v>
      </c>
      <c r="M356" s="23">
        <v>8060</v>
      </c>
      <c r="N356" s="23">
        <v>301094</v>
      </c>
      <c r="O356" s="23" t="s">
        <v>97</v>
      </c>
      <c r="P356" s="23" t="s">
        <v>98</v>
      </c>
      <c r="Q356" s="23" t="s">
        <v>79</v>
      </c>
      <c r="R356" s="23" t="s">
        <v>2032</v>
      </c>
      <c r="S356" s="23" t="s">
        <v>2033</v>
      </c>
      <c r="T356" s="23" t="s">
        <v>2034</v>
      </c>
      <c r="U356" s="23" t="s">
        <v>2035</v>
      </c>
      <c r="V356" s="23" t="s">
        <v>1875</v>
      </c>
      <c r="W356" s="23" t="s">
        <v>2038</v>
      </c>
      <c r="X356" s="23" t="s">
        <v>2039</v>
      </c>
      <c r="Y356" s="23" t="s">
        <v>2040</v>
      </c>
      <c r="Z356" s="126" t="s">
        <v>579</v>
      </c>
      <c r="AA356" s="23" t="s">
        <v>2041</v>
      </c>
      <c r="AB356" s="23" t="s">
        <v>2042</v>
      </c>
      <c r="AC356" s="23" t="s">
        <v>109</v>
      </c>
      <c r="AD356" s="23" t="s">
        <v>145</v>
      </c>
    </row>
    <row r="357" spans="1:30" ht="14.25" hidden="1">
      <c r="A357" s="38" t="s">
        <v>70</v>
      </c>
      <c r="B357" s="85" t="s">
        <v>1408</v>
      </c>
      <c r="C357" s="85" t="s">
        <v>74</v>
      </c>
      <c r="D357" s="85" t="s">
        <v>778</v>
      </c>
      <c r="E357" s="86" t="s">
        <v>767</v>
      </c>
      <c r="F357" s="85"/>
      <c r="G357" s="85" t="s">
        <v>165</v>
      </c>
      <c r="H357" s="85" t="s">
        <v>1413</v>
      </c>
      <c r="I357" s="85" t="s">
        <v>1414</v>
      </c>
      <c r="J357" s="85" t="s">
        <v>1416</v>
      </c>
      <c r="K357" s="87">
        <v>413.46600000000001</v>
      </c>
      <c r="L357" s="87">
        <v>15</v>
      </c>
      <c r="M357" s="87">
        <v>41.917000000000002</v>
      </c>
      <c r="N357" s="87">
        <v>371.54899999999998</v>
      </c>
      <c r="O357" s="85" t="s">
        <v>97</v>
      </c>
      <c r="P357" s="85" t="s">
        <v>129</v>
      </c>
      <c r="Q357" s="87" t="s">
        <v>1425</v>
      </c>
      <c r="R357" s="88">
        <v>86331884</v>
      </c>
      <c r="S357" s="85" t="s">
        <v>79</v>
      </c>
      <c r="T357" s="88">
        <v>15181048</v>
      </c>
      <c r="U357" s="88">
        <v>3111715211</v>
      </c>
      <c r="V357" s="88">
        <v>5337904</v>
      </c>
      <c r="W357" s="88">
        <v>4470308</v>
      </c>
      <c r="X357" s="85" t="s">
        <v>79</v>
      </c>
      <c r="Y357" s="88">
        <v>204434348</v>
      </c>
      <c r="Z357" s="88">
        <v>-3421101</v>
      </c>
      <c r="AA357" s="85" t="s">
        <v>79</v>
      </c>
      <c r="AB357" s="88">
        <v>819296877</v>
      </c>
      <c r="AC357" s="85" t="s">
        <v>140</v>
      </c>
      <c r="AD357" s="85" t="s">
        <v>112</v>
      </c>
    </row>
    <row r="358" spans="1:30" ht="14.25" hidden="1">
      <c r="A358" s="38" t="s">
        <v>70</v>
      </c>
      <c r="B358" s="85" t="s">
        <v>1408</v>
      </c>
      <c r="C358" s="85" t="s">
        <v>74</v>
      </c>
      <c r="D358" s="85" t="s">
        <v>2604</v>
      </c>
      <c r="E358" s="86" t="s">
        <v>767</v>
      </c>
      <c r="F358" s="85"/>
      <c r="G358" s="85" t="s">
        <v>248</v>
      </c>
      <c r="H358" s="85" t="s">
        <v>1413</v>
      </c>
      <c r="I358" s="85" t="s">
        <v>1414</v>
      </c>
      <c r="J358" s="85" t="s">
        <v>1416</v>
      </c>
      <c r="K358" s="87">
        <v>413.46600000000001</v>
      </c>
      <c r="L358" s="87">
        <v>6</v>
      </c>
      <c r="M358" s="87">
        <v>41.917000000000002</v>
      </c>
      <c r="N358" s="87">
        <v>371.54899999999998</v>
      </c>
      <c r="O358" s="85" t="s">
        <v>97</v>
      </c>
      <c r="P358" s="85" t="s">
        <v>129</v>
      </c>
      <c r="Q358" s="87" t="s">
        <v>2605</v>
      </c>
      <c r="R358" s="88">
        <v>1070087485</v>
      </c>
      <c r="S358" s="85" t="s">
        <v>79</v>
      </c>
      <c r="T358" s="88">
        <v>28454101</v>
      </c>
      <c r="U358" s="88">
        <v>6183731621</v>
      </c>
      <c r="V358" s="88">
        <v>288749397</v>
      </c>
      <c r="W358" s="88">
        <v>943736854</v>
      </c>
      <c r="X358" s="85" t="s">
        <v>79</v>
      </c>
      <c r="Y358" s="88">
        <v>110282428</v>
      </c>
      <c r="Z358" s="88">
        <v>33684426</v>
      </c>
      <c r="AA358" s="85" t="s">
        <v>79</v>
      </c>
      <c r="AB358" s="88">
        <v>622947959</v>
      </c>
      <c r="AC358" s="85" t="s">
        <v>140</v>
      </c>
      <c r="AD358" s="85" t="s">
        <v>112</v>
      </c>
    </row>
    <row r="359" spans="1:30" ht="14.25" hidden="1">
      <c r="A359" s="38" t="s">
        <v>70</v>
      </c>
      <c r="B359" s="85" t="s">
        <v>1408</v>
      </c>
      <c r="C359" s="85" t="s">
        <v>74</v>
      </c>
      <c r="D359" s="85" t="s">
        <v>2608</v>
      </c>
      <c r="E359" s="86" t="s">
        <v>767</v>
      </c>
      <c r="F359" s="85"/>
      <c r="G359" s="85" t="s">
        <v>215</v>
      </c>
      <c r="H359" s="85" t="s">
        <v>1413</v>
      </c>
      <c r="I359" s="85" t="s">
        <v>1414</v>
      </c>
      <c r="J359" s="85" t="s">
        <v>1416</v>
      </c>
      <c r="K359" s="87">
        <v>413.46600000000001</v>
      </c>
      <c r="L359" s="87">
        <v>6</v>
      </c>
      <c r="M359" s="87">
        <v>41.917000000000002</v>
      </c>
      <c r="N359" s="87">
        <v>371.54899999999998</v>
      </c>
      <c r="O359" s="85" t="s">
        <v>97</v>
      </c>
      <c r="P359" s="85" t="s">
        <v>129</v>
      </c>
      <c r="Q359" s="87" t="s">
        <v>2609</v>
      </c>
      <c r="R359" s="88">
        <v>341801352</v>
      </c>
      <c r="S359" s="85" t="s">
        <v>79</v>
      </c>
      <c r="T359" s="88">
        <v>758358628</v>
      </c>
      <c r="U359" s="88">
        <v>2721358131</v>
      </c>
      <c r="V359" s="88">
        <v>518</v>
      </c>
      <c r="W359" s="88">
        <v>-101898693</v>
      </c>
      <c r="X359" s="85" t="s">
        <v>79</v>
      </c>
      <c r="Y359" s="88">
        <v>880858613</v>
      </c>
      <c r="Z359" s="88">
        <v>587863297</v>
      </c>
      <c r="AA359" s="85" t="s">
        <v>79</v>
      </c>
      <c r="AB359" s="88">
        <v>245627808</v>
      </c>
      <c r="AC359" s="85" t="s">
        <v>140</v>
      </c>
      <c r="AD359" s="85" t="s">
        <v>112</v>
      </c>
    </row>
    <row r="360" spans="1:30" ht="14.25" hidden="1">
      <c r="A360" s="23" t="s">
        <v>70</v>
      </c>
      <c r="B360" s="141" t="s">
        <v>2612</v>
      </c>
      <c r="C360" s="141" t="s">
        <v>74</v>
      </c>
      <c r="D360" s="24" t="s">
        <v>778</v>
      </c>
      <c r="E360" s="24" t="s">
        <v>780</v>
      </c>
      <c r="F360" s="141"/>
      <c r="G360" s="141" t="s">
        <v>165</v>
      </c>
      <c r="H360" s="141" t="s">
        <v>2613</v>
      </c>
      <c r="I360" s="141" t="s">
        <v>1414</v>
      </c>
      <c r="J360" s="141" t="s">
        <v>62</v>
      </c>
      <c r="K360" s="143">
        <v>484.59800000000001</v>
      </c>
      <c r="L360" s="143">
        <v>41</v>
      </c>
      <c r="M360" s="143">
        <v>39.515000000000001</v>
      </c>
      <c r="N360" s="143">
        <v>445.08300000000003</v>
      </c>
      <c r="O360" s="141" t="s">
        <v>97</v>
      </c>
      <c r="P360" s="141" t="s">
        <v>98</v>
      </c>
      <c r="Q360" s="141" t="s">
        <v>79</v>
      </c>
      <c r="R360" s="155">
        <v>981</v>
      </c>
      <c r="S360" s="141" t="s">
        <v>2614</v>
      </c>
      <c r="T360" s="155">
        <v>39</v>
      </c>
      <c r="U360" s="143" t="s">
        <v>2615</v>
      </c>
      <c r="V360" s="155">
        <v>34</v>
      </c>
      <c r="W360" s="155">
        <v>974</v>
      </c>
      <c r="X360" s="141" t="s">
        <v>2616</v>
      </c>
      <c r="Y360" s="155">
        <v>25</v>
      </c>
      <c r="Z360" s="143" t="s">
        <v>2617</v>
      </c>
      <c r="AA360" s="141" t="s">
        <v>2618</v>
      </c>
      <c r="AB360" s="143" t="s">
        <v>2619</v>
      </c>
      <c r="AC360" s="141" t="s">
        <v>140</v>
      </c>
      <c r="AD360" s="141" t="s">
        <v>155</v>
      </c>
    </row>
    <row r="361" spans="1:30" ht="14.25">
      <c r="A361" s="38" t="s">
        <v>70</v>
      </c>
      <c r="B361" s="105" t="s">
        <v>118</v>
      </c>
      <c r="C361" s="85" t="s">
        <v>74</v>
      </c>
      <c r="D361" s="105" t="s">
        <v>246</v>
      </c>
      <c r="E361" s="105" t="s">
        <v>170</v>
      </c>
      <c r="F361" s="105">
        <v>3</v>
      </c>
      <c r="G361" s="105" t="s">
        <v>248</v>
      </c>
      <c r="H361" s="105" t="s">
        <v>628</v>
      </c>
      <c r="I361" s="105" t="s">
        <v>133</v>
      </c>
      <c r="J361" s="105" t="s">
        <v>218</v>
      </c>
      <c r="K361" s="105">
        <v>156.078</v>
      </c>
      <c r="L361" s="105">
        <v>17</v>
      </c>
      <c r="M361" s="105">
        <v>20.629000000000001</v>
      </c>
      <c r="N361" s="105">
        <v>135.44900000000001</v>
      </c>
      <c r="O361" s="105" t="s">
        <v>79</v>
      </c>
      <c r="P361" s="85" t="s">
        <v>98</v>
      </c>
      <c r="Q361" s="106">
        <v>20679</v>
      </c>
      <c r="R361" s="106">
        <v>1230</v>
      </c>
      <c r="S361" s="105" t="s">
        <v>1660</v>
      </c>
      <c r="T361" s="106">
        <v>607</v>
      </c>
      <c r="U361" s="106">
        <v>29263</v>
      </c>
      <c r="V361" s="106">
        <v>222</v>
      </c>
      <c r="W361" s="106">
        <v>987</v>
      </c>
      <c r="X361" s="105" t="s">
        <v>2622</v>
      </c>
      <c r="Y361" s="106">
        <v>977</v>
      </c>
      <c r="Z361" s="106">
        <v>4737</v>
      </c>
      <c r="AA361" s="105" t="s">
        <v>2623</v>
      </c>
      <c r="AB361" s="106">
        <v>738</v>
      </c>
      <c r="AC361" s="85" t="s">
        <v>140</v>
      </c>
      <c r="AD361" s="85" t="s">
        <v>145</v>
      </c>
    </row>
    <row r="362" spans="1:30" ht="14.25" hidden="1">
      <c r="A362" s="38" t="s">
        <v>70</v>
      </c>
      <c r="B362" s="105" t="s">
        <v>118</v>
      </c>
      <c r="C362" s="85" t="s">
        <v>74</v>
      </c>
      <c r="D362" s="105" t="s">
        <v>622</v>
      </c>
      <c r="E362" s="105" t="s">
        <v>170</v>
      </c>
      <c r="F362" s="105"/>
      <c r="G362" s="105" t="s">
        <v>215</v>
      </c>
      <c r="H362" s="105" t="s">
        <v>628</v>
      </c>
      <c r="I362" s="105" t="s">
        <v>133</v>
      </c>
      <c r="J362" s="105" t="s">
        <v>218</v>
      </c>
      <c r="K362" s="105">
        <v>156.078</v>
      </c>
      <c r="L362" s="105">
        <v>18</v>
      </c>
      <c r="M362" s="105">
        <v>20.629000000000001</v>
      </c>
      <c r="N362" s="105">
        <v>135.44900000000001</v>
      </c>
      <c r="O362" s="105" t="s">
        <v>79</v>
      </c>
      <c r="P362" s="85" t="s">
        <v>98</v>
      </c>
      <c r="Q362" s="105" t="s">
        <v>1614</v>
      </c>
      <c r="R362" s="106">
        <v>810</v>
      </c>
      <c r="S362" s="105" t="s">
        <v>1616</v>
      </c>
      <c r="T362" s="106">
        <v>691</v>
      </c>
      <c r="U362" s="105" t="s">
        <v>1617</v>
      </c>
      <c r="V362" s="106">
        <v>78</v>
      </c>
      <c r="W362" s="106">
        <v>2264</v>
      </c>
      <c r="X362" s="105" t="s">
        <v>1618</v>
      </c>
      <c r="Y362" s="106">
        <v>139</v>
      </c>
      <c r="Z362" s="106">
        <v>16837</v>
      </c>
      <c r="AA362" s="105" t="s">
        <v>1619</v>
      </c>
      <c r="AB362" s="106">
        <v>254</v>
      </c>
      <c r="AC362" s="85" t="s">
        <v>140</v>
      </c>
      <c r="AD362" s="85" t="s">
        <v>145</v>
      </c>
    </row>
    <row r="363" spans="1:30" ht="14.25" hidden="1">
      <c r="A363" s="38" t="s">
        <v>70</v>
      </c>
      <c r="B363" s="105" t="s">
        <v>118</v>
      </c>
      <c r="C363" s="85" t="s">
        <v>74</v>
      </c>
      <c r="D363" s="105" t="s">
        <v>164</v>
      </c>
      <c r="E363" s="105" t="s">
        <v>170</v>
      </c>
      <c r="F363" s="105"/>
      <c r="G363" s="105" t="s">
        <v>165</v>
      </c>
      <c r="H363" s="105" t="s">
        <v>628</v>
      </c>
      <c r="I363" s="105" t="s">
        <v>133</v>
      </c>
      <c r="J363" s="105" t="s">
        <v>218</v>
      </c>
      <c r="K363" s="105">
        <v>156.078</v>
      </c>
      <c r="L363" s="105">
        <v>39</v>
      </c>
      <c r="M363" s="105">
        <v>20.629000000000001</v>
      </c>
      <c r="N363" s="105">
        <v>135.44900000000001</v>
      </c>
      <c r="O363" s="105" t="s">
        <v>79</v>
      </c>
      <c r="P363" s="85" t="s">
        <v>98</v>
      </c>
      <c r="Q363" s="106">
        <v>25412</v>
      </c>
      <c r="R363" s="106">
        <v>521</v>
      </c>
      <c r="S363" s="105" t="s">
        <v>1859</v>
      </c>
      <c r="T363" s="106">
        <v>287</v>
      </c>
      <c r="U363" s="106">
        <v>64068</v>
      </c>
      <c r="V363" s="106">
        <v>514</v>
      </c>
      <c r="W363" s="106">
        <v>478</v>
      </c>
      <c r="X363" s="105" t="s">
        <v>1860</v>
      </c>
      <c r="Y363" s="106">
        <v>382</v>
      </c>
      <c r="Z363" s="106">
        <v>174</v>
      </c>
      <c r="AA363" s="105" t="s">
        <v>1861</v>
      </c>
      <c r="AB363" s="106">
        <v>78</v>
      </c>
      <c r="AC363" s="85" t="s">
        <v>140</v>
      </c>
      <c r="AD363" s="85" t="s">
        <v>145</v>
      </c>
    </row>
    <row r="364" spans="1:30" ht="15.75" hidden="1" customHeight="1">
      <c r="A364" s="23" t="s">
        <v>70</v>
      </c>
      <c r="B364" s="141" t="s">
        <v>199</v>
      </c>
      <c r="C364" s="141" t="s">
        <v>74</v>
      </c>
      <c r="D364" s="141" t="s">
        <v>75</v>
      </c>
      <c r="E364" s="141" t="s">
        <v>2562</v>
      </c>
      <c r="F364" s="142"/>
      <c r="G364" s="142" t="s">
        <v>113</v>
      </c>
      <c r="H364" s="142" t="s">
        <v>2563</v>
      </c>
      <c r="I364" s="141" t="s">
        <v>133</v>
      </c>
      <c r="J364" s="141" t="s">
        <v>218</v>
      </c>
      <c r="K364" s="141" t="s">
        <v>79</v>
      </c>
      <c r="L364" s="143">
        <v>52</v>
      </c>
      <c r="M364" s="141" t="s">
        <v>79</v>
      </c>
      <c r="N364" s="141" t="s">
        <v>79</v>
      </c>
      <c r="O364" s="141" t="s">
        <v>79</v>
      </c>
      <c r="P364" s="141" t="s">
        <v>98</v>
      </c>
      <c r="Q364" s="143">
        <v>15.502000000000001</v>
      </c>
      <c r="R364" s="141">
        <v>0.67900000000000005</v>
      </c>
      <c r="S364" s="141" t="s">
        <v>2570</v>
      </c>
      <c r="T364" s="141">
        <v>0.34499999999999997</v>
      </c>
      <c r="U364" s="143">
        <v>49.747999999999998</v>
      </c>
      <c r="V364" s="141">
        <v>0.52300000000000002</v>
      </c>
      <c r="W364" s="141">
        <v>0.95899999999999996</v>
      </c>
      <c r="X364" s="141" t="s">
        <v>2571</v>
      </c>
      <c r="Y364" s="141">
        <v>0.94499999999999995</v>
      </c>
      <c r="Z364" s="143">
        <v>1.7330000000000001</v>
      </c>
      <c r="AA364" s="141" t="s">
        <v>2572</v>
      </c>
      <c r="AB364" s="141">
        <v>0.69499999999999995</v>
      </c>
      <c r="AC364" s="141" t="s">
        <v>109</v>
      </c>
      <c r="AD364" s="141" t="s">
        <v>145</v>
      </c>
    </row>
    <row r="365" spans="1:30" ht="15.75" hidden="1" customHeight="1">
      <c r="A365" s="23" t="s">
        <v>70</v>
      </c>
      <c r="B365" s="156" t="s">
        <v>119</v>
      </c>
      <c r="C365" s="156" t="s">
        <v>74</v>
      </c>
      <c r="D365" s="156" t="s">
        <v>164</v>
      </c>
      <c r="E365" s="156" t="s">
        <v>2632</v>
      </c>
      <c r="F365" s="156"/>
      <c r="G365" s="156" t="s">
        <v>165</v>
      </c>
      <c r="H365" s="156" t="s">
        <v>79</v>
      </c>
      <c r="I365" s="156" t="s">
        <v>133</v>
      </c>
      <c r="J365" s="156" t="s">
        <v>2483</v>
      </c>
      <c r="K365" s="156">
        <v>184.30500000000001</v>
      </c>
      <c r="L365" s="156">
        <v>28</v>
      </c>
      <c r="M365" s="156">
        <v>60.801000000000002</v>
      </c>
      <c r="N365" s="156">
        <v>123.504</v>
      </c>
      <c r="O365" s="156" t="s">
        <v>79</v>
      </c>
      <c r="P365" s="156" t="s">
        <v>98</v>
      </c>
      <c r="Q365" s="156" t="s">
        <v>62</v>
      </c>
      <c r="R365" s="156" t="s">
        <v>2633</v>
      </c>
      <c r="S365" s="156" t="s">
        <v>2634</v>
      </c>
      <c r="T365" s="157">
        <v>826</v>
      </c>
      <c r="U365" s="156" t="s">
        <v>79</v>
      </c>
      <c r="V365" s="156" t="s">
        <v>79</v>
      </c>
      <c r="W365" s="156" t="s">
        <v>79</v>
      </c>
      <c r="X365" s="156" t="s">
        <v>79</v>
      </c>
      <c r="Y365" s="156" t="s">
        <v>79</v>
      </c>
      <c r="Z365" s="156" t="s">
        <v>79</v>
      </c>
      <c r="AA365" s="156" t="s">
        <v>79</v>
      </c>
      <c r="AB365" s="156" t="s">
        <v>79</v>
      </c>
      <c r="AC365" s="156" t="s">
        <v>140</v>
      </c>
      <c r="AD365" s="156" t="s">
        <v>1689</v>
      </c>
    </row>
    <row r="366" spans="1:30" ht="15.75" hidden="1" customHeight="1">
      <c r="A366" s="23" t="s">
        <v>70</v>
      </c>
      <c r="B366" s="156" t="s">
        <v>119</v>
      </c>
      <c r="C366" s="156" t="s">
        <v>74</v>
      </c>
      <c r="D366" s="156" t="s">
        <v>164</v>
      </c>
      <c r="E366" s="156" t="s">
        <v>2637</v>
      </c>
      <c r="F366" s="156"/>
      <c r="G366" s="156" t="s">
        <v>165</v>
      </c>
      <c r="H366" s="156" t="s">
        <v>79</v>
      </c>
      <c r="I366" s="156" t="s">
        <v>133</v>
      </c>
      <c r="J366" s="156" t="s">
        <v>2483</v>
      </c>
      <c r="K366" s="156">
        <v>184.30500000000001</v>
      </c>
      <c r="L366" s="156">
        <v>28</v>
      </c>
      <c r="M366" s="156">
        <v>60.801000000000002</v>
      </c>
      <c r="N366" s="156">
        <v>123.504</v>
      </c>
      <c r="O366" s="156" t="s">
        <v>79</v>
      </c>
      <c r="P366" s="156" t="s">
        <v>98</v>
      </c>
      <c r="Q366" s="156" t="s">
        <v>62</v>
      </c>
      <c r="R366" s="156" t="s">
        <v>2633</v>
      </c>
      <c r="S366" s="156" t="s">
        <v>2638</v>
      </c>
      <c r="T366" s="157">
        <v>1463</v>
      </c>
      <c r="U366" s="156" t="s">
        <v>79</v>
      </c>
      <c r="V366" s="156" t="s">
        <v>79</v>
      </c>
      <c r="W366" s="156" t="s">
        <v>79</v>
      </c>
      <c r="X366" s="156" t="s">
        <v>79</v>
      </c>
      <c r="Y366" s="156" t="s">
        <v>79</v>
      </c>
      <c r="Z366" s="156" t="s">
        <v>79</v>
      </c>
      <c r="AA366" s="156" t="s">
        <v>79</v>
      </c>
      <c r="AB366" s="156" t="s">
        <v>79</v>
      </c>
      <c r="AC366" s="156" t="s">
        <v>109</v>
      </c>
      <c r="AD366" s="156" t="s">
        <v>1689</v>
      </c>
    </row>
    <row r="367" spans="1:30" ht="15.75" hidden="1" customHeight="1">
      <c r="A367" s="23" t="s">
        <v>70</v>
      </c>
      <c r="B367" s="156" t="s">
        <v>119</v>
      </c>
      <c r="C367" s="156" t="s">
        <v>74</v>
      </c>
      <c r="D367" s="156" t="s">
        <v>164</v>
      </c>
      <c r="E367" s="156" t="s">
        <v>2416</v>
      </c>
      <c r="F367" s="156"/>
      <c r="G367" s="156" t="s">
        <v>165</v>
      </c>
      <c r="H367" s="156" t="s">
        <v>79</v>
      </c>
      <c r="I367" s="156" t="s">
        <v>133</v>
      </c>
      <c r="J367" s="156" t="s">
        <v>2497</v>
      </c>
      <c r="K367" s="156">
        <v>977.32299999999998</v>
      </c>
      <c r="L367" s="156">
        <v>28</v>
      </c>
      <c r="M367" s="156">
        <v>47.308999999999997</v>
      </c>
      <c r="N367" s="156">
        <v>930.01400000000001</v>
      </c>
      <c r="O367" s="156" t="s">
        <v>79</v>
      </c>
      <c r="P367" s="156" t="s">
        <v>98</v>
      </c>
      <c r="Q367" s="156" t="s">
        <v>62</v>
      </c>
      <c r="R367" s="156" t="s">
        <v>2641</v>
      </c>
      <c r="S367" s="156" t="s">
        <v>2642</v>
      </c>
      <c r="T367" s="157">
        <v>43</v>
      </c>
      <c r="U367" s="157">
        <v>38736</v>
      </c>
      <c r="V367" s="157">
        <v>67</v>
      </c>
      <c r="W367" s="157">
        <v>7590</v>
      </c>
      <c r="X367" s="156" t="s">
        <v>2643</v>
      </c>
      <c r="Y367" s="157">
        <v>2293</v>
      </c>
      <c r="Z367" s="157">
        <v>4131</v>
      </c>
      <c r="AA367" s="156" t="s">
        <v>2644</v>
      </c>
      <c r="AB367" s="157">
        <v>3636</v>
      </c>
      <c r="AC367" s="156" t="s">
        <v>140</v>
      </c>
      <c r="AD367" s="156" t="s">
        <v>1689</v>
      </c>
    </row>
    <row r="368" spans="1:30" ht="15.75" hidden="1" customHeight="1">
      <c r="A368" s="23" t="s">
        <v>70</v>
      </c>
      <c r="B368" s="156" t="s">
        <v>119</v>
      </c>
      <c r="C368" s="156" t="s">
        <v>74</v>
      </c>
      <c r="D368" s="156" t="s">
        <v>164</v>
      </c>
      <c r="E368" s="156" t="s">
        <v>2745</v>
      </c>
      <c r="F368" s="156"/>
      <c r="G368" s="156" t="s">
        <v>165</v>
      </c>
      <c r="H368" s="156" t="s">
        <v>79</v>
      </c>
      <c r="I368" s="156" t="s">
        <v>133</v>
      </c>
      <c r="J368" s="156" t="s">
        <v>2488</v>
      </c>
      <c r="K368" s="156">
        <v>438.84699999999998</v>
      </c>
      <c r="L368" s="156">
        <v>28</v>
      </c>
      <c r="M368" s="156">
        <v>34.216999999999999</v>
      </c>
      <c r="N368" s="156">
        <v>404.63</v>
      </c>
      <c r="O368" s="156" t="s">
        <v>79</v>
      </c>
      <c r="P368" s="156" t="s">
        <v>98</v>
      </c>
      <c r="Q368" s="156" t="s">
        <v>62</v>
      </c>
      <c r="R368" s="156" t="s">
        <v>2649</v>
      </c>
      <c r="S368" s="156" t="s">
        <v>2650</v>
      </c>
      <c r="T368" s="157">
        <v>4</v>
      </c>
      <c r="U368" s="157">
        <v>36627</v>
      </c>
      <c r="V368" s="157">
        <v>102</v>
      </c>
      <c r="W368" s="157">
        <v>6020</v>
      </c>
      <c r="X368" s="156" t="s">
        <v>2651</v>
      </c>
      <c r="Y368" s="157">
        <v>809</v>
      </c>
      <c r="Z368" s="157">
        <v>3347</v>
      </c>
      <c r="AA368" s="156" t="s">
        <v>2652</v>
      </c>
      <c r="AB368" s="157">
        <v>3677</v>
      </c>
      <c r="AC368" s="156" t="s">
        <v>140</v>
      </c>
      <c r="AD368" s="156" t="s">
        <v>1689</v>
      </c>
    </row>
    <row r="369" spans="1:30" ht="15.75" hidden="1" customHeight="1">
      <c r="A369" s="23" t="s">
        <v>70</v>
      </c>
      <c r="B369" s="156" t="s">
        <v>119</v>
      </c>
      <c r="C369" s="156" t="s">
        <v>74</v>
      </c>
      <c r="D369" s="156" t="s">
        <v>164</v>
      </c>
      <c r="E369" s="156" t="s">
        <v>2655</v>
      </c>
      <c r="F369" s="156"/>
      <c r="G369" s="156" t="s">
        <v>165</v>
      </c>
      <c r="H369" s="156" t="s">
        <v>79</v>
      </c>
      <c r="I369" s="156" t="s">
        <v>133</v>
      </c>
      <c r="J369" s="156" t="s">
        <v>2488</v>
      </c>
      <c r="K369" s="156" t="s">
        <v>62</v>
      </c>
      <c r="L369" s="156">
        <v>28</v>
      </c>
      <c r="M369" s="156" t="s">
        <v>62</v>
      </c>
      <c r="N369" s="156" t="s">
        <v>62</v>
      </c>
      <c r="O369" s="156" t="s">
        <v>79</v>
      </c>
      <c r="P369" s="156" t="s">
        <v>98</v>
      </c>
      <c r="Q369" s="156" t="s">
        <v>62</v>
      </c>
      <c r="R369" s="156" t="s">
        <v>2656</v>
      </c>
      <c r="S369" s="156" t="s">
        <v>2657</v>
      </c>
      <c r="T369" s="157">
        <v>684</v>
      </c>
      <c r="U369" s="156" t="s">
        <v>79</v>
      </c>
      <c r="V369" s="156" t="s">
        <v>79</v>
      </c>
      <c r="W369" s="156" t="s">
        <v>79</v>
      </c>
      <c r="X369" s="156" t="s">
        <v>79</v>
      </c>
      <c r="Y369" s="156" t="s">
        <v>79</v>
      </c>
      <c r="Z369" s="156" t="s">
        <v>79</v>
      </c>
      <c r="AA369" s="156" t="s">
        <v>79</v>
      </c>
      <c r="AB369" s="156" t="s">
        <v>79</v>
      </c>
      <c r="AC369" s="156" t="s">
        <v>140</v>
      </c>
      <c r="AD369" s="156" t="s">
        <v>1689</v>
      </c>
    </row>
    <row r="370" spans="1:30" ht="15.75" hidden="1" customHeight="1">
      <c r="A370" s="23" t="s">
        <v>70</v>
      </c>
      <c r="B370" s="156" t="s">
        <v>119</v>
      </c>
      <c r="C370" s="156" t="s">
        <v>74</v>
      </c>
      <c r="D370" s="156" t="s">
        <v>164</v>
      </c>
      <c r="E370" s="156" t="s">
        <v>2658</v>
      </c>
      <c r="F370" s="156"/>
      <c r="G370" s="156" t="s">
        <v>165</v>
      </c>
      <c r="H370" s="156" t="s">
        <v>79</v>
      </c>
      <c r="I370" s="156" t="s">
        <v>133</v>
      </c>
      <c r="J370" s="156" t="s">
        <v>2488</v>
      </c>
      <c r="K370" s="156" t="s">
        <v>62</v>
      </c>
      <c r="L370" s="156">
        <v>28</v>
      </c>
      <c r="M370" s="156" t="s">
        <v>62</v>
      </c>
      <c r="N370" s="156" t="s">
        <v>62</v>
      </c>
      <c r="O370" s="156" t="s">
        <v>79</v>
      </c>
      <c r="P370" s="156" t="s">
        <v>98</v>
      </c>
      <c r="Q370" s="156" t="s">
        <v>62</v>
      </c>
      <c r="R370" s="156" t="s">
        <v>2661</v>
      </c>
      <c r="S370" s="156" t="s">
        <v>2662</v>
      </c>
      <c r="T370" s="157">
        <v>180</v>
      </c>
      <c r="U370" s="157">
        <v>28023</v>
      </c>
      <c r="V370" s="157">
        <v>410</v>
      </c>
      <c r="W370" s="157">
        <v>3540</v>
      </c>
      <c r="X370" s="156" t="s">
        <v>2663</v>
      </c>
      <c r="Y370" s="157">
        <v>1009</v>
      </c>
      <c r="Z370" s="157">
        <v>830</v>
      </c>
      <c r="AA370" s="156" t="s">
        <v>2664</v>
      </c>
      <c r="AB370" s="157">
        <v>3091</v>
      </c>
      <c r="AC370" s="156" t="s">
        <v>140</v>
      </c>
      <c r="AD370" s="156" t="s">
        <v>1689</v>
      </c>
    </row>
    <row r="371" spans="1:30" ht="15.75" hidden="1" customHeight="1">
      <c r="A371" s="23" t="s">
        <v>70</v>
      </c>
      <c r="B371" s="156" t="s">
        <v>119</v>
      </c>
      <c r="C371" s="156" t="s">
        <v>74</v>
      </c>
      <c r="D371" s="156" t="s">
        <v>164</v>
      </c>
      <c r="E371" s="156" t="s">
        <v>2665</v>
      </c>
      <c r="F371" s="156"/>
      <c r="G371" s="156" t="s">
        <v>165</v>
      </c>
      <c r="H371" s="156" t="s">
        <v>79</v>
      </c>
      <c r="I371" s="156" t="s">
        <v>133</v>
      </c>
      <c r="J371" s="156" t="s">
        <v>2488</v>
      </c>
      <c r="K371" s="156" t="s">
        <v>62</v>
      </c>
      <c r="L371" s="156">
        <v>28</v>
      </c>
      <c r="M371" s="156" t="s">
        <v>62</v>
      </c>
      <c r="N371" s="156" t="s">
        <v>62</v>
      </c>
      <c r="O371" s="156" t="s">
        <v>79</v>
      </c>
      <c r="P371" s="156" t="s">
        <v>98</v>
      </c>
      <c r="Q371" s="156" t="s">
        <v>62</v>
      </c>
      <c r="R371" s="156" t="s">
        <v>2668</v>
      </c>
      <c r="S371" s="156" t="s">
        <v>2669</v>
      </c>
      <c r="T371" s="157">
        <v>6481</v>
      </c>
      <c r="U371" s="156" t="s">
        <v>79</v>
      </c>
      <c r="V371" s="156" t="s">
        <v>79</v>
      </c>
      <c r="W371" s="156" t="s">
        <v>79</v>
      </c>
      <c r="X371" s="156" t="s">
        <v>79</v>
      </c>
      <c r="Y371" s="156" t="s">
        <v>79</v>
      </c>
      <c r="Z371" s="156" t="s">
        <v>79</v>
      </c>
      <c r="AA371" s="156" t="s">
        <v>79</v>
      </c>
      <c r="AB371" s="156" t="s">
        <v>79</v>
      </c>
      <c r="AC371" s="156" t="s">
        <v>140</v>
      </c>
      <c r="AD371" s="156" t="s">
        <v>1689</v>
      </c>
    </row>
    <row r="372" spans="1:30" ht="15.75" customHeight="1">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row>
    <row r="373" spans="1:30" ht="15.75" customHeight="1">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row>
    <row r="374" spans="1:30" ht="14.25">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row>
    <row r="375" spans="1:30" ht="14.2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row>
    <row r="376" spans="1:30" ht="14.25">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row>
    <row r="377" spans="1:30" ht="14.25">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row>
    <row r="378" spans="1:30" ht="14.25">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row>
    <row r="379" spans="1:30" ht="14.25">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row>
    <row r="380" spans="1:30" ht="14.25">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row>
    <row r="381" spans="1:30" ht="14.25">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row>
    <row r="382" spans="1:30" ht="14.25">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row>
    <row r="383" spans="1:30" ht="14.25">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row>
    <row r="384" spans="1:30" ht="14.25">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row>
    <row r="385" spans="1:30" ht="14.2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row>
    <row r="386" spans="1:30" ht="14.25">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row>
    <row r="387" spans="1:30" ht="14.25">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row>
    <row r="388" spans="1:30" ht="14.25">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row>
    <row r="389" spans="1:30" ht="14.25">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row>
    <row r="390" spans="1:30" ht="14.25">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row>
    <row r="391" spans="1:30" ht="14.25">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row>
    <row r="392" spans="1:30" ht="14.25">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row>
    <row r="393" spans="1:30" ht="14.25">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row>
    <row r="394" spans="1:30" ht="14.25">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row>
    <row r="395" spans="1:30" ht="14.2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row>
    <row r="396" spans="1:30" ht="14.25">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row>
    <row r="397" spans="1:30" ht="14.25">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row>
    <row r="398" spans="1:30" ht="14.25">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row>
    <row r="399" spans="1:30" ht="14.25">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row>
    <row r="400" spans="1:30" ht="14.25">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row>
    <row r="401" spans="1:30" ht="14.25">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row>
    <row r="402" spans="1:30" ht="14.25">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row>
    <row r="403" spans="1:30" ht="14.25">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row>
    <row r="404" spans="1:30" ht="14.25">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row>
    <row r="405" spans="1:30" ht="14.2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row>
    <row r="406" spans="1:30" ht="14.25">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row>
    <row r="407" spans="1:30" ht="14.25">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row>
    <row r="408" spans="1:30" ht="14.25">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row>
    <row r="409" spans="1:30" ht="14.25">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row>
    <row r="410" spans="1:30" ht="14.25">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row>
    <row r="411" spans="1:30" ht="14.25">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row>
    <row r="412" spans="1:30" ht="14.25">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row>
    <row r="413" spans="1:30" ht="14.25">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row>
    <row r="414" spans="1:30" ht="14.25">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row>
    <row r="415" spans="1:30" ht="14.2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row>
    <row r="416" spans="1:30" ht="14.25">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row>
    <row r="417" spans="1:30" ht="14.25">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row>
    <row r="418" spans="1:30" ht="14.25">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row>
    <row r="419" spans="1:30" ht="14.25">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row>
    <row r="420" spans="1:30" ht="14.25">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row>
    <row r="421" spans="1:30" ht="14.25">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row>
    <row r="422" spans="1:30" ht="14.25">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row>
    <row r="423" spans="1:30" ht="14.25">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row>
    <row r="424" spans="1:30" ht="14.25">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row>
    <row r="425" spans="1:30" ht="14.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row>
    <row r="426" spans="1:30" ht="14.25">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row>
    <row r="427" spans="1:30" ht="14.25">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row>
    <row r="428" spans="1:30" ht="14.25">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row>
    <row r="429" spans="1:30" ht="14.25">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row>
    <row r="430" spans="1:30" ht="14.25">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row>
    <row r="431" spans="1:30" ht="14.25">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row>
    <row r="432" spans="1:30" ht="14.25">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row>
    <row r="433" spans="1:30" ht="14.25">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row>
    <row r="434" spans="1:30" ht="14.25">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row>
    <row r="435" spans="1:30" ht="14.2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row>
    <row r="436" spans="1:30" ht="14.25">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row>
    <row r="437" spans="1:30" ht="14.25">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row>
    <row r="438" spans="1:30" ht="14.25">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row>
    <row r="439" spans="1:30" ht="14.25">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row>
    <row r="440" spans="1:30" ht="14.25">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row>
    <row r="441" spans="1:30" ht="14.25">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row>
    <row r="442" spans="1:30" ht="14.25">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row>
    <row r="443" spans="1:30" ht="14.25">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row>
    <row r="444" spans="1:30" ht="14.25">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row>
    <row r="445" spans="1:30" ht="14.2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row>
    <row r="446" spans="1:30" ht="14.25">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row>
    <row r="447" spans="1:30" ht="14.25">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row>
    <row r="448" spans="1:30" ht="14.25">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row>
    <row r="449" spans="1:30" ht="14.25">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row>
    <row r="450" spans="1:30" ht="14.25">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row>
    <row r="451" spans="1:30" ht="14.25">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row>
    <row r="452" spans="1:30" ht="14.25">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row>
    <row r="453" spans="1:30" ht="14.25">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row>
    <row r="454" spans="1:30" ht="14.25">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row>
    <row r="455" spans="1:30" ht="14.2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row>
    <row r="456" spans="1:30" ht="14.25">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row>
    <row r="457" spans="1:30" ht="14.25">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row>
    <row r="458" spans="1:30" ht="14.25">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row>
    <row r="459" spans="1:30" ht="14.25">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row>
    <row r="460" spans="1:30" ht="14.25">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row>
    <row r="461" spans="1:30" ht="14.25">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row>
    <row r="462" spans="1:30" ht="14.25">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row>
    <row r="463" spans="1:30" ht="14.25">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row>
    <row r="464" spans="1:30" ht="14.25">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row>
    <row r="465" spans="1:30" ht="14.2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row>
    <row r="466" spans="1:30" ht="14.25">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row>
    <row r="467" spans="1:30" ht="14.25">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row>
    <row r="468" spans="1:30" ht="14.25">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row>
    <row r="469" spans="1:30" ht="14.25">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row>
    <row r="470" spans="1:30" ht="14.25">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row>
    <row r="471" spans="1:30" ht="14.25">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row>
    <row r="472" spans="1:30" ht="14.25">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row>
    <row r="473" spans="1:30" ht="14.25">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row>
    <row r="474" spans="1:30" ht="14.25">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row>
    <row r="475" spans="1:30" ht="14.2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row>
    <row r="476" spans="1:30" ht="14.25">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row>
    <row r="477" spans="1:30" ht="14.25">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row>
    <row r="478" spans="1:30" ht="14.25">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row>
    <row r="479" spans="1:30" ht="14.25">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row>
    <row r="480" spans="1:30" ht="14.25">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row>
    <row r="481" spans="1:30" ht="14.25">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row>
    <row r="482" spans="1:30" ht="14.25">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row>
    <row r="483" spans="1:30" ht="14.25">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row>
    <row r="484" spans="1:30" ht="14.25">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row>
    <row r="485" spans="1:30" ht="14.2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row>
    <row r="486" spans="1:30" ht="14.25">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row>
    <row r="487" spans="1:30" ht="14.25">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row>
    <row r="488" spans="1:30" ht="14.25">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row>
    <row r="489" spans="1:30" ht="14.25">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row>
    <row r="490" spans="1:30" ht="14.25">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row>
    <row r="491" spans="1:30" ht="14.25">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row>
    <row r="492" spans="1:30" ht="14.25">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row>
    <row r="493" spans="1:30" ht="14.25">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row>
    <row r="494" spans="1:30" ht="14.25">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row>
    <row r="495" spans="1:30" ht="14.2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row>
    <row r="496" spans="1:30" ht="14.25">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row>
    <row r="497" spans="1:30" ht="14.25">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row>
    <row r="498" spans="1:30" ht="14.25">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row>
    <row r="499" spans="1:30" ht="14.25">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row>
    <row r="500" spans="1:30" ht="14.25">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row>
    <row r="501" spans="1:30" ht="14.25">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row>
    <row r="502" spans="1:30" ht="14.25">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row>
    <row r="503" spans="1:30" ht="14.25">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row>
    <row r="504" spans="1:30" ht="14.25">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row>
    <row r="505" spans="1:30" ht="14.2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row>
    <row r="506" spans="1:30" ht="14.25">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row>
    <row r="507" spans="1:30" ht="14.25">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row>
    <row r="508" spans="1:30" ht="14.25">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row>
    <row r="509" spans="1:30" ht="14.25">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row>
    <row r="510" spans="1:30" ht="14.25">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row>
    <row r="511" spans="1:30" ht="14.25">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row>
    <row r="512" spans="1:30" ht="14.25">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row>
    <row r="513" spans="1:30" ht="14.25">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row>
    <row r="514" spans="1:30" ht="14.25">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row>
    <row r="515" spans="1:30" ht="14.2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row>
    <row r="516" spans="1:30" ht="14.25">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row>
    <row r="517" spans="1:30" ht="14.25">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row>
    <row r="518" spans="1:30" ht="14.25">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row>
    <row r="519" spans="1:30" ht="14.25">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row>
    <row r="520" spans="1:30" ht="14.25">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row>
    <row r="521" spans="1:30" ht="14.25">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row>
    <row r="522" spans="1:30" ht="14.25">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row>
    <row r="523" spans="1:30" ht="14.25">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row>
    <row r="524" spans="1:30" ht="14.25">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row>
    <row r="525" spans="1:30" ht="14.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row>
    <row r="526" spans="1:30" ht="14.25">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row>
    <row r="527" spans="1:30" ht="14.25">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row>
    <row r="528" spans="1:30" ht="14.25">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row>
    <row r="529" spans="1:30" ht="14.25">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row>
    <row r="530" spans="1:30" ht="14.25">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row>
    <row r="531" spans="1:30" ht="14.25">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row>
    <row r="532" spans="1:30" ht="14.25">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row>
    <row r="533" spans="1:30" ht="14.25">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row>
    <row r="534" spans="1:30" ht="14.25">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row>
    <row r="535" spans="1:30" ht="14.2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row>
    <row r="536" spans="1:30" ht="14.25">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row>
    <row r="537" spans="1:30" ht="14.25">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row>
    <row r="538" spans="1:30" ht="14.25">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row>
    <row r="539" spans="1:30" ht="14.25">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row>
    <row r="540" spans="1:30" ht="14.25">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row>
    <row r="541" spans="1:30" ht="14.25">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row>
    <row r="542" spans="1:30" ht="14.25">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row>
    <row r="543" spans="1:30" ht="14.25">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row>
    <row r="544" spans="1:30" ht="14.25">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row>
    <row r="545" spans="1:30" ht="14.2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row>
    <row r="546" spans="1:30" ht="14.25">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row>
    <row r="547" spans="1:30" ht="14.25">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row>
    <row r="548" spans="1:30" ht="14.25">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row>
    <row r="549" spans="1:30" ht="14.25">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row>
    <row r="550" spans="1:30" ht="14.25">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row>
    <row r="551" spans="1:30" ht="14.25">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row>
    <row r="552" spans="1:30" ht="14.25">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row>
    <row r="553" spans="1:30" ht="14.25">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row>
    <row r="554" spans="1:30" ht="14.25">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row>
    <row r="555" spans="1:30" ht="14.2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row>
    <row r="556" spans="1:30" ht="14.25">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row>
    <row r="557" spans="1:30" ht="14.25">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row>
    <row r="558" spans="1:30" ht="14.25">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row>
    <row r="559" spans="1:30" ht="14.25">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row>
    <row r="560" spans="1:30" ht="14.25">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row>
    <row r="561" spans="1:30" ht="14.25">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row>
    <row r="562" spans="1:30" ht="14.25">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row>
    <row r="563" spans="1:30" ht="14.25">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row>
    <row r="564" spans="1:30" ht="14.25">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row>
    <row r="565" spans="1:30" ht="14.2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row>
    <row r="566" spans="1:30" ht="14.25">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row>
    <row r="567" spans="1:30" ht="14.25">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row>
    <row r="568" spans="1:30" ht="14.25">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row>
    <row r="569" spans="1:30" ht="14.25">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row>
    <row r="570" spans="1:30" ht="14.25">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row>
    <row r="571" spans="1:30" ht="14.25">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row>
    <row r="572" spans="1:30" ht="14.25">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row>
    <row r="573" spans="1:30" ht="14.25">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row>
    <row r="574" spans="1:30" ht="14.25">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row>
    <row r="575" spans="1:30" ht="14.2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row>
    <row r="576" spans="1:30" ht="14.25">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row>
    <row r="577" spans="1:30" ht="14.25">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row>
    <row r="578" spans="1:30" ht="14.25">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row>
    <row r="579" spans="1:30" ht="14.25">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row>
    <row r="580" spans="1:30" ht="14.25">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row>
    <row r="581" spans="1:30" ht="14.25">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row>
    <row r="582" spans="1:30" ht="14.25">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row>
    <row r="583" spans="1:30" ht="14.25">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row>
    <row r="584" spans="1:30" ht="14.25">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row>
    <row r="585" spans="1:30" ht="14.2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row>
    <row r="586" spans="1:30" ht="14.25">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row>
    <row r="587" spans="1:30" ht="14.25">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row>
    <row r="588" spans="1:30" ht="14.25">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row>
    <row r="589" spans="1:30" ht="14.25">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row>
    <row r="590" spans="1:30" ht="14.25">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row>
    <row r="591" spans="1:30" ht="14.25">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row>
    <row r="592" spans="1:30" ht="14.25">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row>
    <row r="593" spans="1:30" ht="14.25">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row>
    <row r="594" spans="1:30" ht="14.25">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row>
    <row r="595" spans="1:30" ht="14.2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row>
    <row r="596" spans="1:30" ht="14.25">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row>
    <row r="597" spans="1:30" ht="14.25">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row>
    <row r="598" spans="1:30" ht="14.25">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row>
    <row r="599" spans="1:30" ht="14.25">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row>
    <row r="600" spans="1:30" ht="14.25">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row>
    <row r="601" spans="1:30" ht="14.25">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row>
    <row r="602" spans="1:30" ht="14.25">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row>
    <row r="603" spans="1:30" ht="14.25">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row>
    <row r="604" spans="1:30" ht="14.25">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row>
    <row r="605" spans="1:30" ht="14.2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row>
    <row r="606" spans="1:30" ht="14.25">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row>
    <row r="607" spans="1:30" ht="14.25">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row>
    <row r="608" spans="1:30" ht="14.25">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row>
    <row r="609" spans="1:30" ht="14.25">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row>
    <row r="610" spans="1:30" ht="14.25">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row>
    <row r="611" spans="1:30" ht="14.25">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row>
    <row r="612" spans="1:30" ht="14.25">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row>
    <row r="613" spans="1:30" ht="14.25">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row>
    <row r="614" spans="1:30" ht="14.25">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row>
    <row r="615" spans="1:30" ht="14.2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row>
    <row r="616" spans="1:30" ht="14.25">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row>
    <row r="617" spans="1:30" ht="14.25">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row>
    <row r="618" spans="1:30" ht="14.25">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row>
    <row r="619" spans="1:30" ht="14.25">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row>
    <row r="620" spans="1:30" ht="14.25">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row>
    <row r="621" spans="1:30" ht="14.25">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row>
    <row r="622" spans="1:30" ht="14.25">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row>
    <row r="623" spans="1:30" ht="14.25">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row>
    <row r="624" spans="1:30" ht="14.25">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row>
    <row r="625" spans="1:30" ht="14.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row>
    <row r="626" spans="1:30" ht="14.25">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row>
    <row r="627" spans="1:30" ht="14.25">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row>
    <row r="628" spans="1:30" ht="14.25">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row>
    <row r="629" spans="1:30" ht="14.25">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row>
    <row r="630" spans="1:30" ht="14.25">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row>
    <row r="631" spans="1:30" ht="14.25">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row>
    <row r="632" spans="1:30" ht="14.25">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row>
    <row r="633" spans="1:30" ht="14.25">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row>
    <row r="634" spans="1:30" ht="14.25">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row>
    <row r="635" spans="1:30" ht="14.2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row>
    <row r="636" spans="1:30" ht="14.25">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row>
    <row r="637" spans="1:30" ht="14.25">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row>
    <row r="638" spans="1:30" ht="14.25">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row>
    <row r="639" spans="1:30" ht="14.25">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row>
    <row r="640" spans="1:30" ht="14.25">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row>
    <row r="641" spans="1:30" ht="14.25">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row>
    <row r="642" spans="1:30" ht="14.25">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row>
    <row r="643" spans="1:30" ht="14.25">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row>
    <row r="644" spans="1:30" ht="14.25">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row>
    <row r="645" spans="1:30" ht="14.2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row>
    <row r="646" spans="1:30" ht="14.25">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row>
    <row r="647" spans="1:30" ht="14.25">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row>
    <row r="648" spans="1:30" ht="14.25">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row>
    <row r="649" spans="1:30" ht="14.25">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row>
    <row r="650" spans="1:30" ht="14.25">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row>
    <row r="651" spans="1:30" ht="14.25">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row>
    <row r="652" spans="1:30" ht="14.25">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row>
    <row r="653" spans="1:30" ht="14.25">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row>
    <row r="654" spans="1:30" ht="14.25">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row>
    <row r="655" spans="1:30" ht="14.2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row>
    <row r="656" spans="1:30" ht="14.25">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row>
    <row r="657" spans="1:30" ht="14.25">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row>
    <row r="658" spans="1:30" ht="14.25">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row>
    <row r="659" spans="1:30" ht="14.25">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row>
    <row r="660" spans="1:30" ht="14.25">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row>
    <row r="661" spans="1:30" ht="14.25">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row>
    <row r="662" spans="1:30" ht="14.25">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row>
    <row r="663" spans="1:30" ht="14.25">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row>
    <row r="664" spans="1:30" ht="14.25">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row>
    <row r="665" spans="1:30" ht="14.2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row>
    <row r="666" spans="1:30" ht="14.25">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row>
    <row r="667" spans="1:30" ht="14.25">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row>
    <row r="668" spans="1:30" ht="14.25">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row>
    <row r="669" spans="1:30" ht="14.25">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row>
    <row r="670" spans="1:30" ht="14.25">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row>
    <row r="671" spans="1:30" ht="14.25">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row>
    <row r="672" spans="1:30" ht="14.25">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row>
    <row r="673" spans="1:30" ht="14.25">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row>
    <row r="674" spans="1:30" ht="14.25">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row>
    <row r="675" spans="1:30" ht="14.2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row>
    <row r="676" spans="1:30" ht="14.25">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row>
    <row r="677" spans="1:30" ht="14.25">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row>
    <row r="678" spans="1:30" ht="14.25">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row>
    <row r="679" spans="1:30" ht="14.25">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row>
    <row r="680" spans="1:30" ht="14.25">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row>
    <row r="681" spans="1:30" ht="14.25">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row>
    <row r="682" spans="1:30" ht="14.25">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row>
    <row r="683" spans="1:30" ht="14.25">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row>
    <row r="684" spans="1:30" ht="14.25">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row>
    <row r="685" spans="1:30" ht="14.2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row>
    <row r="686" spans="1:30" ht="14.25">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row>
    <row r="687" spans="1:30" ht="14.25">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row>
    <row r="688" spans="1:30" ht="14.25">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row>
    <row r="689" spans="1:30" ht="14.25">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row>
    <row r="690" spans="1:30" ht="14.25">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row>
    <row r="691" spans="1:30" ht="14.25">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row>
    <row r="692" spans="1:30" ht="14.25">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row>
    <row r="693" spans="1:30" ht="14.25">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row>
    <row r="694" spans="1:30" ht="14.25">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row>
    <row r="695" spans="1:30" ht="14.2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row>
    <row r="696" spans="1:30" ht="14.25">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row>
    <row r="697" spans="1:30" ht="14.25">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row>
    <row r="698" spans="1:30" ht="14.25">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row>
    <row r="699" spans="1:30" ht="14.25">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row>
    <row r="700" spans="1:30" ht="14.25">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row>
    <row r="701" spans="1:30" ht="14.25">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row>
    <row r="702" spans="1:30" ht="14.25">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row>
    <row r="703" spans="1:30" ht="14.25">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row>
    <row r="704" spans="1:30" ht="14.25">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row>
    <row r="705" spans="1:30" ht="14.2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row>
    <row r="706" spans="1:30" ht="14.25">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row>
    <row r="707" spans="1:30" ht="14.25">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row>
    <row r="708" spans="1:30" ht="14.25">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row>
    <row r="709" spans="1:30" ht="14.25">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row>
    <row r="710" spans="1:30" ht="14.25">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row>
    <row r="711" spans="1:30" ht="14.25">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row>
    <row r="712" spans="1:30" ht="14.25">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row>
    <row r="713" spans="1:30" ht="14.25">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row>
    <row r="714" spans="1:30" ht="14.25">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row>
    <row r="715" spans="1:30" ht="14.2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row>
    <row r="716" spans="1:30" ht="14.25">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row>
    <row r="717" spans="1:30" ht="14.25">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row>
    <row r="718" spans="1:30" ht="14.25">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row>
    <row r="719" spans="1:30" ht="14.25">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row>
    <row r="720" spans="1:30" ht="14.25">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row>
    <row r="721" spans="1:30" ht="14.25">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row>
    <row r="722" spans="1:30" ht="14.25">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row>
    <row r="723" spans="1:30" ht="14.25">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row>
    <row r="724" spans="1:30" ht="14.25">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row>
    <row r="725" spans="1:30" ht="14.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row>
    <row r="726" spans="1:30" ht="14.25">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row>
    <row r="727" spans="1:30" ht="14.25">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row>
    <row r="728" spans="1:30" ht="14.25">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row>
    <row r="729" spans="1:30" ht="14.25">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row>
    <row r="730" spans="1:30" ht="14.25">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row>
    <row r="731" spans="1:30" ht="14.25">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row>
    <row r="732" spans="1:30" ht="14.25">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row>
    <row r="733" spans="1:30" ht="14.25">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row>
    <row r="734" spans="1:30" ht="14.25">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row>
    <row r="735" spans="1:30" ht="14.2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row>
    <row r="736" spans="1:30" ht="14.25">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row>
    <row r="737" spans="1:30" ht="14.25">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row>
    <row r="738" spans="1:30" ht="14.25">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row>
    <row r="739" spans="1:30" ht="14.25">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row>
    <row r="740" spans="1:30" ht="14.25">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row>
    <row r="741" spans="1:30" ht="14.25">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row>
    <row r="742" spans="1:30" ht="14.25">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row>
    <row r="743" spans="1:30" ht="14.25">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row>
    <row r="744" spans="1:30" ht="14.25">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row>
    <row r="745" spans="1:30" ht="14.2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row>
    <row r="746" spans="1:30" ht="14.25">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row>
    <row r="747" spans="1:30" ht="14.25">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row>
    <row r="748" spans="1:30" ht="14.25">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row>
    <row r="749" spans="1:30" ht="14.25">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row>
    <row r="750" spans="1:30" ht="14.25">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row>
    <row r="751" spans="1:30" ht="14.25">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row>
    <row r="752" spans="1:30" ht="14.25">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row>
    <row r="753" spans="1:30" ht="14.25">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row>
    <row r="754" spans="1:30" ht="14.25">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row>
    <row r="755" spans="1:30" ht="14.2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row>
    <row r="756" spans="1:30" ht="14.25">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row>
    <row r="757" spans="1:30" ht="14.25">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row>
    <row r="758" spans="1:30" ht="14.25">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row>
    <row r="759" spans="1:30" ht="14.25">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row>
    <row r="760" spans="1:30" ht="14.25">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row>
    <row r="761" spans="1:30" ht="14.25">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row>
    <row r="762" spans="1:30" ht="14.25">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row>
    <row r="763" spans="1:30" ht="14.25">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row>
    <row r="764" spans="1:30" ht="14.25">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row>
    <row r="765" spans="1:30" ht="14.2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row>
    <row r="766" spans="1:30" ht="14.25">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row>
    <row r="767" spans="1:30" ht="14.25">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row>
    <row r="768" spans="1:30" ht="14.25">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row>
    <row r="769" spans="1:30" ht="14.25">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row>
    <row r="770" spans="1:30" ht="14.25">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row>
    <row r="771" spans="1:30" ht="14.25">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row>
    <row r="772" spans="1:30" ht="14.25">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row>
    <row r="773" spans="1:30" ht="14.25">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row>
    <row r="774" spans="1:30" ht="14.25">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row>
    <row r="775" spans="1:30" ht="14.2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row>
    <row r="776" spans="1:30" ht="14.25">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row>
    <row r="777" spans="1:30" ht="14.25">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row>
    <row r="778" spans="1:30" ht="14.25">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row>
    <row r="779" spans="1:30" ht="14.25">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row>
    <row r="780" spans="1:30" ht="14.25">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row>
    <row r="781" spans="1:30" ht="14.25">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row>
    <row r="782" spans="1:30" ht="14.25">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row>
    <row r="783" spans="1:30" ht="14.25">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row>
    <row r="784" spans="1:30" ht="14.25">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row>
    <row r="785" spans="1:30" ht="14.2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row>
    <row r="786" spans="1:30" ht="14.25">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row>
    <row r="787" spans="1:30" ht="14.25">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row>
    <row r="788" spans="1:30" ht="14.25">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row>
    <row r="789" spans="1:30" ht="14.25">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row>
    <row r="790" spans="1:30" ht="14.25">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row>
    <row r="791" spans="1:30" ht="14.25">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row>
    <row r="792" spans="1:30" ht="14.25">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row>
    <row r="793" spans="1:30" ht="14.25">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row>
    <row r="794" spans="1:30" ht="14.25">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row>
    <row r="795" spans="1:30" ht="14.2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row>
    <row r="796" spans="1:30" ht="14.25">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row>
    <row r="797" spans="1:30" ht="14.25">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row>
    <row r="798" spans="1:30" ht="14.25">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row>
    <row r="799" spans="1:30" ht="14.25">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row>
    <row r="800" spans="1:30" ht="14.25">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row>
    <row r="801" spans="1:30" ht="14.25">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row>
    <row r="802" spans="1:30" ht="14.25">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row>
    <row r="803" spans="1:30" ht="14.25">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row>
    <row r="804" spans="1:30" ht="14.25">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row>
    <row r="805" spans="1:30" ht="14.2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row>
    <row r="806" spans="1:30" ht="14.25">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row>
    <row r="807" spans="1:30" ht="14.25">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row>
    <row r="808" spans="1:30" ht="14.25">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row>
    <row r="809" spans="1:30" ht="14.25">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row>
    <row r="810" spans="1:30" ht="14.25">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row>
    <row r="811" spans="1:30" ht="14.25">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row>
    <row r="812" spans="1:30" ht="14.25">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row>
    <row r="813" spans="1:30" ht="14.25">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row>
    <row r="814" spans="1:30" ht="14.25">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row>
    <row r="815" spans="1:30" ht="14.2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row>
    <row r="816" spans="1:30" ht="14.25">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row>
    <row r="817" spans="1:30" ht="14.25">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row>
    <row r="818" spans="1:30" ht="14.25">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row>
    <row r="819" spans="1:30" ht="14.25">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row>
    <row r="820" spans="1:30" ht="14.25">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row>
    <row r="821" spans="1:30" ht="14.25">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row>
    <row r="822" spans="1:30" ht="14.25">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row>
    <row r="823" spans="1:30" ht="14.25">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row>
    <row r="824" spans="1:30" ht="14.25">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row>
    <row r="825" spans="1:30" ht="14.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row>
    <row r="826" spans="1:30" ht="14.25">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row>
    <row r="827" spans="1:30" ht="14.25">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row>
    <row r="828" spans="1:30" ht="14.25">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row>
    <row r="829" spans="1:30" ht="14.25">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row>
    <row r="830" spans="1:30" ht="14.25">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row>
    <row r="831" spans="1:30" ht="14.25">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row>
    <row r="832" spans="1:30" ht="14.25">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row>
    <row r="833" spans="1:30" ht="14.25">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row>
    <row r="834" spans="1:30" ht="14.25">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row>
    <row r="835" spans="1:30" ht="14.2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row>
    <row r="836" spans="1:30" ht="14.25">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row>
    <row r="837" spans="1:30" ht="14.25">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row>
    <row r="838" spans="1:30" ht="14.25">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row>
    <row r="839" spans="1:30" ht="14.25">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row>
    <row r="840" spans="1:30" ht="14.25">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row>
    <row r="841" spans="1:30" ht="14.25">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row>
    <row r="842" spans="1:30" ht="14.25">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row>
    <row r="843" spans="1:30" ht="14.25">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row>
    <row r="844" spans="1:30" ht="14.25">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row>
    <row r="845" spans="1:30" ht="14.2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row>
    <row r="846" spans="1:30" ht="14.25">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row>
    <row r="847" spans="1:30" ht="14.25">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row>
    <row r="848" spans="1:30" ht="14.25">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row>
    <row r="849" spans="1:30" ht="14.25">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row>
    <row r="850" spans="1:30" ht="14.25">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row>
    <row r="851" spans="1:30" ht="14.25">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row>
    <row r="852" spans="1:30" ht="14.25">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row>
    <row r="853" spans="1:30" ht="14.25">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row>
    <row r="854" spans="1:30" ht="14.25">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row>
    <row r="855" spans="1:30" ht="14.2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row>
    <row r="856" spans="1:30" ht="14.25">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row>
    <row r="857" spans="1:30" ht="14.25">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row>
    <row r="858" spans="1:30" ht="14.25">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row>
    <row r="859" spans="1:30" ht="14.25">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row>
    <row r="860" spans="1:30" ht="14.25">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row>
    <row r="861" spans="1:30" ht="14.25">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row>
    <row r="862" spans="1:30" ht="14.25">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row>
    <row r="863" spans="1:30" ht="14.25">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row>
    <row r="864" spans="1:30" ht="14.25">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row>
    <row r="865" spans="1:30" ht="14.2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row>
    <row r="866" spans="1:30" ht="14.25">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row>
    <row r="867" spans="1:30" ht="14.25">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row>
    <row r="868" spans="1:30" ht="14.25">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row>
    <row r="869" spans="1:30" ht="14.25">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row>
    <row r="870" spans="1:30" ht="14.25">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row>
    <row r="871" spans="1:30" ht="14.25">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row>
    <row r="872" spans="1:30" ht="14.25">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row>
    <row r="873" spans="1:30" ht="14.25">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row>
    <row r="874" spans="1:30" ht="14.25">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row>
    <row r="875" spans="1:30" ht="14.2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row>
    <row r="876" spans="1:30" ht="14.25">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row>
    <row r="877" spans="1:30" ht="14.25">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row>
    <row r="878" spans="1:30" ht="14.25">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row>
    <row r="879" spans="1:30" ht="14.25">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row>
    <row r="880" spans="1:30" ht="14.25">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row>
    <row r="881" spans="1:30" ht="14.25">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row>
    <row r="882" spans="1:30" ht="14.25">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row>
    <row r="883" spans="1:30" ht="14.25">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row>
    <row r="884" spans="1:30" ht="14.25">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row>
    <row r="885" spans="1:30" ht="14.2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row>
    <row r="886" spans="1:30" ht="14.25">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row>
    <row r="887" spans="1:30" ht="14.25">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row>
    <row r="888" spans="1:30" ht="14.25">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row>
    <row r="889" spans="1:30" ht="14.25">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row>
    <row r="890" spans="1:30" ht="14.25">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row>
    <row r="891" spans="1:30" ht="14.25">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row>
    <row r="892" spans="1:30" ht="14.25">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row>
    <row r="893" spans="1:30" ht="14.25">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row>
    <row r="894" spans="1:30" ht="14.25">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row>
    <row r="895" spans="1:30" ht="14.2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row>
    <row r="896" spans="1:30" ht="14.25">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row>
    <row r="897" spans="1:30" ht="14.25">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row>
    <row r="898" spans="1:30" ht="14.25">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row>
    <row r="899" spans="1:30" ht="14.25">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row>
    <row r="900" spans="1:30" ht="14.25">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row>
    <row r="901" spans="1:30" ht="14.25">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row>
    <row r="902" spans="1:30" ht="14.25">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row>
    <row r="903" spans="1:30" ht="14.25">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row>
    <row r="904" spans="1:30" ht="14.25">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row>
    <row r="905" spans="1:30" ht="14.2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row>
    <row r="906" spans="1:30" ht="14.25">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row>
    <row r="907" spans="1:30" ht="14.25">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row>
    <row r="908" spans="1:30" ht="14.25">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row>
    <row r="909" spans="1:30" ht="14.25">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row>
    <row r="910" spans="1:30" ht="14.25">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row>
    <row r="911" spans="1:30" ht="14.25">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row>
    <row r="912" spans="1:30" ht="14.25">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row>
    <row r="913" spans="1:30" ht="14.25">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row>
    <row r="914" spans="1:30" ht="14.25">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row>
    <row r="915" spans="1:30" ht="14.2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row>
    <row r="916" spans="1:30" ht="14.25">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row>
    <row r="917" spans="1:30" ht="14.25">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row>
    <row r="918" spans="1:30" ht="14.25">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row>
    <row r="919" spans="1:30">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row>
  </sheetData>
  <autoFilter ref="A3:AD371" xr:uid="{00000000-0009-0000-0000-000003000000}">
    <filterColumn colId="5">
      <filters>
        <filter val="1"/>
        <filter val="2"/>
        <filter val="3"/>
        <filter val="4"/>
        <filter val="5"/>
      </filters>
    </filterColumn>
    <sortState xmlns:xlrd2="http://schemas.microsoft.com/office/spreadsheetml/2017/richdata2" ref="A3:AD371">
      <sortCondition ref="E3:E371"/>
    </sortState>
  </autoFilter>
  <mergeCells count="6">
    <mergeCell ref="A1:AD1"/>
    <mergeCell ref="B2:Q2"/>
    <mergeCell ref="R2:V2"/>
    <mergeCell ref="W2:Y2"/>
    <mergeCell ref="Z2:AB2"/>
    <mergeCell ref="AC2:AD2"/>
  </mergeCells>
  <conditionalFormatting sqref="A78:AD81">
    <cfRule type="containsBlanks" dxfId="1" priority="1">
      <formula>LEN(TRIM(A78))=0</formula>
    </cfRule>
  </conditionalFormatting>
  <dataValidations count="1">
    <dataValidation type="list" allowBlank="1" showErrorMessage="1" sqref="Q31 Q232:Q234 C4:C919 AC4:AD919 P4:P919" xr:uid="{00000000-0002-0000-0300-000001000000}">
      <formula1>#REF!</formula1>
    </dataValidation>
  </dataValidations>
  <hyperlinks>
    <hyperlink ref="G23" r:id="rId1" location="Sec15" xr:uid="{00000000-0004-0000-0300-000000000000}"/>
    <hyperlink ref="H23" r:id="rId2" xr:uid="{00000000-0004-0000-0300-000001000000}"/>
    <hyperlink ref="H24" r:id="rId3" xr:uid="{00000000-0004-0000-0300-000002000000}"/>
    <hyperlink ref="H28" r:id="rId4" xr:uid="{00000000-0004-0000-0300-000003000000}"/>
    <hyperlink ref="H29" r:id="rId5" xr:uid="{00000000-0004-0000-0300-000004000000}"/>
    <hyperlink ref="H30" r:id="rId6" xr:uid="{00000000-0004-0000-0300-000005000000}"/>
    <hyperlink ref="H32" r:id="rId7" xr:uid="{00000000-0004-0000-0300-000006000000}"/>
    <hyperlink ref="H33" r:id="rId8" xr:uid="{00000000-0004-0000-0300-000007000000}"/>
    <hyperlink ref="H34" r:id="rId9" xr:uid="{00000000-0004-0000-0300-000008000000}"/>
    <hyperlink ref="H36" r:id="rId10" xr:uid="{00000000-0004-0000-0300-000009000000}"/>
    <hyperlink ref="H37" r:id="rId11" xr:uid="{00000000-0004-0000-0300-00000A000000}"/>
    <hyperlink ref="H38" r:id="rId12" xr:uid="{00000000-0004-0000-0300-00000B000000}"/>
    <hyperlink ref="H52" r:id="rId13" xr:uid="{00000000-0004-0000-0300-00000C000000}"/>
    <hyperlink ref="H105" r:id="rId14" xr:uid="{00000000-0004-0000-0300-00000D000000}"/>
    <hyperlink ref="H107" r:id="rId15" xr:uid="{00000000-0004-0000-0300-00000E000000}"/>
    <hyperlink ref="H108" r:id="rId16" xr:uid="{00000000-0004-0000-0300-00000F000000}"/>
    <hyperlink ref="H133" r:id="rId17" xr:uid="{00000000-0004-0000-0300-000010000000}"/>
    <hyperlink ref="H169" r:id="rId18" xr:uid="{00000000-0004-0000-0300-000011000000}"/>
    <hyperlink ref="G195" r:id="rId19" xr:uid="{00000000-0004-0000-0300-000012000000}"/>
    <hyperlink ref="H225" r:id="rId20" xr:uid="{00000000-0004-0000-0300-000013000000}"/>
    <hyperlink ref="G242" r:id="rId21" xr:uid="{00000000-0004-0000-0300-000014000000}"/>
    <hyperlink ref="H331" r:id="rId22" xr:uid="{00000000-0004-0000-0300-000015000000}"/>
    <hyperlink ref="H337" r:id="rId23" xr:uid="{00000000-0004-0000-0300-000016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AD919"/>
  <sheetViews>
    <sheetView workbookViewId="0">
      <pane ySplit="3" topLeftCell="A100" activePane="bottomLeft" state="frozen"/>
      <selection pane="bottomLeft" activeCell="AE2" sqref="AE1:AW1048576"/>
    </sheetView>
  </sheetViews>
  <sheetFormatPr defaultColWidth="14.42578125" defaultRowHeight="15.75" customHeight="1"/>
  <cols>
    <col min="1" max="2" width="13.28515625" customWidth="1"/>
    <col min="3" max="3" width="8.85546875" customWidth="1"/>
    <col min="4" max="4" width="25.7109375" customWidth="1"/>
    <col min="5" max="6" width="21.28515625" customWidth="1"/>
    <col min="7" max="7" width="16.28515625" customWidth="1"/>
    <col min="8" max="8" width="19.85546875" customWidth="1"/>
    <col min="9" max="9" width="12.140625" customWidth="1"/>
    <col min="10" max="10" width="11" customWidth="1"/>
    <col min="11" max="11" width="14" customWidth="1"/>
    <col min="12" max="12" width="15" customWidth="1"/>
    <col min="13" max="13" width="10.42578125" customWidth="1"/>
    <col min="14" max="14" width="13.7109375" customWidth="1"/>
    <col min="15" max="15" width="8.7109375" customWidth="1"/>
    <col min="16" max="16" width="14.28515625" customWidth="1"/>
    <col min="17" max="17" width="10.42578125" customWidth="1"/>
    <col min="18" max="25" width="14.140625" customWidth="1"/>
    <col min="26" max="26" width="11" customWidth="1"/>
    <col min="27" max="27" width="19.140625" customWidth="1"/>
    <col min="28" max="28" width="19" customWidth="1"/>
    <col min="29" max="29" width="10.42578125" customWidth="1"/>
    <col min="30" max="30" width="13.7109375" customWidth="1"/>
  </cols>
  <sheetData>
    <row r="1" spans="1:30" ht="14.25">
      <c r="A1" s="175" t="s">
        <v>1</v>
      </c>
      <c r="B1" s="169"/>
      <c r="C1" s="169"/>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169"/>
      <c r="AD1" s="169"/>
    </row>
    <row r="2" spans="1:30" ht="14.25">
      <c r="A2" s="8"/>
      <c r="B2" s="176" t="s">
        <v>14</v>
      </c>
      <c r="C2" s="169"/>
      <c r="D2" s="169"/>
      <c r="E2" s="169"/>
      <c r="F2" s="169"/>
      <c r="G2" s="169"/>
      <c r="H2" s="169"/>
      <c r="I2" s="169"/>
      <c r="J2" s="169"/>
      <c r="K2" s="169"/>
      <c r="L2" s="169"/>
      <c r="M2" s="169"/>
      <c r="N2" s="169"/>
      <c r="O2" s="169"/>
      <c r="P2" s="169"/>
      <c r="Q2" s="169"/>
      <c r="R2" s="177" t="s">
        <v>15</v>
      </c>
      <c r="S2" s="169"/>
      <c r="T2" s="169"/>
      <c r="U2" s="169"/>
      <c r="V2" s="169"/>
      <c r="W2" s="176" t="s">
        <v>16</v>
      </c>
      <c r="X2" s="169"/>
      <c r="Y2" s="169"/>
      <c r="Z2" s="178" t="s">
        <v>17</v>
      </c>
      <c r="AA2" s="169"/>
      <c r="AB2" s="169"/>
      <c r="AC2" s="179" t="s">
        <v>18</v>
      </c>
      <c r="AD2" s="169"/>
    </row>
    <row r="3" spans="1:30" ht="14.25">
      <c r="A3" s="10" t="s">
        <v>23</v>
      </c>
      <c r="B3" s="10" t="s">
        <v>0</v>
      </c>
      <c r="C3" s="10" t="s">
        <v>28</v>
      </c>
      <c r="D3" s="10" t="s">
        <v>29</v>
      </c>
      <c r="E3" s="10" t="s">
        <v>345</v>
      </c>
      <c r="F3" s="10" t="s">
        <v>31</v>
      </c>
      <c r="G3" s="10" t="s">
        <v>34</v>
      </c>
      <c r="H3" s="10" t="s">
        <v>36</v>
      </c>
      <c r="I3" s="10" t="s">
        <v>37</v>
      </c>
      <c r="J3" s="10" t="s">
        <v>38</v>
      </c>
      <c r="K3" s="10" t="s">
        <v>39</v>
      </c>
      <c r="L3" s="10" t="s">
        <v>41</v>
      </c>
      <c r="M3" s="10" t="s">
        <v>42</v>
      </c>
      <c r="N3" s="10" t="s">
        <v>43</v>
      </c>
      <c r="O3" s="10" t="s">
        <v>44</v>
      </c>
      <c r="P3" s="10" t="s">
        <v>45</v>
      </c>
      <c r="Q3" s="10" t="s">
        <v>46</v>
      </c>
      <c r="R3" s="10" t="s">
        <v>47</v>
      </c>
      <c r="S3" s="10" t="s">
        <v>49</v>
      </c>
      <c r="T3" s="10" t="s">
        <v>50</v>
      </c>
      <c r="U3" s="10" t="s">
        <v>51</v>
      </c>
      <c r="V3" s="10" t="s">
        <v>53</v>
      </c>
      <c r="W3" s="10" t="s">
        <v>47</v>
      </c>
      <c r="X3" s="10" t="s">
        <v>49</v>
      </c>
      <c r="Y3" s="10" t="s">
        <v>50</v>
      </c>
      <c r="Z3" s="10" t="s">
        <v>47</v>
      </c>
      <c r="AA3" s="10" t="s">
        <v>49</v>
      </c>
      <c r="AB3" s="10" t="s">
        <v>50</v>
      </c>
      <c r="AC3" s="10" t="s">
        <v>59</v>
      </c>
      <c r="AD3" s="10" t="s">
        <v>60</v>
      </c>
    </row>
    <row r="4" spans="1:30" ht="14.25" hidden="1">
      <c r="A4" s="23" t="s">
        <v>70</v>
      </c>
      <c r="B4" s="23" t="s">
        <v>72</v>
      </c>
      <c r="C4" s="23" t="s">
        <v>74</v>
      </c>
      <c r="D4" s="23" t="s">
        <v>75</v>
      </c>
      <c r="E4" s="23"/>
      <c r="F4" s="23" t="s">
        <v>76</v>
      </c>
      <c r="G4" s="40" t="s">
        <v>79</v>
      </c>
      <c r="H4" s="43" t="s">
        <v>81</v>
      </c>
      <c r="I4" s="23" t="s">
        <v>91</v>
      </c>
      <c r="J4" s="40" t="s">
        <v>91</v>
      </c>
      <c r="K4" s="44">
        <f>M4+N4</f>
        <v>322580</v>
      </c>
      <c r="L4" s="23">
        <v>39</v>
      </c>
      <c r="M4" s="40">
        <v>113769</v>
      </c>
      <c r="N4" s="44">
        <v>208811</v>
      </c>
      <c r="O4" s="40" t="s">
        <v>97</v>
      </c>
      <c r="P4" s="23" t="s">
        <v>98</v>
      </c>
      <c r="Q4" s="23" t="s">
        <v>99</v>
      </c>
      <c r="R4" s="23" t="s">
        <v>400</v>
      </c>
      <c r="S4" s="23" t="s">
        <v>101</v>
      </c>
      <c r="T4" s="23" t="s">
        <v>102</v>
      </c>
      <c r="U4" s="23" t="s">
        <v>79</v>
      </c>
      <c r="V4" s="23" t="s">
        <v>104</v>
      </c>
      <c r="W4" s="23" t="s">
        <v>79</v>
      </c>
      <c r="X4" s="23" t="s">
        <v>79</v>
      </c>
      <c r="Y4" s="23" t="s">
        <v>79</v>
      </c>
      <c r="Z4" s="23" t="s">
        <v>79</v>
      </c>
      <c r="AA4" s="23" t="s">
        <v>79</v>
      </c>
      <c r="AB4" s="23" t="s">
        <v>107</v>
      </c>
      <c r="AC4" s="23" t="s">
        <v>109</v>
      </c>
      <c r="AD4" s="23" t="s">
        <v>112</v>
      </c>
    </row>
    <row r="5" spans="1:30" ht="14.25" hidden="1">
      <c r="A5" s="23" t="s">
        <v>70</v>
      </c>
      <c r="B5" s="23" t="s">
        <v>162</v>
      </c>
      <c r="C5" s="23" t="s">
        <v>74</v>
      </c>
      <c r="D5" s="23" t="s">
        <v>127</v>
      </c>
      <c r="E5" s="23"/>
      <c r="F5" s="23" t="s">
        <v>128</v>
      </c>
      <c r="G5" s="23" t="s">
        <v>79</v>
      </c>
      <c r="H5" s="23" t="s">
        <v>79</v>
      </c>
      <c r="I5" s="23" t="s">
        <v>91</v>
      </c>
      <c r="J5" s="23" t="s">
        <v>169</v>
      </c>
      <c r="K5" s="25" t="s">
        <v>171</v>
      </c>
      <c r="L5" s="23">
        <v>13</v>
      </c>
      <c r="M5" s="23" t="s">
        <v>174</v>
      </c>
      <c r="N5" s="25" t="s">
        <v>176</v>
      </c>
      <c r="O5" s="23" t="s">
        <v>79</v>
      </c>
      <c r="P5" s="23" t="s">
        <v>98</v>
      </c>
      <c r="Q5" s="23" t="s">
        <v>178</v>
      </c>
      <c r="R5" s="23" t="s">
        <v>180</v>
      </c>
      <c r="S5" s="23" t="s">
        <v>182</v>
      </c>
      <c r="T5" s="23" t="s">
        <v>184</v>
      </c>
      <c r="U5" s="23" t="s">
        <v>185</v>
      </c>
      <c r="V5" s="23" t="s">
        <v>187</v>
      </c>
      <c r="W5" s="23" t="s">
        <v>189</v>
      </c>
      <c r="X5" s="23" t="s">
        <v>191</v>
      </c>
      <c r="Y5" s="23" t="s">
        <v>193</v>
      </c>
      <c r="Z5" s="23" t="s">
        <v>195</v>
      </c>
      <c r="AA5" s="23" t="s">
        <v>200</v>
      </c>
      <c r="AB5" s="23" t="s">
        <v>201</v>
      </c>
      <c r="AC5" s="23" t="s">
        <v>109</v>
      </c>
      <c r="AD5" s="23" t="s">
        <v>204</v>
      </c>
    </row>
    <row r="6" spans="1:30" ht="18.75" hidden="1" customHeight="1">
      <c r="A6" s="29" t="s">
        <v>70</v>
      </c>
      <c r="B6" s="30" t="s">
        <v>210</v>
      </c>
      <c r="C6" s="30" t="s">
        <v>74</v>
      </c>
      <c r="D6" s="30" t="s">
        <v>213</v>
      </c>
      <c r="E6" s="30"/>
      <c r="F6" s="30" t="s">
        <v>214</v>
      </c>
      <c r="G6" s="30" t="s">
        <v>216</v>
      </c>
      <c r="H6" s="30" t="s">
        <v>217</v>
      </c>
      <c r="I6" s="30"/>
      <c r="J6" s="30" t="s">
        <v>133</v>
      </c>
      <c r="K6" s="30" t="s">
        <v>218</v>
      </c>
      <c r="L6" s="30">
        <v>23809</v>
      </c>
      <c r="M6" s="30" t="s">
        <v>220</v>
      </c>
      <c r="N6" s="30" t="s">
        <v>221</v>
      </c>
      <c r="O6" s="30"/>
      <c r="P6" s="30" t="s">
        <v>98</v>
      </c>
      <c r="Q6" s="30" t="s">
        <v>224</v>
      </c>
      <c r="R6" s="31" t="s">
        <v>226</v>
      </c>
      <c r="S6" s="30" t="s">
        <v>235</v>
      </c>
      <c r="T6" s="30" t="s">
        <v>237</v>
      </c>
      <c r="U6" s="31"/>
      <c r="V6" s="30"/>
      <c r="W6" s="30" t="s">
        <v>239</v>
      </c>
      <c r="X6" s="31" t="s">
        <v>240</v>
      </c>
      <c r="Y6" s="30" t="s">
        <v>241</v>
      </c>
      <c r="Z6" s="30" t="s">
        <v>242</v>
      </c>
      <c r="AA6" s="30" t="s">
        <v>243</v>
      </c>
      <c r="AB6" s="30" t="s">
        <v>244</v>
      </c>
      <c r="AC6" s="30" t="s">
        <v>109</v>
      </c>
      <c r="AD6" s="30" t="s">
        <v>145</v>
      </c>
    </row>
    <row r="7" spans="1:30" ht="18.75" hidden="1" customHeight="1">
      <c r="A7" s="10" t="s">
        <v>52</v>
      </c>
      <c r="B7" s="10" t="s">
        <v>55</v>
      </c>
      <c r="C7" s="10" t="s">
        <v>74</v>
      </c>
      <c r="D7" s="33" t="s">
        <v>249</v>
      </c>
      <c r="E7" s="10"/>
      <c r="F7" s="10" t="s">
        <v>480</v>
      </c>
      <c r="G7" s="33" t="s">
        <v>252</v>
      </c>
      <c r="H7" s="10" t="s">
        <v>254</v>
      </c>
      <c r="I7" s="10" t="s">
        <v>256</v>
      </c>
      <c r="J7" s="10" t="s">
        <v>256</v>
      </c>
      <c r="K7" s="34">
        <f t="shared" ref="K7:K11" si="0">M7+N7</f>
        <v>916</v>
      </c>
      <c r="L7" s="10">
        <v>6</v>
      </c>
      <c r="M7" s="35">
        <v>132</v>
      </c>
      <c r="N7" s="35">
        <v>784</v>
      </c>
      <c r="O7" s="10" t="s">
        <v>79</v>
      </c>
      <c r="P7" s="10" t="s">
        <v>98</v>
      </c>
      <c r="Q7" s="10" t="s">
        <v>489</v>
      </c>
      <c r="R7" s="36" t="s">
        <v>269</v>
      </c>
      <c r="S7" s="37" t="s">
        <v>271</v>
      </c>
      <c r="T7" s="36" t="s">
        <v>272</v>
      </c>
      <c r="U7" s="10">
        <v>5.6074215509999998</v>
      </c>
      <c r="V7" s="10">
        <v>0.34631043500000003</v>
      </c>
      <c r="W7" s="36" t="s">
        <v>273</v>
      </c>
      <c r="X7" s="36" t="s">
        <v>274</v>
      </c>
      <c r="Y7" s="36" t="s">
        <v>276</v>
      </c>
      <c r="Z7" s="36" t="s">
        <v>277</v>
      </c>
      <c r="AA7" s="37" t="s">
        <v>278</v>
      </c>
      <c r="AB7" s="36" t="s">
        <v>280</v>
      </c>
      <c r="AC7" s="10" t="s">
        <v>140</v>
      </c>
      <c r="AD7" s="10" t="s">
        <v>145</v>
      </c>
    </row>
    <row r="8" spans="1:30" ht="18.75" hidden="1" customHeight="1">
      <c r="A8" s="10" t="s">
        <v>52</v>
      </c>
      <c r="B8" s="10" t="s">
        <v>55</v>
      </c>
      <c r="C8" s="10" t="s">
        <v>74</v>
      </c>
      <c r="D8" s="33" t="s">
        <v>294</v>
      </c>
      <c r="E8" s="10"/>
      <c r="F8" s="10" t="s">
        <v>502</v>
      </c>
      <c r="G8" s="33" t="s">
        <v>296</v>
      </c>
      <c r="H8" s="10" t="s">
        <v>254</v>
      </c>
      <c r="I8" s="10" t="s">
        <v>256</v>
      </c>
      <c r="J8" s="10" t="s">
        <v>256</v>
      </c>
      <c r="K8" s="34">
        <f t="shared" si="0"/>
        <v>916</v>
      </c>
      <c r="L8" s="10">
        <v>41</v>
      </c>
      <c r="M8" s="35">
        <v>132</v>
      </c>
      <c r="N8" s="35">
        <v>784</v>
      </c>
      <c r="O8" s="10" t="s">
        <v>79</v>
      </c>
      <c r="P8" s="10" t="s">
        <v>98</v>
      </c>
      <c r="Q8" s="10" t="s">
        <v>510</v>
      </c>
      <c r="R8" s="36" t="s">
        <v>303</v>
      </c>
      <c r="S8" s="37" t="s">
        <v>304</v>
      </c>
      <c r="T8" s="36" t="s">
        <v>305</v>
      </c>
      <c r="U8" s="10">
        <v>40.979549370000001</v>
      </c>
      <c r="V8" s="10">
        <v>0.42735600000000001</v>
      </c>
      <c r="W8" s="36" t="s">
        <v>306</v>
      </c>
      <c r="X8" s="36" t="s">
        <v>307</v>
      </c>
      <c r="Y8" s="36" t="s">
        <v>308</v>
      </c>
      <c r="Z8" s="36" t="s">
        <v>310</v>
      </c>
      <c r="AA8" s="37" t="s">
        <v>311</v>
      </c>
      <c r="AB8" s="36" t="s">
        <v>312</v>
      </c>
      <c r="AC8" s="10" t="s">
        <v>140</v>
      </c>
      <c r="AD8" s="10" t="s">
        <v>145</v>
      </c>
    </row>
    <row r="9" spans="1:30" ht="14.25" hidden="1">
      <c r="A9" s="10" t="s">
        <v>52</v>
      </c>
      <c r="B9" s="10" t="s">
        <v>55</v>
      </c>
      <c r="C9" s="10" t="s">
        <v>74</v>
      </c>
      <c r="D9" s="33" t="s">
        <v>524</v>
      </c>
      <c r="E9" s="10"/>
      <c r="F9" s="10" t="s">
        <v>526</v>
      </c>
      <c r="G9" s="33" t="s">
        <v>527</v>
      </c>
      <c r="H9" s="10" t="s">
        <v>254</v>
      </c>
      <c r="I9" s="10" t="s">
        <v>256</v>
      </c>
      <c r="J9" s="10" t="s">
        <v>256</v>
      </c>
      <c r="K9" s="34">
        <f t="shared" si="0"/>
        <v>916</v>
      </c>
      <c r="L9" s="10">
        <v>47</v>
      </c>
      <c r="M9" s="35">
        <v>132</v>
      </c>
      <c r="N9" s="35">
        <v>784</v>
      </c>
      <c r="O9" s="10" t="s">
        <v>79</v>
      </c>
      <c r="P9" s="10" t="s">
        <v>98</v>
      </c>
      <c r="Q9" s="10" t="s">
        <v>532</v>
      </c>
      <c r="R9" s="36" t="s">
        <v>534</v>
      </c>
      <c r="S9" s="37" t="s">
        <v>536</v>
      </c>
      <c r="T9" s="36" t="s">
        <v>537</v>
      </c>
      <c r="U9" s="10">
        <v>45.959905910000003</v>
      </c>
      <c r="V9" s="10">
        <v>0.47392800000000002</v>
      </c>
      <c r="W9" s="36" t="s">
        <v>542</v>
      </c>
      <c r="X9" s="36" t="s">
        <v>543</v>
      </c>
      <c r="Y9" s="36" t="s">
        <v>545</v>
      </c>
      <c r="Z9" s="36" t="s">
        <v>546</v>
      </c>
      <c r="AA9" s="34" t="s">
        <v>548</v>
      </c>
      <c r="AB9" s="36" t="s">
        <v>549</v>
      </c>
      <c r="AC9" s="10" t="s">
        <v>140</v>
      </c>
      <c r="AD9" s="10" t="s">
        <v>145</v>
      </c>
    </row>
    <row r="10" spans="1:30" ht="14.25" hidden="1">
      <c r="A10" s="10" t="s">
        <v>52</v>
      </c>
      <c r="B10" s="10" t="s">
        <v>55</v>
      </c>
      <c r="C10" s="10" t="s">
        <v>74</v>
      </c>
      <c r="D10" s="33" t="s">
        <v>342</v>
      </c>
      <c r="E10" s="10"/>
      <c r="F10" s="10" t="s">
        <v>560</v>
      </c>
      <c r="G10" s="33" t="s">
        <v>344</v>
      </c>
      <c r="H10" s="10" t="s">
        <v>254</v>
      </c>
      <c r="I10" s="10" t="s">
        <v>256</v>
      </c>
      <c r="J10" s="10" t="s">
        <v>256</v>
      </c>
      <c r="K10" s="34">
        <f t="shared" si="0"/>
        <v>916</v>
      </c>
      <c r="L10" s="10">
        <v>23</v>
      </c>
      <c r="M10" s="35">
        <v>132</v>
      </c>
      <c r="N10" s="35">
        <v>784</v>
      </c>
      <c r="O10" s="10" t="s">
        <v>79</v>
      </c>
      <c r="P10" s="10" t="s">
        <v>98</v>
      </c>
      <c r="Q10" s="10" t="s">
        <v>564</v>
      </c>
      <c r="R10" s="36" t="s">
        <v>347</v>
      </c>
      <c r="S10" s="37" t="s">
        <v>348</v>
      </c>
      <c r="T10" s="36" t="s">
        <v>350</v>
      </c>
      <c r="U10" s="10">
        <v>30.016255869999998</v>
      </c>
      <c r="V10" s="10">
        <v>0.11806999999999999</v>
      </c>
      <c r="W10" s="36" t="s">
        <v>352</v>
      </c>
      <c r="X10" s="36" t="s">
        <v>353</v>
      </c>
      <c r="Y10" s="36" t="s">
        <v>355</v>
      </c>
      <c r="Z10" s="36" t="s">
        <v>356</v>
      </c>
      <c r="AA10" s="37" t="s">
        <v>358</v>
      </c>
      <c r="AB10" s="36" t="s">
        <v>359</v>
      </c>
      <c r="AC10" s="10" t="s">
        <v>140</v>
      </c>
      <c r="AD10" s="10" t="s">
        <v>145</v>
      </c>
    </row>
    <row r="11" spans="1:30" ht="14.25" hidden="1">
      <c r="A11" s="14" t="s">
        <v>52</v>
      </c>
      <c r="B11" s="14" t="s">
        <v>67</v>
      </c>
      <c r="C11" s="14" t="s">
        <v>74</v>
      </c>
      <c r="D11" s="14" t="s">
        <v>75</v>
      </c>
      <c r="E11" s="14"/>
      <c r="F11" s="14" t="s">
        <v>389</v>
      </c>
      <c r="G11" s="14" t="s">
        <v>113</v>
      </c>
      <c r="H11" s="14" t="s">
        <v>390</v>
      </c>
      <c r="I11" s="14" t="s">
        <v>133</v>
      </c>
      <c r="J11" s="14" t="s">
        <v>394</v>
      </c>
      <c r="K11" s="14">
        <f t="shared" si="0"/>
        <v>228951</v>
      </c>
      <c r="L11" s="14">
        <v>48</v>
      </c>
      <c r="M11" s="14">
        <v>122977</v>
      </c>
      <c r="N11" s="14">
        <v>105974</v>
      </c>
      <c r="O11" s="14" t="s">
        <v>97</v>
      </c>
      <c r="P11" s="14" t="s">
        <v>98</v>
      </c>
      <c r="Q11" s="14">
        <v>15.64</v>
      </c>
      <c r="R11" s="45" t="s">
        <v>590</v>
      </c>
      <c r="S11" s="45" t="s">
        <v>591</v>
      </c>
      <c r="T11" s="45" t="s">
        <v>592</v>
      </c>
      <c r="U11" s="45" t="s">
        <v>593</v>
      </c>
      <c r="V11" s="45" t="s">
        <v>594</v>
      </c>
      <c r="W11" s="45" t="s">
        <v>595</v>
      </c>
      <c r="X11" s="45" t="s">
        <v>596</v>
      </c>
      <c r="Y11" s="45" t="s">
        <v>597</v>
      </c>
      <c r="Z11" s="45" t="s">
        <v>599</v>
      </c>
      <c r="AA11" s="45" t="s">
        <v>600</v>
      </c>
      <c r="AB11" s="45" t="s">
        <v>602</v>
      </c>
      <c r="AC11" s="14" t="s">
        <v>140</v>
      </c>
      <c r="AD11" s="14" t="s">
        <v>204</v>
      </c>
    </row>
    <row r="12" spans="1:30" ht="14.25">
      <c r="A12" s="49" t="s">
        <v>52</v>
      </c>
      <c r="B12" s="49" t="s">
        <v>135</v>
      </c>
      <c r="C12" s="49" t="s">
        <v>74</v>
      </c>
      <c r="D12" s="49" t="s">
        <v>622</v>
      </c>
      <c r="E12" s="49">
        <v>1</v>
      </c>
      <c r="F12" s="49" t="s">
        <v>170</v>
      </c>
      <c r="G12" s="49" t="s">
        <v>215</v>
      </c>
      <c r="H12" s="49" t="s">
        <v>628</v>
      </c>
      <c r="I12" s="49" t="s">
        <v>133</v>
      </c>
      <c r="J12" s="49" t="s">
        <v>218</v>
      </c>
      <c r="K12" s="50">
        <v>156078</v>
      </c>
      <c r="L12" s="49">
        <v>19</v>
      </c>
      <c r="M12" s="50">
        <v>20629</v>
      </c>
      <c r="N12" s="50">
        <v>135449</v>
      </c>
      <c r="O12" s="49" t="s">
        <v>97</v>
      </c>
      <c r="P12" s="49" t="s">
        <v>98</v>
      </c>
      <c r="Q12" s="49" t="s">
        <v>79</v>
      </c>
      <c r="R12" s="49">
        <v>0.80100000000000005</v>
      </c>
      <c r="S12" s="49" t="s">
        <v>630</v>
      </c>
      <c r="T12" s="51">
        <v>0.69</v>
      </c>
      <c r="U12" s="49" t="s">
        <v>79</v>
      </c>
      <c r="V12" s="49">
        <v>1E-3</v>
      </c>
      <c r="W12" s="49">
        <v>2.2629999999999999</v>
      </c>
      <c r="X12" s="49" t="s">
        <v>631</v>
      </c>
      <c r="Y12" s="49">
        <v>0.13600000000000001</v>
      </c>
      <c r="Z12" s="49">
        <v>16.837</v>
      </c>
      <c r="AA12" s="49" t="s">
        <v>633</v>
      </c>
      <c r="AB12" s="51">
        <v>0.22539999999999999</v>
      </c>
      <c r="AC12" s="49" t="s">
        <v>140</v>
      </c>
      <c r="AD12" s="49" t="s">
        <v>145</v>
      </c>
    </row>
    <row r="13" spans="1:30" ht="14.25" hidden="1">
      <c r="A13" s="14" t="s">
        <v>52</v>
      </c>
      <c r="B13" s="14" t="s">
        <v>67</v>
      </c>
      <c r="C13" s="14" t="s">
        <v>74</v>
      </c>
      <c r="D13" s="14" t="s">
        <v>246</v>
      </c>
      <c r="E13" s="14"/>
      <c r="F13" s="14" t="s">
        <v>389</v>
      </c>
      <c r="G13" s="14" t="s">
        <v>248</v>
      </c>
      <c r="H13" s="14" t="s">
        <v>390</v>
      </c>
      <c r="I13" s="14" t="s">
        <v>133</v>
      </c>
      <c r="J13" s="14" t="s">
        <v>394</v>
      </c>
      <c r="K13" s="14">
        <f t="shared" ref="K13:K22" si="1">M13+N13</f>
        <v>228951</v>
      </c>
      <c r="L13" s="14">
        <v>17</v>
      </c>
      <c r="M13" s="14">
        <v>122977</v>
      </c>
      <c r="N13" s="14">
        <v>105974</v>
      </c>
      <c r="O13" s="14" t="s">
        <v>97</v>
      </c>
      <c r="P13" s="14" t="s">
        <v>98</v>
      </c>
      <c r="Q13" s="14">
        <v>20.818000000000001</v>
      </c>
      <c r="R13" s="45" t="s">
        <v>434</v>
      </c>
      <c r="S13" s="45" t="s">
        <v>436</v>
      </c>
      <c r="T13" s="45" t="s">
        <v>437</v>
      </c>
      <c r="U13" s="45" t="s">
        <v>439</v>
      </c>
      <c r="V13" s="45" t="s">
        <v>440</v>
      </c>
      <c r="W13" s="45" t="s">
        <v>441</v>
      </c>
      <c r="X13" s="45" t="s">
        <v>442</v>
      </c>
      <c r="Y13" s="45" t="s">
        <v>444</v>
      </c>
      <c r="Z13" s="45" t="s">
        <v>449</v>
      </c>
      <c r="AA13" s="45" t="s">
        <v>451</v>
      </c>
      <c r="AB13" s="45" t="s">
        <v>454</v>
      </c>
      <c r="AC13" s="14" t="s">
        <v>140</v>
      </c>
      <c r="AD13" s="14" t="s">
        <v>204</v>
      </c>
    </row>
    <row r="14" spans="1:30" ht="14.25" hidden="1">
      <c r="A14" s="14" t="s">
        <v>52</v>
      </c>
      <c r="B14" s="14" t="s">
        <v>67</v>
      </c>
      <c r="C14" s="14" t="s">
        <v>74</v>
      </c>
      <c r="D14" s="14" t="s">
        <v>459</v>
      </c>
      <c r="E14" s="14"/>
      <c r="F14" s="14" t="s">
        <v>389</v>
      </c>
      <c r="G14" s="14" t="s">
        <v>215</v>
      </c>
      <c r="H14" s="14" t="s">
        <v>390</v>
      </c>
      <c r="I14" s="14" t="s">
        <v>133</v>
      </c>
      <c r="J14" s="14" t="s">
        <v>394</v>
      </c>
      <c r="K14" s="14">
        <f t="shared" si="1"/>
        <v>228951</v>
      </c>
      <c r="L14" s="14">
        <v>16</v>
      </c>
      <c r="M14" s="14">
        <v>122977</v>
      </c>
      <c r="N14" s="14">
        <v>105974</v>
      </c>
      <c r="O14" s="14" t="s">
        <v>97</v>
      </c>
      <c r="P14" s="14" t="s">
        <v>98</v>
      </c>
      <c r="Q14" s="14">
        <v>17.041</v>
      </c>
      <c r="R14" s="45" t="s">
        <v>465</v>
      </c>
      <c r="S14" s="45" t="s">
        <v>466</v>
      </c>
      <c r="T14" s="45" t="s">
        <v>467</v>
      </c>
      <c r="U14" s="45" t="s">
        <v>468</v>
      </c>
      <c r="V14" s="45" t="s">
        <v>470</v>
      </c>
      <c r="W14" s="45" t="s">
        <v>472</v>
      </c>
      <c r="X14" s="45" t="s">
        <v>474</v>
      </c>
      <c r="Y14" s="45" t="s">
        <v>476</v>
      </c>
      <c r="Z14" s="45" t="s">
        <v>478</v>
      </c>
      <c r="AA14" s="45" t="s">
        <v>481</v>
      </c>
      <c r="AB14" s="45" t="s">
        <v>484</v>
      </c>
      <c r="AC14" s="14" t="s">
        <v>140</v>
      </c>
      <c r="AD14" s="14" t="s">
        <v>204</v>
      </c>
    </row>
    <row r="15" spans="1:30" ht="14.25" hidden="1">
      <c r="A15" s="14" t="s">
        <v>52</v>
      </c>
      <c r="B15" s="14" t="s">
        <v>67</v>
      </c>
      <c r="C15" s="14" t="s">
        <v>74</v>
      </c>
      <c r="D15" s="14" t="s">
        <v>75</v>
      </c>
      <c r="E15" s="14"/>
      <c r="F15" s="14" t="s">
        <v>515</v>
      </c>
      <c r="G15" s="14" t="s">
        <v>113</v>
      </c>
      <c r="H15" s="14" t="s">
        <v>516</v>
      </c>
      <c r="I15" s="14" t="s">
        <v>133</v>
      </c>
      <c r="J15" s="14" t="s">
        <v>394</v>
      </c>
      <c r="K15" s="14">
        <f t="shared" si="1"/>
        <v>175475</v>
      </c>
      <c r="L15" s="14">
        <v>51</v>
      </c>
      <c r="M15" s="14">
        <v>69501</v>
      </c>
      <c r="N15" s="14">
        <v>105974</v>
      </c>
      <c r="O15" s="14" t="s">
        <v>97</v>
      </c>
      <c r="P15" s="14" t="s">
        <v>98</v>
      </c>
      <c r="Q15" s="14">
        <v>15.64</v>
      </c>
      <c r="R15" s="45" t="s">
        <v>708</v>
      </c>
      <c r="S15" s="45" t="s">
        <v>710</v>
      </c>
      <c r="T15" s="45" t="s">
        <v>180</v>
      </c>
      <c r="U15" s="45" t="s">
        <v>713</v>
      </c>
      <c r="V15" s="45" t="s">
        <v>715</v>
      </c>
      <c r="W15" s="45" t="s">
        <v>717</v>
      </c>
      <c r="X15" s="45" t="s">
        <v>719</v>
      </c>
      <c r="Y15" s="45" t="s">
        <v>721</v>
      </c>
      <c r="Z15" s="45" t="s">
        <v>722</v>
      </c>
      <c r="AA15" s="45" t="s">
        <v>723</v>
      </c>
      <c r="AB15" s="45" t="s">
        <v>724</v>
      </c>
      <c r="AC15" s="14" t="s">
        <v>140</v>
      </c>
      <c r="AD15" s="14" t="s">
        <v>204</v>
      </c>
    </row>
    <row r="16" spans="1:30" ht="14.25" hidden="1">
      <c r="A16" s="14" t="s">
        <v>52</v>
      </c>
      <c r="B16" s="14" t="s">
        <v>67</v>
      </c>
      <c r="C16" s="14" t="s">
        <v>74</v>
      </c>
      <c r="D16" s="14" t="s">
        <v>164</v>
      </c>
      <c r="E16" s="14"/>
      <c r="F16" s="14" t="s">
        <v>515</v>
      </c>
      <c r="G16" s="14" t="s">
        <v>165</v>
      </c>
      <c r="H16" s="14" t="s">
        <v>516</v>
      </c>
      <c r="I16" s="14" t="s">
        <v>133</v>
      </c>
      <c r="J16" s="14" t="s">
        <v>394</v>
      </c>
      <c r="K16" s="14">
        <f t="shared" si="1"/>
        <v>175475</v>
      </c>
      <c r="L16" s="14">
        <v>38</v>
      </c>
      <c r="M16" s="14">
        <v>69501</v>
      </c>
      <c r="N16" s="14">
        <v>105974</v>
      </c>
      <c r="O16" s="14" t="s">
        <v>97</v>
      </c>
      <c r="P16" s="14" t="s">
        <v>98</v>
      </c>
      <c r="Q16" s="14">
        <v>24.745999999999999</v>
      </c>
      <c r="R16" s="45" t="s">
        <v>522</v>
      </c>
      <c r="S16" s="45" t="s">
        <v>523</v>
      </c>
      <c r="T16" s="45" t="s">
        <v>418</v>
      </c>
      <c r="U16" s="45" t="s">
        <v>525</v>
      </c>
      <c r="V16" s="45" t="s">
        <v>528</v>
      </c>
      <c r="W16" s="45" t="s">
        <v>529</v>
      </c>
      <c r="X16" s="45" t="s">
        <v>531</v>
      </c>
      <c r="Y16" s="45" t="s">
        <v>533</v>
      </c>
      <c r="Z16" s="45" t="s">
        <v>535</v>
      </c>
      <c r="AA16" s="45" t="s">
        <v>539</v>
      </c>
      <c r="AB16" s="45" t="s">
        <v>541</v>
      </c>
      <c r="AC16" s="14" t="s">
        <v>140</v>
      </c>
      <c r="AD16" s="14" t="s">
        <v>204</v>
      </c>
    </row>
    <row r="17" spans="1:30" ht="14.25" hidden="1">
      <c r="A17" s="14" t="s">
        <v>52</v>
      </c>
      <c r="B17" s="14" t="s">
        <v>67</v>
      </c>
      <c r="C17" s="14" t="s">
        <v>74</v>
      </c>
      <c r="D17" s="14" t="s">
        <v>246</v>
      </c>
      <c r="E17" s="14"/>
      <c r="F17" s="14" t="s">
        <v>515</v>
      </c>
      <c r="G17" s="14" t="s">
        <v>248</v>
      </c>
      <c r="H17" s="14" t="s">
        <v>516</v>
      </c>
      <c r="I17" s="14" t="s">
        <v>133</v>
      </c>
      <c r="J17" s="14" t="s">
        <v>394</v>
      </c>
      <c r="K17" s="14">
        <f t="shared" si="1"/>
        <v>175475</v>
      </c>
      <c r="L17" s="14">
        <v>17</v>
      </c>
      <c r="M17" s="14">
        <v>69501</v>
      </c>
      <c r="N17" s="14">
        <v>105974</v>
      </c>
      <c r="O17" s="14" t="s">
        <v>97</v>
      </c>
      <c r="P17" s="14" t="s">
        <v>98</v>
      </c>
      <c r="Q17" s="14">
        <v>20.818000000000001</v>
      </c>
      <c r="R17" s="45" t="s">
        <v>565</v>
      </c>
      <c r="S17" s="45" t="s">
        <v>567</v>
      </c>
      <c r="T17" s="45" t="s">
        <v>568</v>
      </c>
      <c r="U17" s="45" t="s">
        <v>570</v>
      </c>
      <c r="V17" s="45" t="s">
        <v>571</v>
      </c>
      <c r="W17" s="45" t="s">
        <v>573</v>
      </c>
      <c r="X17" s="45" t="s">
        <v>575</v>
      </c>
      <c r="Y17" s="45" t="s">
        <v>578</v>
      </c>
      <c r="Z17" s="45" t="s">
        <v>579</v>
      </c>
      <c r="AA17" s="45" t="s">
        <v>581</v>
      </c>
      <c r="AB17" s="45" t="s">
        <v>584</v>
      </c>
      <c r="AC17" s="14" t="s">
        <v>140</v>
      </c>
      <c r="AD17" s="14" t="s">
        <v>204</v>
      </c>
    </row>
    <row r="18" spans="1:30" ht="14.25" hidden="1">
      <c r="A18" s="14" t="s">
        <v>52</v>
      </c>
      <c r="B18" s="14" t="s">
        <v>67</v>
      </c>
      <c r="C18" s="14" t="s">
        <v>74</v>
      </c>
      <c r="D18" s="14" t="s">
        <v>459</v>
      </c>
      <c r="E18" s="14"/>
      <c r="F18" s="14" t="s">
        <v>515</v>
      </c>
      <c r="G18" s="14" t="s">
        <v>215</v>
      </c>
      <c r="H18" s="14" t="s">
        <v>516</v>
      </c>
      <c r="I18" s="14" t="s">
        <v>133</v>
      </c>
      <c r="J18" s="14" t="s">
        <v>394</v>
      </c>
      <c r="K18" s="14">
        <f t="shared" si="1"/>
        <v>175475</v>
      </c>
      <c r="L18" s="14">
        <v>16</v>
      </c>
      <c r="M18" s="14">
        <v>69501</v>
      </c>
      <c r="N18" s="14">
        <v>105974</v>
      </c>
      <c r="O18" s="14" t="s">
        <v>97</v>
      </c>
      <c r="P18" s="14" t="s">
        <v>98</v>
      </c>
      <c r="Q18" s="14">
        <v>17.041</v>
      </c>
      <c r="R18" s="45" t="s">
        <v>606</v>
      </c>
      <c r="S18" s="45" t="s">
        <v>607</v>
      </c>
      <c r="T18" s="45" t="s">
        <v>609</v>
      </c>
      <c r="U18" s="45" t="s">
        <v>611</v>
      </c>
      <c r="V18" s="45" t="s">
        <v>613</v>
      </c>
      <c r="W18" s="45" t="s">
        <v>614</v>
      </c>
      <c r="X18" s="45" t="s">
        <v>616</v>
      </c>
      <c r="Y18" s="45" t="s">
        <v>620</v>
      </c>
      <c r="Z18" s="45" t="s">
        <v>623</v>
      </c>
      <c r="AA18" s="45" t="s">
        <v>625</v>
      </c>
      <c r="AB18" s="45" t="s">
        <v>578</v>
      </c>
      <c r="AC18" s="14" t="s">
        <v>140</v>
      </c>
      <c r="AD18" s="14" t="s">
        <v>204</v>
      </c>
    </row>
    <row r="19" spans="1:30" ht="14.25" hidden="1">
      <c r="A19" s="14" t="s">
        <v>52</v>
      </c>
      <c r="B19" s="14" t="s">
        <v>67</v>
      </c>
      <c r="C19" s="14" t="s">
        <v>74</v>
      </c>
      <c r="D19" s="14" t="s">
        <v>75</v>
      </c>
      <c r="E19" s="14"/>
      <c r="F19" s="14" t="s">
        <v>657</v>
      </c>
      <c r="G19" s="14" t="s">
        <v>113</v>
      </c>
      <c r="H19" s="14" t="s">
        <v>659</v>
      </c>
      <c r="I19" s="14" t="s">
        <v>133</v>
      </c>
      <c r="J19" s="14" t="s">
        <v>394</v>
      </c>
      <c r="K19" s="14">
        <f t="shared" si="1"/>
        <v>127442</v>
      </c>
      <c r="L19" s="14">
        <v>47</v>
      </c>
      <c r="M19" s="14">
        <v>21468</v>
      </c>
      <c r="N19" s="14">
        <v>105974</v>
      </c>
      <c r="O19" s="14" t="s">
        <v>97</v>
      </c>
      <c r="P19" s="14" t="s">
        <v>98</v>
      </c>
      <c r="Q19" s="14">
        <v>15.64</v>
      </c>
      <c r="R19" s="45" t="s">
        <v>826</v>
      </c>
      <c r="S19" s="45" t="s">
        <v>827</v>
      </c>
      <c r="T19" s="45" t="s">
        <v>828</v>
      </c>
      <c r="U19" s="45" t="s">
        <v>829</v>
      </c>
      <c r="V19" s="45" t="s">
        <v>830</v>
      </c>
      <c r="W19" s="45" t="s">
        <v>831</v>
      </c>
      <c r="X19" s="45" t="s">
        <v>832</v>
      </c>
      <c r="Y19" s="45" t="s">
        <v>833</v>
      </c>
      <c r="Z19" s="45" t="s">
        <v>835</v>
      </c>
      <c r="AA19" s="45" t="s">
        <v>836</v>
      </c>
      <c r="AB19" s="45" t="s">
        <v>837</v>
      </c>
      <c r="AC19" s="14" t="s">
        <v>140</v>
      </c>
      <c r="AD19" s="14" t="s">
        <v>204</v>
      </c>
    </row>
    <row r="20" spans="1:30" ht="14.25" hidden="1">
      <c r="A20" s="14" t="s">
        <v>52</v>
      </c>
      <c r="B20" s="14" t="s">
        <v>67</v>
      </c>
      <c r="C20" s="14" t="s">
        <v>74</v>
      </c>
      <c r="D20" s="14" t="s">
        <v>164</v>
      </c>
      <c r="E20" s="14"/>
      <c r="F20" s="14" t="s">
        <v>657</v>
      </c>
      <c r="G20" s="14" t="s">
        <v>165</v>
      </c>
      <c r="H20" s="14" t="s">
        <v>659</v>
      </c>
      <c r="I20" s="14" t="s">
        <v>133</v>
      </c>
      <c r="J20" s="14" t="s">
        <v>394</v>
      </c>
      <c r="K20" s="14">
        <f t="shared" si="1"/>
        <v>127442</v>
      </c>
      <c r="L20" s="14">
        <v>39</v>
      </c>
      <c r="M20" s="14">
        <v>21468</v>
      </c>
      <c r="N20" s="14">
        <v>105974</v>
      </c>
      <c r="O20" s="14" t="s">
        <v>97</v>
      </c>
      <c r="P20" s="14" t="s">
        <v>98</v>
      </c>
      <c r="Q20" s="14">
        <v>24.745999999999999</v>
      </c>
      <c r="R20" s="45" t="s">
        <v>673</v>
      </c>
      <c r="S20" s="45" t="s">
        <v>674</v>
      </c>
      <c r="T20" s="45" t="s">
        <v>676</v>
      </c>
      <c r="U20" s="45" t="s">
        <v>677</v>
      </c>
      <c r="V20" s="45" t="s">
        <v>678</v>
      </c>
      <c r="W20" s="45" t="s">
        <v>680</v>
      </c>
      <c r="X20" s="45" t="s">
        <v>681</v>
      </c>
      <c r="Y20" s="45" t="s">
        <v>682</v>
      </c>
      <c r="Z20" s="45" t="s">
        <v>683</v>
      </c>
      <c r="AA20" s="45" t="s">
        <v>684</v>
      </c>
      <c r="AB20" s="45" t="s">
        <v>685</v>
      </c>
      <c r="AC20" s="14" t="s">
        <v>140</v>
      </c>
      <c r="AD20" s="14" t="s">
        <v>204</v>
      </c>
    </row>
    <row r="21" spans="1:30" ht="14.25" hidden="1">
      <c r="A21" s="14" t="s">
        <v>52</v>
      </c>
      <c r="B21" s="14" t="s">
        <v>67</v>
      </c>
      <c r="C21" s="14" t="s">
        <v>74</v>
      </c>
      <c r="D21" s="14" t="s">
        <v>246</v>
      </c>
      <c r="E21" s="14"/>
      <c r="F21" s="14" t="s">
        <v>657</v>
      </c>
      <c r="G21" s="14" t="s">
        <v>248</v>
      </c>
      <c r="H21" s="14" t="s">
        <v>659</v>
      </c>
      <c r="I21" s="14" t="s">
        <v>133</v>
      </c>
      <c r="J21" s="14" t="s">
        <v>394</v>
      </c>
      <c r="K21" s="14">
        <f t="shared" si="1"/>
        <v>127442</v>
      </c>
      <c r="L21" s="14">
        <v>16</v>
      </c>
      <c r="M21" s="14">
        <v>21468</v>
      </c>
      <c r="N21" s="14">
        <v>105974</v>
      </c>
      <c r="O21" s="14" t="s">
        <v>97</v>
      </c>
      <c r="P21" s="14" t="s">
        <v>98</v>
      </c>
      <c r="Q21" s="14">
        <v>20.818000000000001</v>
      </c>
      <c r="R21" s="45" t="s">
        <v>704</v>
      </c>
      <c r="S21" s="45" t="s">
        <v>705</v>
      </c>
      <c r="T21" s="45" t="s">
        <v>706</v>
      </c>
      <c r="U21" s="45" t="s">
        <v>707</v>
      </c>
      <c r="V21" s="45" t="s">
        <v>709</v>
      </c>
      <c r="W21" s="45" t="s">
        <v>711</v>
      </c>
      <c r="X21" s="45" t="s">
        <v>712</v>
      </c>
      <c r="Y21" s="45" t="s">
        <v>714</v>
      </c>
      <c r="Z21" s="45" t="s">
        <v>716</v>
      </c>
      <c r="AA21" s="45" t="s">
        <v>718</v>
      </c>
      <c r="AB21" s="45" t="s">
        <v>720</v>
      </c>
      <c r="AC21" s="14" t="s">
        <v>140</v>
      </c>
      <c r="AD21" s="14" t="s">
        <v>204</v>
      </c>
    </row>
    <row r="22" spans="1:30" ht="14.25" hidden="1">
      <c r="A22" s="14" t="s">
        <v>52</v>
      </c>
      <c r="B22" s="14" t="s">
        <v>67</v>
      </c>
      <c r="C22" s="14" t="s">
        <v>74</v>
      </c>
      <c r="D22" s="14" t="s">
        <v>459</v>
      </c>
      <c r="E22" s="14"/>
      <c r="F22" s="14" t="s">
        <v>657</v>
      </c>
      <c r="G22" s="14" t="s">
        <v>215</v>
      </c>
      <c r="H22" s="14" t="s">
        <v>659</v>
      </c>
      <c r="I22" s="14" t="s">
        <v>133</v>
      </c>
      <c r="J22" s="14" t="s">
        <v>394</v>
      </c>
      <c r="K22" s="14">
        <f t="shared" si="1"/>
        <v>127442</v>
      </c>
      <c r="L22" s="14">
        <v>18</v>
      </c>
      <c r="M22" s="14">
        <v>21468</v>
      </c>
      <c r="N22" s="14">
        <v>105974</v>
      </c>
      <c r="O22" s="14" t="s">
        <v>97</v>
      </c>
      <c r="P22" s="14" t="s">
        <v>98</v>
      </c>
      <c r="Q22" s="14">
        <v>17.041</v>
      </c>
      <c r="R22" s="45" t="s">
        <v>739</v>
      </c>
      <c r="S22" s="45" t="s">
        <v>740</v>
      </c>
      <c r="T22" s="45" t="s">
        <v>742</v>
      </c>
      <c r="U22" s="45" t="s">
        <v>743</v>
      </c>
      <c r="V22" s="45" t="s">
        <v>744</v>
      </c>
      <c r="W22" s="45" t="s">
        <v>746</v>
      </c>
      <c r="X22" s="45" t="s">
        <v>748</v>
      </c>
      <c r="Y22" s="45" t="s">
        <v>749</v>
      </c>
      <c r="Z22" s="45" t="s">
        <v>750</v>
      </c>
      <c r="AA22" s="45" t="s">
        <v>752</v>
      </c>
      <c r="AB22" s="45" t="s">
        <v>753</v>
      </c>
      <c r="AC22" s="14" t="s">
        <v>140</v>
      </c>
      <c r="AD22" s="14" t="s">
        <v>204</v>
      </c>
    </row>
    <row r="23" spans="1:30" ht="14.25" hidden="1">
      <c r="A23" s="58" t="s">
        <v>52</v>
      </c>
      <c r="B23" s="58" t="s">
        <v>88</v>
      </c>
      <c r="C23" s="58" t="s">
        <v>74</v>
      </c>
      <c r="D23" s="58" t="s">
        <v>89</v>
      </c>
      <c r="E23" s="58"/>
      <c r="F23" s="58" t="s">
        <v>90</v>
      </c>
      <c r="G23" s="60" t="s">
        <v>771</v>
      </c>
      <c r="H23" s="60" t="s">
        <v>784</v>
      </c>
      <c r="I23" s="58" t="s">
        <v>133</v>
      </c>
      <c r="J23" s="58" t="s">
        <v>133</v>
      </c>
      <c r="K23" s="61">
        <v>454375</v>
      </c>
      <c r="L23" s="58" t="s">
        <v>79</v>
      </c>
      <c r="M23" s="34">
        <v>9434</v>
      </c>
      <c r="N23" s="34">
        <v>444941</v>
      </c>
      <c r="O23" s="62" t="s">
        <v>97</v>
      </c>
      <c r="P23" s="58" t="s">
        <v>98</v>
      </c>
      <c r="Q23" s="58" t="s">
        <v>79</v>
      </c>
      <c r="R23" s="10">
        <v>0.97799999999999998</v>
      </c>
      <c r="S23" s="10" t="s">
        <v>803</v>
      </c>
      <c r="T23" s="37">
        <v>5.6300000000000002E-4</v>
      </c>
      <c r="U23" s="10" t="s">
        <v>62</v>
      </c>
      <c r="V23" s="10" t="s">
        <v>62</v>
      </c>
      <c r="W23" s="10" t="s">
        <v>79</v>
      </c>
      <c r="X23" s="10" t="s">
        <v>79</v>
      </c>
      <c r="Y23" s="37">
        <v>7.1199999999999996E-4</v>
      </c>
      <c r="Z23" s="10" t="s">
        <v>79</v>
      </c>
      <c r="AA23" s="10" t="s">
        <v>79</v>
      </c>
      <c r="AB23" s="37">
        <v>3.4099999999999998E-3</v>
      </c>
      <c r="AC23" s="58" t="s">
        <v>140</v>
      </c>
      <c r="AD23" s="58" t="s">
        <v>155</v>
      </c>
    </row>
    <row r="24" spans="1:30" ht="14.25" hidden="1">
      <c r="A24" s="38" t="s">
        <v>70</v>
      </c>
      <c r="B24" s="41" t="s">
        <v>93</v>
      </c>
      <c r="C24" s="29" t="s">
        <v>74</v>
      </c>
      <c r="D24" s="41" t="s">
        <v>246</v>
      </c>
      <c r="E24" s="41"/>
      <c r="F24" s="41" t="s">
        <v>820</v>
      </c>
      <c r="G24" s="41" t="s">
        <v>248</v>
      </c>
      <c r="H24" s="63" t="s">
        <v>822</v>
      </c>
      <c r="I24" s="41" t="s">
        <v>133</v>
      </c>
      <c r="J24" s="41" t="s">
        <v>834</v>
      </c>
      <c r="K24" s="64">
        <v>85716</v>
      </c>
      <c r="L24" s="41">
        <v>10</v>
      </c>
      <c r="M24" s="64">
        <v>29266</v>
      </c>
      <c r="N24" s="64">
        <f t="shared" ref="N24:N39" si="2">K24-M24</f>
        <v>56450</v>
      </c>
      <c r="O24" s="41" t="s">
        <v>79</v>
      </c>
      <c r="P24" s="29" t="s">
        <v>98</v>
      </c>
      <c r="Q24" s="41" t="s">
        <v>79</v>
      </c>
      <c r="R24" s="41">
        <v>1.2649999999999999</v>
      </c>
      <c r="S24" s="41" t="s">
        <v>847</v>
      </c>
      <c r="T24" s="41">
        <v>0.55700000000000005</v>
      </c>
      <c r="U24" s="41">
        <v>22.483000000000001</v>
      </c>
      <c r="V24" s="41">
        <v>7.0000000000000001E-3</v>
      </c>
      <c r="W24" s="41">
        <v>1.706</v>
      </c>
      <c r="X24" s="41" t="s">
        <v>848</v>
      </c>
      <c r="Y24" s="41">
        <v>0.36599999999999999</v>
      </c>
      <c r="Z24" s="41">
        <v>1.0999999999999999E-2</v>
      </c>
      <c r="AA24" s="41" t="s">
        <v>849</v>
      </c>
      <c r="AB24" s="41">
        <v>0.53</v>
      </c>
      <c r="AC24" s="41" t="s">
        <v>140</v>
      </c>
      <c r="AD24" s="41" t="s">
        <v>204</v>
      </c>
    </row>
    <row r="25" spans="1:30" ht="14.25" hidden="1">
      <c r="A25" s="38" t="s">
        <v>70</v>
      </c>
      <c r="B25" s="41" t="s">
        <v>93</v>
      </c>
      <c r="C25" s="29" t="s">
        <v>74</v>
      </c>
      <c r="D25" s="41" t="s">
        <v>622</v>
      </c>
      <c r="E25" s="41"/>
      <c r="F25" s="41" t="s">
        <v>820</v>
      </c>
      <c r="G25" s="41" t="s">
        <v>215</v>
      </c>
      <c r="H25" s="63" t="s">
        <v>850</v>
      </c>
      <c r="I25" s="41" t="s">
        <v>133</v>
      </c>
      <c r="J25" s="41" t="s">
        <v>834</v>
      </c>
      <c r="K25" s="64">
        <v>85716</v>
      </c>
      <c r="L25" s="41">
        <v>13</v>
      </c>
      <c r="M25" s="64">
        <v>29266</v>
      </c>
      <c r="N25" s="64">
        <f t="shared" si="2"/>
        <v>56450</v>
      </c>
      <c r="O25" s="41" t="s">
        <v>79</v>
      </c>
      <c r="P25" s="29" t="s">
        <v>98</v>
      </c>
      <c r="Q25" s="41" t="s">
        <v>79</v>
      </c>
      <c r="R25" s="41">
        <v>0.35199999999999998</v>
      </c>
      <c r="S25" s="41" t="s">
        <v>851</v>
      </c>
      <c r="T25" s="41">
        <v>8.9999999999999993E-3</v>
      </c>
      <c r="U25" s="41">
        <v>36.021999999999998</v>
      </c>
      <c r="V25" s="41">
        <v>1E-3</v>
      </c>
      <c r="W25" s="41">
        <v>0.66700000000000004</v>
      </c>
      <c r="X25" s="41" t="s">
        <v>852</v>
      </c>
      <c r="Y25" s="41">
        <v>0.497</v>
      </c>
      <c r="Z25" s="41">
        <v>3.0000000000000001E-3</v>
      </c>
      <c r="AA25" s="41" t="s">
        <v>854</v>
      </c>
      <c r="AB25" s="41">
        <v>0.127</v>
      </c>
      <c r="AC25" s="41" t="s">
        <v>140</v>
      </c>
      <c r="AD25" s="41" t="s">
        <v>204</v>
      </c>
    </row>
    <row r="26" spans="1:30" ht="14.25" hidden="1">
      <c r="A26" s="38" t="s">
        <v>70</v>
      </c>
      <c r="B26" s="41" t="s">
        <v>93</v>
      </c>
      <c r="C26" s="29" t="s">
        <v>74</v>
      </c>
      <c r="D26" s="41" t="s">
        <v>164</v>
      </c>
      <c r="E26" s="41"/>
      <c r="F26" s="41" t="s">
        <v>820</v>
      </c>
      <c r="G26" s="41" t="s">
        <v>165</v>
      </c>
      <c r="H26" s="63" t="s">
        <v>867</v>
      </c>
      <c r="I26" s="41" t="s">
        <v>133</v>
      </c>
      <c r="J26" s="41" t="s">
        <v>834</v>
      </c>
      <c r="K26" s="64">
        <v>85716</v>
      </c>
      <c r="L26" s="41">
        <v>33</v>
      </c>
      <c r="M26" s="64">
        <v>29266</v>
      </c>
      <c r="N26" s="64">
        <f t="shared" si="2"/>
        <v>56450</v>
      </c>
      <c r="O26" s="41" t="s">
        <v>79</v>
      </c>
      <c r="P26" s="29" t="s">
        <v>98</v>
      </c>
      <c r="Q26" s="41" t="s">
        <v>79</v>
      </c>
      <c r="R26" s="41">
        <v>0.26600000000000001</v>
      </c>
      <c r="S26" s="41" t="s">
        <v>869</v>
      </c>
      <c r="T26" s="67">
        <v>4.0500000000000002E-11</v>
      </c>
      <c r="U26" s="41">
        <v>86.817999999999998</v>
      </c>
      <c r="V26" s="68">
        <v>0</v>
      </c>
      <c r="W26" s="41">
        <v>0.27600000000000002</v>
      </c>
      <c r="X26" s="41" t="s">
        <v>871</v>
      </c>
      <c r="Y26" s="67">
        <v>1.292E-4</v>
      </c>
      <c r="Z26" s="41">
        <v>0.307</v>
      </c>
      <c r="AA26" s="41" t="s">
        <v>875</v>
      </c>
      <c r="AB26" s="41">
        <v>0.55200000000000005</v>
      </c>
      <c r="AC26" s="41" t="s">
        <v>140</v>
      </c>
      <c r="AD26" s="41" t="s">
        <v>204</v>
      </c>
    </row>
    <row r="27" spans="1:30" ht="14.25" hidden="1">
      <c r="A27" s="38" t="s">
        <v>70</v>
      </c>
      <c r="B27" s="41" t="s">
        <v>93</v>
      </c>
      <c r="C27" s="29" t="s">
        <v>74</v>
      </c>
      <c r="D27" s="41" t="s">
        <v>75</v>
      </c>
      <c r="E27" s="41"/>
      <c r="F27" s="41" t="s">
        <v>820</v>
      </c>
      <c r="G27" s="41" t="s">
        <v>113</v>
      </c>
      <c r="H27" s="63" t="s">
        <v>955</v>
      </c>
      <c r="I27" s="41" t="s">
        <v>133</v>
      </c>
      <c r="J27" s="41" t="s">
        <v>834</v>
      </c>
      <c r="K27" s="64">
        <v>85716</v>
      </c>
      <c r="L27" s="41">
        <v>36</v>
      </c>
      <c r="M27" s="64">
        <v>29266</v>
      </c>
      <c r="N27" s="64">
        <f t="shared" si="2"/>
        <v>56450</v>
      </c>
      <c r="O27" s="41" t="s">
        <v>79</v>
      </c>
      <c r="P27" s="29" t="s">
        <v>98</v>
      </c>
      <c r="Q27" s="41" t="s">
        <v>79</v>
      </c>
      <c r="R27" s="41">
        <v>0.63100000000000001</v>
      </c>
      <c r="S27" s="41" t="s">
        <v>962</v>
      </c>
      <c r="T27" s="41">
        <v>6.3E-2</v>
      </c>
      <c r="U27" s="41">
        <v>56.124000000000002</v>
      </c>
      <c r="V27" s="41">
        <v>1.2999999999999999E-2</v>
      </c>
      <c r="W27" s="41">
        <v>0.55200000000000005</v>
      </c>
      <c r="X27" s="41" t="s">
        <v>963</v>
      </c>
      <c r="Y27" s="41">
        <v>0.113</v>
      </c>
      <c r="Z27" s="41">
        <v>3.1669999999999998</v>
      </c>
      <c r="AA27" s="41" t="s">
        <v>964</v>
      </c>
      <c r="AB27" s="41">
        <v>0.34399999999999997</v>
      </c>
      <c r="AC27" s="41" t="s">
        <v>140</v>
      </c>
      <c r="AD27" s="41" t="s">
        <v>204</v>
      </c>
    </row>
    <row r="28" spans="1:30" ht="14.25" hidden="1">
      <c r="A28" s="38" t="s">
        <v>70</v>
      </c>
      <c r="B28" s="41" t="s">
        <v>93</v>
      </c>
      <c r="C28" s="29" t="s">
        <v>74</v>
      </c>
      <c r="D28" s="41" t="s">
        <v>246</v>
      </c>
      <c r="E28" s="41"/>
      <c r="F28" s="41" t="s">
        <v>900</v>
      </c>
      <c r="G28" s="41" t="s">
        <v>248</v>
      </c>
      <c r="H28" s="70" t="s">
        <v>901</v>
      </c>
      <c r="I28" s="41" t="s">
        <v>133</v>
      </c>
      <c r="J28" s="41" t="s">
        <v>834</v>
      </c>
      <c r="K28" s="64">
        <v>66756</v>
      </c>
      <c r="L28" s="41">
        <v>9</v>
      </c>
      <c r="M28" s="64">
        <v>11273</v>
      </c>
      <c r="N28" s="64">
        <f t="shared" si="2"/>
        <v>55483</v>
      </c>
      <c r="O28" s="41" t="s">
        <v>79</v>
      </c>
      <c r="P28" s="29" t="s">
        <v>98</v>
      </c>
      <c r="Q28" s="41" t="s">
        <v>79</v>
      </c>
      <c r="R28" s="41">
        <v>1.7509999999999999</v>
      </c>
      <c r="S28" s="41" t="s">
        <v>912</v>
      </c>
      <c r="T28" s="41">
        <v>0.33600000000000002</v>
      </c>
      <c r="U28" s="41">
        <v>9.4339999999999993</v>
      </c>
      <c r="V28" s="41">
        <v>0.307</v>
      </c>
      <c r="W28" s="41">
        <v>1.4550000000000001</v>
      </c>
      <c r="X28" s="41" t="s">
        <v>913</v>
      </c>
      <c r="Y28" s="41">
        <v>0.63100000000000001</v>
      </c>
      <c r="Z28" s="41">
        <v>1E-3</v>
      </c>
      <c r="AA28" s="41" t="s">
        <v>914</v>
      </c>
      <c r="AB28" s="41">
        <v>0.34200000000000003</v>
      </c>
      <c r="AC28" s="41" t="s">
        <v>140</v>
      </c>
      <c r="AD28" s="41" t="s">
        <v>204</v>
      </c>
    </row>
    <row r="29" spans="1:30" ht="14.25" hidden="1">
      <c r="A29" s="38" t="s">
        <v>70</v>
      </c>
      <c r="B29" s="41" t="s">
        <v>93</v>
      </c>
      <c r="C29" s="29" t="s">
        <v>74</v>
      </c>
      <c r="D29" s="41" t="s">
        <v>622</v>
      </c>
      <c r="E29" s="41"/>
      <c r="F29" s="41" t="s">
        <v>900</v>
      </c>
      <c r="G29" s="41" t="s">
        <v>215</v>
      </c>
      <c r="H29" s="70" t="s">
        <v>901</v>
      </c>
      <c r="I29" s="41" t="s">
        <v>133</v>
      </c>
      <c r="J29" s="41" t="s">
        <v>834</v>
      </c>
      <c r="K29" s="64">
        <v>66756</v>
      </c>
      <c r="L29" s="41">
        <v>15</v>
      </c>
      <c r="M29" s="64">
        <v>11273</v>
      </c>
      <c r="N29" s="64">
        <f t="shared" si="2"/>
        <v>55483</v>
      </c>
      <c r="O29" s="41" t="s">
        <v>79</v>
      </c>
      <c r="P29" s="29" t="s">
        <v>98</v>
      </c>
      <c r="Q29" s="41" t="s">
        <v>79</v>
      </c>
      <c r="R29" s="41">
        <v>0.378</v>
      </c>
      <c r="S29" s="41" t="s">
        <v>925</v>
      </c>
      <c r="T29" s="41">
        <v>6.3E-2</v>
      </c>
      <c r="U29" s="41">
        <v>25.832999999999998</v>
      </c>
      <c r="V29" s="41">
        <v>2.7E-2</v>
      </c>
      <c r="W29" s="41">
        <v>0.629</v>
      </c>
      <c r="X29" s="41" t="s">
        <v>926</v>
      </c>
      <c r="Y29" s="41">
        <v>0.54100000000000004</v>
      </c>
      <c r="Z29" s="41">
        <v>0.122</v>
      </c>
      <c r="AA29" s="41" t="s">
        <v>927</v>
      </c>
      <c r="AB29" s="41">
        <v>0.61699999999999999</v>
      </c>
      <c r="AC29" s="41" t="s">
        <v>140</v>
      </c>
      <c r="AD29" s="41" t="s">
        <v>204</v>
      </c>
    </row>
    <row r="30" spans="1:30" ht="14.25" hidden="1">
      <c r="A30" s="38" t="s">
        <v>70</v>
      </c>
      <c r="B30" s="41" t="s">
        <v>93</v>
      </c>
      <c r="C30" s="29" t="s">
        <v>74</v>
      </c>
      <c r="D30" s="41" t="s">
        <v>164</v>
      </c>
      <c r="E30" s="41"/>
      <c r="F30" s="41" t="s">
        <v>900</v>
      </c>
      <c r="G30" s="41" t="s">
        <v>165</v>
      </c>
      <c r="H30" s="70" t="s">
        <v>901</v>
      </c>
      <c r="I30" s="41" t="s">
        <v>133</v>
      </c>
      <c r="J30" s="41" t="s">
        <v>834</v>
      </c>
      <c r="K30" s="64">
        <v>66756</v>
      </c>
      <c r="L30" s="41">
        <v>32</v>
      </c>
      <c r="M30" s="64">
        <v>11273</v>
      </c>
      <c r="N30" s="64">
        <f t="shared" si="2"/>
        <v>55483</v>
      </c>
      <c r="O30" s="41" t="s">
        <v>79</v>
      </c>
      <c r="P30" s="29" t="s">
        <v>98</v>
      </c>
      <c r="Q30" s="41" t="s">
        <v>79</v>
      </c>
      <c r="R30" s="41">
        <v>0.49399999999999999</v>
      </c>
      <c r="S30" s="41" t="s">
        <v>937</v>
      </c>
      <c r="T30" s="41">
        <v>1.2E-2</v>
      </c>
      <c r="U30" s="41">
        <v>40.923000000000002</v>
      </c>
      <c r="V30" s="68">
        <v>0.11</v>
      </c>
      <c r="W30" s="41">
        <v>0.49399999999999999</v>
      </c>
      <c r="X30" s="41" t="s">
        <v>941</v>
      </c>
      <c r="Y30" s="41">
        <v>0.10199999999999999</v>
      </c>
      <c r="Z30" s="41">
        <v>2.2149999999999999</v>
      </c>
      <c r="AA30" s="41" t="s">
        <v>945</v>
      </c>
      <c r="AB30" s="41">
        <v>0.68300000000000005</v>
      </c>
      <c r="AC30" s="41" t="s">
        <v>140</v>
      </c>
      <c r="AD30" s="41" t="s">
        <v>204</v>
      </c>
    </row>
    <row r="31" spans="1:30" ht="14.25" hidden="1">
      <c r="A31" s="38" t="s">
        <v>70</v>
      </c>
      <c r="B31" s="41" t="s">
        <v>93</v>
      </c>
      <c r="C31" s="29" t="s">
        <v>74</v>
      </c>
      <c r="D31" s="41" t="s">
        <v>75</v>
      </c>
      <c r="E31" s="41"/>
      <c r="F31" s="41" t="s">
        <v>900</v>
      </c>
      <c r="G31" s="41" t="s">
        <v>113</v>
      </c>
      <c r="H31" s="70" t="s">
        <v>901</v>
      </c>
      <c r="I31" s="41" t="s">
        <v>133</v>
      </c>
      <c r="J31" s="41" t="s">
        <v>834</v>
      </c>
      <c r="K31" s="64">
        <v>66756</v>
      </c>
      <c r="L31" s="41">
        <v>36</v>
      </c>
      <c r="M31" s="64">
        <v>11273</v>
      </c>
      <c r="N31" s="64">
        <f t="shared" si="2"/>
        <v>55483</v>
      </c>
      <c r="O31" s="41" t="s">
        <v>79</v>
      </c>
      <c r="P31" s="29" t="s">
        <v>98</v>
      </c>
      <c r="Q31" s="41" t="s">
        <v>79</v>
      </c>
      <c r="R31" s="41">
        <v>0.626</v>
      </c>
      <c r="S31" s="41" t="s">
        <v>1015</v>
      </c>
      <c r="T31" s="41">
        <v>0.17</v>
      </c>
      <c r="U31" s="41">
        <v>33.762999999999998</v>
      </c>
      <c r="V31" s="41">
        <v>0.52800000000000002</v>
      </c>
      <c r="W31" s="41">
        <v>0.69399999999999995</v>
      </c>
      <c r="X31" s="41" t="s">
        <v>1016</v>
      </c>
      <c r="Y31" s="41">
        <v>0.47099999999999997</v>
      </c>
      <c r="Z31" s="41">
        <v>2.444</v>
      </c>
      <c r="AA31" s="41" t="s">
        <v>1017</v>
      </c>
      <c r="AB31" s="41">
        <v>0.505</v>
      </c>
      <c r="AC31" s="41" t="s">
        <v>140</v>
      </c>
      <c r="AD31" s="41" t="s">
        <v>204</v>
      </c>
    </row>
    <row r="32" spans="1:30" ht="14.25" hidden="1">
      <c r="A32" s="38" t="s">
        <v>70</v>
      </c>
      <c r="B32" s="41" t="s">
        <v>93</v>
      </c>
      <c r="C32" s="29" t="s">
        <v>74</v>
      </c>
      <c r="D32" s="41" t="s">
        <v>246</v>
      </c>
      <c r="E32" s="41"/>
      <c r="F32" s="41" t="s">
        <v>977</v>
      </c>
      <c r="G32" s="41" t="s">
        <v>248</v>
      </c>
      <c r="H32" s="63" t="s">
        <v>867</v>
      </c>
      <c r="I32" s="41" t="s">
        <v>133</v>
      </c>
      <c r="J32" s="41" t="s">
        <v>834</v>
      </c>
      <c r="K32" s="64">
        <v>63053</v>
      </c>
      <c r="L32" s="41">
        <v>10</v>
      </c>
      <c r="M32" s="64">
        <v>7426</v>
      </c>
      <c r="N32" s="64">
        <f t="shared" si="2"/>
        <v>55627</v>
      </c>
      <c r="O32" s="41" t="s">
        <v>79</v>
      </c>
      <c r="P32" s="29" t="s">
        <v>98</v>
      </c>
      <c r="Q32" s="41" t="s">
        <v>79</v>
      </c>
      <c r="R32" s="41">
        <v>0.86599999999999999</v>
      </c>
      <c r="S32" s="41" t="s">
        <v>985</v>
      </c>
      <c r="T32" s="41">
        <v>0.82299999999999995</v>
      </c>
      <c r="U32" s="41">
        <v>12.657</v>
      </c>
      <c r="V32" s="41">
        <v>0.17899999999999999</v>
      </c>
      <c r="W32" s="41">
        <v>0.66500000000000004</v>
      </c>
      <c r="X32" s="41" t="s">
        <v>986</v>
      </c>
      <c r="Y32" s="41">
        <v>0.64300000000000002</v>
      </c>
      <c r="Z32" s="41">
        <v>2E-3</v>
      </c>
      <c r="AA32" s="41" t="s">
        <v>987</v>
      </c>
      <c r="AB32" s="41">
        <v>0.45700000000000002</v>
      </c>
      <c r="AC32" s="41" t="s">
        <v>140</v>
      </c>
      <c r="AD32" s="41" t="s">
        <v>204</v>
      </c>
    </row>
    <row r="33" spans="1:30" ht="14.25" hidden="1">
      <c r="A33" s="38" t="s">
        <v>70</v>
      </c>
      <c r="B33" s="41" t="s">
        <v>93</v>
      </c>
      <c r="C33" s="29" t="s">
        <v>74</v>
      </c>
      <c r="D33" s="41" t="s">
        <v>622</v>
      </c>
      <c r="E33" s="41"/>
      <c r="F33" s="41" t="s">
        <v>977</v>
      </c>
      <c r="G33" s="41" t="s">
        <v>215</v>
      </c>
      <c r="H33" s="63" t="s">
        <v>867</v>
      </c>
      <c r="I33" s="41" t="s">
        <v>133</v>
      </c>
      <c r="J33" s="41" t="s">
        <v>834</v>
      </c>
      <c r="K33" s="64">
        <v>63053</v>
      </c>
      <c r="L33" s="41">
        <v>15</v>
      </c>
      <c r="M33" s="64">
        <v>7426</v>
      </c>
      <c r="N33" s="64">
        <f t="shared" si="2"/>
        <v>55627</v>
      </c>
      <c r="O33" s="41" t="s">
        <v>79</v>
      </c>
      <c r="P33" s="29" t="s">
        <v>98</v>
      </c>
      <c r="Q33" s="41" t="s">
        <v>79</v>
      </c>
      <c r="R33" s="41">
        <v>0.10299999999999999</v>
      </c>
      <c r="S33" s="41" t="s">
        <v>1004</v>
      </c>
      <c r="T33" s="67">
        <v>1.93E-4</v>
      </c>
      <c r="U33" s="41">
        <v>47.435000000000002</v>
      </c>
      <c r="V33" s="68">
        <v>0</v>
      </c>
      <c r="W33" s="41">
        <v>0.23400000000000001</v>
      </c>
      <c r="X33" s="41" t="s">
        <v>1005</v>
      </c>
      <c r="Y33" s="41">
        <v>0.126</v>
      </c>
      <c r="Z33" s="41">
        <v>1E-3</v>
      </c>
      <c r="AA33" s="41" t="s">
        <v>1006</v>
      </c>
      <c r="AB33" s="41">
        <v>0.28699999999999998</v>
      </c>
      <c r="AC33" s="41" t="s">
        <v>140</v>
      </c>
      <c r="AD33" s="41" t="s">
        <v>204</v>
      </c>
    </row>
    <row r="34" spans="1:30" ht="14.25" hidden="1">
      <c r="A34" s="38" t="s">
        <v>70</v>
      </c>
      <c r="B34" s="41" t="s">
        <v>93</v>
      </c>
      <c r="C34" s="29" t="s">
        <v>74</v>
      </c>
      <c r="D34" s="41" t="s">
        <v>164</v>
      </c>
      <c r="E34" s="41"/>
      <c r="F34" s="41" t="s">
        <v>977</v>
      </c>
      <c r="G34" s="41" t="s">
        <v>165</v>
      </c>
      <c r="H34" s="63" t="s">
        <v>867</v>
      </c>
      <c r="I34" s="41" t="s">
        <v>133</v>
      </c>
      <c r="J34" s="41" t="s">
        <v>834</v>
      </c>
      <c r="K34" s="64">
        <v>63053</v>
      </c>
      <c r="L34" s="41">
        <v>32</v>
      </c>
      <c r="M34" s="64">
        <v>7426</v>
      </c>
      <c r="N34" s="64">
        <f t="shared" si="2"/>
        <v>55627</v>
      </c>
      <c r="O34" s="41" t="s">
        <v>79</v>
      </c>
      <c r="P34" s="29" t="s">
        <v>98</v>
      </c>
      <c r="Q34" s="41" t="s">
        <v>79</v>
      </c>
      <c r="R34" s="72">
        <v>0.12</v>
      </c>
      <c r="S34" s="41" t="s">
        <v>1018</v>
      </c>
      <c r="T34" s="67">
        <v>9.0600000000000002E-11</v>
      </c>
      <c r="U34" s="41">
        <v>82.349000000000004</v>
      </c>
      <c r="V34" s="73">
        <v>0</v>
      </c>
      <c r="W34" s="41">
        <v>0.13400000000000001</v>
      </c>
      <c r="X34" s="41" t="s">
        <v>1021</v>
      </c>
      <c r="Y34" s="73">
        <v>0</v>
      </c>
      <c r="Z34" s="41">
        <v>2.3E-2</v>
      </c>
      <c r="AA34" s="41" t="s">
        <v>1023</v>
      </c>
      <c r="AB34" s="41">
        <v>0.23499999999999999</v>
      </c>
      <c r="AC34" s="41" t="s">
        <v>140</v>
      </c>
      <c r="AD34" s="41" t="s">
        <v>204</v>
      </c>
    </row>
    <row r="35" spans="1:30" ht="14.25" hidden="1">
      <c r="A35" s="38" t="s">
        <v>70</v>
      </c>
      <c r="B35" s="41" t="s">
        <v>93</v>
      </c>
      <c r="C35" s="29" t="s">
        <v>74</v>
      </c>
      <c r="D35" s="41" t="s">
        <v>75</v>
      </c>
      <c r="E35" s="41"/>
      <c r="F35" s="41" t="s">
        <v>977</v>
      </c>
      <c r="G35" s="41" t="s">
        <v>113</v>
      </c>
      <c r="H35" s="63" t="s">
        <v>867</v>
      </c>
      <c r="I35" s="41" t="s">
        <v>133</v>
      </c>
      <c r="J35" s="41" t="s">
        <v>834</v>
      </c>
      <c r="K35" s="64">
        <v>63053</v>
      </c>
      <c r="L35" s="41">
        <v>34</v>
      </c>
      <c r="M35" s="64">
        <v>7426</v>
      </c>
      <c r="N35" s="64">
        <f t="shared" si="2"/>
        <v>55627</v>
      </c>
      <c r="O35" s="41" t="s">
        <v>79</v>
      </c>
      <c r="P35" s="29" t="s">
        <v>98</v>
      </c>
      <c r="Q35" s="41" t="s">
        <v>79</v>
      </c>
      <c r="R35" s="41">
        <v>0.49399999999999999</v>
      </c>
      <c r="S35" s="41" t="s">
        <v>1052</v>
      </c>
      <c r="T35" s="41">
        <v>8.4000000000000005E-2</v>
      </c>
      <c r="U35" s="41">
        <v>37.911000000000001</v>
      </c>
      <c r="V35" s="41">
        <v>0.255</v>
      </c>
      <c r="W35" s="41">
        <v>0.81299999999999994</v>
      </c>
      <c r="X35" s="41" t="s">
        <v>1053</v>
      </c>
      <c r="Y35" s="41">
        <v>0.73399999999999999</v>
      </c>
      <c r="Z35" s="41">
        <v>2.609</v>
      </c>
      <c r="AA35" s="41" t="s">
        <v>1054</v>
      </c>
      <c r="AB35" s="41">
        <v>0.56599999999999995</v>
      </c>
      <c r="AC35" s="41" t="s">
        <v>140</v>
      </c>
      <c r="AD35" s="41" t="s">
        <v>204</v>
      </c>
    </row>
    <row r="36" spans="1:30" ht="14.25" hidden="1">
      <c r="A36" s="38" t="s">
        <v>70</v>
      </c>
      <c r="B36" s="41" t="s">
        <v>93</v>
      </c>
      <c r="C36" s="29" t="s">
        <v>74</v>
      </c>
      <c r="D36" s="41" t="s">
        <v>246</v>
      </c>
      <c r="E36" s="41"/>
      <c r="F36" s="41" t="s">
        <v>1037</v>
      </c>
      <c r="G36" s="41" t="s">
        <v>248</v>
      </c>
      <c r="H36" s="63" t="s">
        <v>1038</v>
      </c>
      <c r="I36" s="41" t="s">
        <v>133</v>
      </c>
      <c r="J36" s="41" t="s">
        <v>834</v>
      </c>
      <c r="K36" s="64">
        <v>24108</v>
      </c>
      <c r="L36" s="41">
        <v>10</v>
      </c>
      <c r="M36" s="64">
        <v>2664</v>
      </c>
      <c r="N36" s="64">
        <f t="shared" si="2"/>
        <v>21444</v>
      </c>
      <c r="O36" s="41" t="s">
        <v>79</v>
      </c>
      <c r="P36" s="29" t="s">
        <v>98</v>
      </c>
      <c r="Q36" s="41" t="s">
        <v>79</v>
      </c>
      <c r="R36" s="41">
        <v>0.623</v>
      </c>
      <c r="S36" s="41" t="s">
        <v>1045</v>
      </c>
      <c r="T36" s="41">
        <v>0.63900000000000001</v>
      </c>
      <c r="U36" s="41">
        <v>12.595000000000001</v>
      </c>
      <c r="V36" s="41">
        <v>0.182</v>
      </c>
      <c r="W36" s="41">
        <v>0.191</v>
      </c>
      <c r="X36" s="41" t="s">
        <v>1046</v>
      </c>
      <c r="Y36" s="41">
        <v>0.246</v>
      </c>
      <c r="Z36" s="67">
        <v>2800</v>
      </c>
      <c r="AA36" s="41" t="s">
        <v>1047</v>
      </c>
      <c r="AB36" s="41">
        <v>0.40600000000000003</v>
      </c>
      <c r="AC36" s="41" t="s">
        <v>140</v>
      </c>
      <c r="AD36" s="41" t="s">
        <v>204</v>
      </c>
    </row>
    <row r="37" spans="1:30" ht="14.25" hidden="1">
      <c r="A37" s="38" t="s">
        <v>70</v>
      </c>
      <c r="B37" s="41" t="s">
        <v>93</v>
      </c>
      <c r="C37" s="29" t="s">
        <v>74</v>
      </c>
      <c r="D37" s="41" t="s">
        <v>622</v>
      </c>
      <c r="E37" s="41"/>
      <c r="F37" s="41" t="s">
        <v>1037</v>
      </c>
      <c r="G37" s="41" t="s">
        <v>215</v>
      </c>
      <c r="H37" s="63" t="s">
        <v>1038</v>
      </c>
      <c r="I37" s="41" t="s">
        <v>133</v>
      </c>
      <c r="J37" s="41" t="s">
        <v>834</v>
      </c>
      <c r="K37" s="64">
        <v>24108</v>
      </c>
      <c r="L37" s="41">
        <v>14</v>
      </c>
      <c r="M37" s="64">
        <v>2664</v>
      </c>
      <c r="N37" s="64">
        <f t="shared" si="2"/>
        <v>21444</v>
      </c>
      <c r="O37" s="41" t="s">
        <v>79</v>
      </c>
      <c r="P37" s="29" t="s">
        <v>98</v>
      </c>
      <c r="Q37" s="41" t="s">
        <v>79</v>
      </c>
      <c r="R37" s="41">
        <v>0.161</v>
      </c>
      <c r="S37" s="41" t="s">
        <v>1056</v>
      </c>
      <c r="T37" s="41">
        <v>6.9000000000000006E-2</v>
      </c>
      <c r="U37" s="41">
        <v>17.225000000000001</v>
      </c>
      <c r="V37" s="41">
        <v>0.189</v>
      </c>
      <c r="W37" s="41">
        <v>0.27100000000000002</v>
      </c>
      <c r="X37" s="41" t="s">
        <v>1058</v>
      </c>
      <c r="Y37" s="41">
        <v>0.35299999999999998</v>
      </c>
      <c r="Z37" s="73">
        <v>0</v>
      </c>
      <c r="AA37" s="41" t="s">
        <v>1060</v>
      </c>
      <c r="AB37" s="41">
        <v>0.16</v>
      </c>
      <c r="AC37" s="41" t="s">
        <v>140</v>
      </c>
      <c r="AD37" s="41" t="s">
        <v>204</v>
      </c>
    </row>
    <row r="38" spans="1:30" ht="14.25" hidden="1">
      <c r="A38" s="38" t="s">
        <v>70</v>
      </c>
      <c r="B38" s="41" t="s">
        <v>93</v>
      </c>
      <c r="C38" s="29" t="s">
        <v>74</v>
      </c>
      <c r="D38" s="41" t="s">
        <v>164</v>
      </c>
      <c r="E38" s="41"/>
      <c r="F38" s="41" t="s">
        <v>1037</v>
      </c>
      <c r="G38" s="41" t="s">
        <v>165</v>
      </c>
      <c r="H38" s="63" t="s">
        <v>1038</v>
      </c>
      <c r="I38" s="41" t="s">
        <v>133</v>
      </c>
      <c r="J38" s="41" t="s">
        <v>834</v>
      </c>
      <c r="K38" s="64">
        <v>24108</v>
      </c>
      <c r="L38" s="41">
        <v>31</v>
      </c>
      <c r="M38" s="64">
        <v>2664</v>
      </c>
      <c r="N38" s="64">
        <f t="shared" si="2"/>
        <v>21444</v>
      </c>
      <c r="O38" s="41" t="s">
        <v>79</v>
      </c>
      <c r="P38" s="29" t="s">
        <v>98</v>
      </c>
      <c r="Q38" s="41" t="s">
        <v>79</v>
      </c>
      <c r="R38" s="41">
        <v>0.23899999999999999</v>
      </c>
      <c r="S38" s="41" t="s">
        <v>1065</v>
      </c>
      <c r="T38" s="41">
        <v>6.0000000000000001E-3</v>
      </c>
      <c r="U38" s="41">
        <v>37.427999999999997</v>
      </c>
      <c r="V38" s="41">
        <v>0.16500000000000001</v>
      </c>
      <c r="W38" s="41">
        <v>0.42299999999999999</v>
      </c>
      <c r="X38" s="41" t="s">
        <v>1066</v>
      </c>
      <c r="Y38" s="41">
        <v>0.27400000000000002</v>
      </c>
      <c r="Z38" s="41">
        <v>0.13100000000000001</v>
      </c>
      <c r="AA38" s="41" t="s">
        <v>1067</v>
      </c>
      <c r="AB38" s="41">
        <v>0.56200000000000006</v>
      </c>
      <c r="AC38" s="41" t="s">
        <v>140</v>
      </c>
      <c r="AD38" s="41" t="s">
        <v>204</v>
      </c>
    </row>
    <row r="39" spans="1:30" ht="14.25" hidden="1">
      <c r="A39" s="38" t="s">
        <v>70</v>
      </c>
      <c r="B39" s="41" t="s">
        <v>93</v>
      </c>
      <c r="C39" s="29" t="s">
        <v>74</v>
      </c>
      <c r="D39" s="41" t="s">
        <v>75</v>
      </c>
      <c r="E39" s="41"/>
      <c r="F39" s="41" t="s">
        <v>1037</v>
      </c>
      <c r="G39" s="41" t="s">
        <v>113</v>
      </c>
      <c r="H39" s="63" t="s">
        <v>1038</v>
      </c>
      <c r="I39" s="41" t="s">
        <v>133</v>
      </c>
      <c r="J39" s="41" t="s">
        <v>834</v>
      </c>
      <c r="K39" s="64">
        <v>24108</v>
      </c>
      <c r="L39" s="41">
        <v>34</v>
      </c>
      <c r="M39" s="64">
        <v>2664</v>
      </c>
      <c r="N39" s="64">
        <f t="shared" si="2"/>
        <v>21444</v>
      </c>
      <c r="O39" s="41" t="s">
        <v>79</v>
      </c>
      <c r="P39" s="29" t="s">
        <v>98</v>
      </c>
      <c r="Q39" s="41" t="s">
        <v>79</v>
      </c>
      <c r="R39" s="41">
        <v>0.88400000000000001</v>
      </c>
      <c r="S39" s="41" t="s">
        <v>1079</v>
      </c>
      <c r="T39" s="41">
        <v>0.84699999999999998</v>
      </c>
      <c r="U39" s="41">
        <v>39.194000000000003</v>
      </c>
      <c r="V39" s="41">
        <v>0.21199999999999999</v>
      </c>
      <c r="W39" s="41">
        <v>2.0449999999999999</v>
      </c>
      <c r="X39" s="41" t="s">
        <v>1083</v>
      </c>
      <c r="Y39" s="41">
        <v>0.45300000000000001</v>
      </c>
      <c r="Z39" s="41">
        <v>15.477</v>
      </c>
      <c r="AA39" s="41" t="s">
        <v>1084</v>
      </c>
      <c r="AB39" s="41">
        <v>0.31</v>
      </c>
      <c r="AC39" s="41" t="s">
        <v>140</v>
      </c>
      <c r="AD39" s="41" t="s">
        <v>204</v>
      </c>
    </row>
    <row r="40" spans="1:30" ht="14.25" hidden="1">
      <c r="A40" s="23" t="s">
        <v>70</v>
      </c>
      <c r="B40" s="23" t="s">
        <v>110</v>
      </c>
      <c r="C40" s="23" t="s">
        <v>74</v>
      </c>
      <c r="D40" s="23" t="s">
        <v>75</v>
      </c>
      <c r="E40" s="23"/>
      <c r="F40" s="23" t="s">
        <v>157</v>
      </c>
      <c r="G40" s="23" t="s">
        <v>113</v>
      </c>
      <c r="H40" s="23" t="s">
        <v>636</v>
      </c>
      <c r="I40" s="23" t="s">
        <v>133</v>
      </c>
      <c r="J40" s="23" t="s">
        <v>218</v>
      </c>
      <c r="K40" s="25">
        <v>170583</v>
      </c>
      <c r="L40" s="23">
        <v>52</v>
      </c>
      <c r="M40" s="23">
        <v>2942</v>
      </c>
      <c r="N40" s="25">
        <v>167641</v>
      </c>
      <c r="O40" s="23" t="s">
        <v>97</v>
      </c>
      <c r="P40" s="23" t="s">
        <v>98</v>
      </c>
      <c r="Q40" s="23">
        <v>15.5016</v>
      </c>
      <c r="R40" s="23">
        <v>1.095</v>
      </c>
      <c r="S40" s="23" t="s">
        <v>639</v>
      </c>
      <c r="T40" s="23">
        <v>0.84199999999999997</v>
      </c>
      <c r="U40" s="23">
        <v>48.396999999999998</v>
      </c>
      <c r="V40" s="23">
        <v>0.57799999999999996</v>
      </c>
      <c r="W40" s="23">
        <v>1.1830000000000001</v>
      </c>
      <c r="X40" s="23" t="s">
        <v>642</v>
      </c>
      <c r="Y40" s="23">
        <v>0.80600000000000005</v>
      </c>
      <c r="Z40" s="23">
        <v>4.13</v>
      </c>
      <c r="AA40" s="23" t="s">
        <v>647</v>
      </c>
      <c r="AB40" s="23">
        <v>0.36499999999999999</v>
      </c>
      <c r="AC40" s="23" t="s">
        <v>109</v>
      </c>
      <c r="AD40" s="23" t="s">
        <v>155</v>
      </c>
    </row>
    <row r="41" spans="1:30" ht="14.25" hidden="1">
      <c r="A41" s="38" t="s">
        <v>70</v>
      </c>
      <c r="B41" s="74" t="s">
        <v>120</v>
      </c>
      <c r="C41" s="74" t="s">
        <v>74</v>
      </c>
      <c r="D41" s="74" t="s">
        <v>1092</v>
      </c>
      <c r="E41" s="74"/>
      <c r="F41" s="74" t="s">
        <v>1093</v>
      </c>
      <c r="G41" s="74" t="s">
        <v>1094</v>
      </c>
      <c r="H41" s="74" t="s">
        <v>62</v>
      </c>
      <c r="I41" s="74" t="s">
        <v>133</v>
      </c>
      <c r="J41" s="74" t="s">
        <v>1096</v>
      </c>
      <c r="K41" s="75">
        <v>6658</v>
      </c>
      <c r="L41" s="74">
        <v>19</v>
      </c>
      <c r="M41" s="75">
        <v>3343</v>
      </c>
      <c r="N41" s="75">
        <f t="shared" ref="N41:N56" si="3">K41-M41</f>
        <v>3315</v>
      </c>
      <c r="O41" s="74" t="s">
        <v>79</v>
      </c>
      <c r="P41" s="74" t="s">
        <v>98</v>
      </c>
      <c r="Q41" s="74">
        <v>10.67</v>
      </c>
      <c r="R41" s="74">
        <v>1.04</v>
      </c>
      <c r="S41" s="74" t="s">
        <v>1099</v>
      </c>
      <c r="T41" s="74">
        <v>0.627</v>
      </c>
      <c r="U41" s="74">
        <v>31.6</v>
      </c>
      <c r="V41" s="74">
        <v>1.7000000000000001E-2</v>
      </c>
      <c r="W41" s="74" t="s">
        <v>62</v>
      </c>
      <c r="X41" s="74" t="s">
        <v>62</v>
      </c>
      <c r="Y41" s="74" t="s">
        <v>62</v>
      </c>
      <c r="Z41" s="74" t="s">
        <v>62</v>
      </c>
      <c r="AA41" s="74" t="s">
        <v>62</v>
      </c>
      <c r="AB41" s="74" t="s">
        <v>62</v>
      </c>
      <c r="AC41" s="74" t="s">
        <v>140</v>
      </c>
      <c r="AD41" s="74" t="s">
        <v>204</v>
      </c>
    </row>
    <row r="42" spans="1:30" ht="14.25" hidden="1">
      <c r="A42" s="38" t="s">
        <v>70</v>
      </c>
      <c r="B42" s="74" t="s">
        <v>120</v>
      </c>
      <c r="C42" s="74" t="s">
        <v>74</v>
      </c>
      <c r="D42" s="74" t="s">
        <v>1103</v>
      </c>
      <c r="E42" s="74"/>
      <c r="F42" s="74" t="s">
        <v>1093</v>
      </c>
      <c r="G42" s="74" t="s">
        <v>1104</v>
      </c>
      <c r="H42" s="74" t="s">
        <v>62</v>
      </c>
      <c r="I42" s="74" t="s">
        <v>133</v>
      </c>
      <c r="J42" s="74" t="s">
        <v>1096</v>
      </c>
      <c r="K42" s="75">
        <v>6658</v>
      </c>
      <c r="L42" s="74">
        <v>3</v>
      </c>
      <c r="M42" s="75">
        <v>3343</v>
      </c>
      <c r="N42" s="75">
        <f t="shared" si="3"/>
        <v>3315</v>
      </c>
      <c r="O42" s="74" t="s">
        <v>79</v>
      </c>
      <c r="P42" s="74" t="s">
        <v>98</v>
      </c>
      <c r="Q42" s="74">
        <v>2.83</v>
      </c>
      <c r="R42" s="74">
        <v>0.89</v>
      </c>
      <c r="S42" s="74" t="s">
        <v>1111</v>
      </c>
      <c r="T42" s="74">
        <v>0.41599999999999998</v>
      </c>
      <c r="U42" s="74">
        <v>0.64</v>
      </c>
      <c r="V42" s="74">
        <v>0.72699999999999998</v>
      </c>
      <c r="W42" s="74" t="s">
        <v>62</v>
      </c>
      <c r="X42" s="74" t="s">
        <v>62</v>
      </c>
      <c r="Y42" s="74" t="s">
        <v>62</v>
      </c>
      <c r="Z42" s="74" t="s">
        <v>62</v>
      </c>
      <c r="AA42" s="74" t="s">
        <v>62</v>
      </c>
      <c r="AB42" s="74" t="s">
        <v>62</v>
      </c>
      <c r="AC42" s="74" t="s">
        <v>140</v>
      </c>
      <c r="AD42" s="74" t="s">
        <v>204</v>
      </c>
    </row>
    <row r="43" spans="1:30" ht="14.25" hidden="1">
      <c r="A43" s="38" t="s">
        <v>70</v>
      </c>
      <c r="B43" s="74" t="s">
        <v>120</v>
      </c>
      <c r="C43" s="74" t="s">
        <v>74</v>
      </c>
      <c r="D43" s="74" t="s">
        <v>1115</v>
      </c>
      <c r="E43" s="74"/>
      <c r="F43" s="74" t="s">
        <v>1093</v>
      </c>
      <c r="G43" s="74" t="s">
        <v>1116</v>
      </c>
      <c r="H43" s="74" t="s">
        <v>62</v>
      </c>
      <c r="I43" s="74" t="s">
        <v>133</v>
      </c>
      <c r="J43" s="74" t="s">
        <v>1096</v>
      </c>
      <c r="K43" s="75">
        <v>6658</v>
      </c>
      <c r="L43" s="74">
        <v>9</v>
      </c>
      <c r="M43" s="75">
        <v>3343</v>
      </c>
      <c r="N43" s="75">
        <f t="shared" si="3"/>
        <v>3315</v>
      </c>
      <c r="O43" s="74" t="s">
        <v>79</v>
      </c>
      <c r="P43" s="74" t="s">
        <v>98</v>
      </c>
      <c r="Q43" s="74">
        <v>7.23</v>
      </c>
      <c r="R43" s="74">
        <v>1.06</v>
      </c>
      <c r="S43" s="74" t="s">
        <v>1127</v>
      </c>
      <c r="T43" s="74">
        <v>0.63500000000000001</v>
      </c>
      <c r="U43" s="74">
        <v>16.52</v>
      </c>
      <c r="V43" s="74">
        <v>8.5999999999999993E-2</v>
      </c>
      <c r="W43" s="74" t="s">
        <v>62</v>
      </c>
      <c r="X43" s="74" t="s">
        <v>62</v>
      </c>
      <c r="Y43" s="74" t="s">
        <v>62</v>
      </c>
      <c r="Z43" s="74" t="s">
        <v>62</v>
      </c>
      <c r="AA43" s="74" t="s">
        <v>62</v>
      </c>
      <c r="AB43" s="74" t="s">
        <v>62</v>
      </c>
      <c r="AC43" s="74" t="s">
        <v>140</v>
      </c>
      <c r="AD43" s="74" t="s">
        <v>204</v>
      </c>
    </row>
    <row r="44" spans="1:30" ht="14.25" hidden="1">
      <c r="A44" s="38" t="s">
        <v>70</v>
      </c>
      <c r="B44" s="74" t="s">
        <v>120</v>
      </c>
      <c r="C44" s="74" t="s">
        <v>74</v>
      </c>
      <c r="D44" s="74" t="s">
        <v>1147</v>
      </c>
      <c r="E44" s="74"/>
      <c r="F44" s="74" t="s">
        <v>1093</v>
      </c>
      <c r="G44" s="74" t="s">
        <v>1149</v>
      </c>
      <c r="H44" s="74" t="s">
        <v>62</v>
      </c>
      <c r="I44" s="74" t="s">
        <v>133</v>
      </c>
      <c r="J44" s="74" t="s">
        <v>1096</v>
      </c>
      <c r="K44" s="75">
        <v>6658</v>
      </c>
      <c r="L44" s="74">
        <v>5</v>
      </c>
      <c r="M44" s="75">
        <v>3343</v>
      </c>
      <c r="N44" s="75">
        <f t="shared" si="3"/>
        <v>3315</v>
      </c>
      <c r="O44" s="74" t="s">
        <v>79</v>
      </c>
      <c r="P44" s="74" t="s">
        <v>98</v>
      </c>
      <c r="Q44" s="74">
        <v>3.41</v>
      </c>
      <c r="R44" s="74">
        <v>1.01</v>
      </c>
      <c r="S44" s="74" t="s">
        <v>1150</v>
      </c>
      <c r="T44" s="74">
        <v>0.97099999999999997</v>
      </c>
      <c r="U44" s="74">
        <v>5.96</v>
      </c>
      <c r="V44" s="74">
        <v>0.311</v>
      </c>
      <c r="W44" s="74" t="s">
        <v>62</v>
      </c>
      <c r="X44" s="74" t="s">
        <v>62</v>
      </c>
      <c r="Y44" s="74" t="s">
        <v>62</v>
      </c>
      <c r="Z44" s="74" t="s">
        <v>62</v>
      </c>
      <c r="AA44" s="74" t="s">
        <v>62</v>
      </c>
      <c r="AB44" s="74" t="s">
        <v>62</v>
      </c>
      <c r="AC44" s="74" t="s">
        <v>140</v>
      </c>
      <c r="AD44" s="74" t="s">
        <v>204</v>
      </c>
    </row>
    <row r="45" spans="1:30" ht="14.25" hidden="1">
      <c r="A45" s="38" t="s">
        <v>70</v>
      </c>
      <c r="B45" s="74" t="s">
        <v>120</v>
      </c>
      <c r="C45" s="74" t="s">
        <v>74</v>
      </c>
      <c r="D45" s="74" t="s">
        <v>1156</v>
      </c>
      <c r="E45" s="74"/>
      <c r="F45" s="74" t="s">
        <v>1093</v>
      </c>
      <c r="G45" s="74" t="s">
        <v>248</v>
      </c>
      <c r="H45" s="74" t="s">
        <v>1159</v>
      </c>
      <c r="I45" s="74" t="s">
        <v>133</v>
      </c>
      <c r="J45" s="74" t="s">
        <v>1162</v>
      </c>
      <c r="K45" s="75">
        <v>140254</v>
      </c>
      <c r="L45" s="74">
        <v>20</v>
      </c>
      <c r="M45" s="75">
        <v>79148</v>
      </c>
      <c r="N45" s="75">
        <f t="shared" si="3"/>
        <v>61106</v>
      </c>
      <c r="O45" s="74" t="s">
        <v>79</v>
      </c>
      <c r="P45" s="74" t="s">
        <v>98</v>
      </c>
      <c r="Q45" s="74">
        <v>16.93</v>
      </c>
      <c r="R45" s="74">
        <v>1.25</v>
      </c>
      <c r="S45" s="74" t="s">
        <v>1164</v>
      </c>
      <c r="T45" s="74">
        <v>0.53600000000000003</v>
      </c>
      <c r="U45" s="74">
        <v>38.520000000000003</v>
      </c>
      <c r="V45" s="74" t="s">
        <v>1165</v>
      </c>
      <c r="W45" s="74" t="s">
        <v>62</v>
      </c>
      <c r="X45" s="74" t="s">
        <v>62</v>
      </c>
      <c r="Y45" s="74" t="s">
        <v>62</v>
      </c>
      <c r="Z45" s="74" t="s">
        <v>62</v>
      </c>
      <c r="AA45" s="74" t="s">
        <v>62</v>
      </c>
      <c r="AB45" s="74" t="s">
        <v>62</v>
      </c>
      <c r="AC45" s="74" t="s">
        <v>140</v>
      </c>
      <c r="AD45" s="74" t="s">
        <v>204</v>
      </c>
    </row>
    <row r="46" spans="1:30" ht="14.25" hidden="1">
      <c r="A46" s="38" t="s">
        <v>70</v>
      </c>
      <c r="B46" s="74" t="s">
        <v>120</v>
      </c>
      <c r="C46" s="74" t="s">
        <v>74</v>
      </c>
      <c r="D46" s="74" t="s">
        <v>1174</v>
      </c>
      <c r="E46" s="74"/>
      <c r="F46" s="74" t="s">
        <v>1093</v>
      </c>
      <c r="G46" s="74" t="s">
        <v>215</v>
      </c>
      <c r="H46" s="74" t="s">
        <v>1159</v>
      </c>
      <c r="I46" s="74" t="s">
        <v>133</v>
      </c>
      <c r="J46" s="74" t="s">
        <v>1162</v>
      </c>
      <c r="K46" s="75">
        <v>140254</v>
      </c>
      <c r="L46" s="74">
        <v>21</v>
      </c>
      <c r="M46" s="75">
        <v>79148</v>
      </c>
      <c r="N46" s="75">
        <f t="shared" si="3"/>
        <v>61106</v>
      </c>
      <c r="O46" s="74" t="s">
        <v>79</v>
      </c>
      <c r="P46" s="74" t="s">
        <v>98</v>
      </c>
      <c r="Q46" s="74">
        <v>16.52</v>
      </c>
      <c r="R46" s="74">
        <v>2.15</v>
      </c>
      <c r="S46" s="74" t="s">
        <v>1181</v>
      </c>
      <c r="T46" s="74">
        <v>9.6000000000000002E-2</v>
      </c>
      <c r="U46" s="74">
        <v>54.9</v>
      </c>
      <c r="V46" s="74" t="s">
        <v>1165</v>
      </c>
      <c r="W46" s="74" t="s">
        <v>62</v>
      </c>
      <c r="X46" s="74" t="s">
        <v>62</v>
      </c>
      <c r="Y46" s="74" t="s">
        <v>62</v>
      </c>
      <c r="Z46" s="74" t="s">
        <v>62</v>
      </c>
      <c r="AA46" s="74" t="s">
        <v>62</v>
      </c>
      <c r="AB46" s="74" t="s">
        <v>62</v>
      </c>
      <c r="AC46" s="74" t="s">
        <v>140</v>
      </c>
      <c r="AD46" s="74" t="s">
        <v>204</v>
      </c>
    </row>
    <row r="47" spans="1:30" ht="14.25" hidden="1">
      <c r="A47" s="38" t="s">
        <v>70</v>
      </c>
      <c r="B47" s="74" t="s">
        <v>120</v>
      </c>
      <c r="C47" s="74" t="s">
        <v>74</v>
      </c>
      <c r="D47" s="74" t="s">
        <v>1185</v>
      </c>
      <c r="E47" s="74"/>
      <c r="F47" s="74" t="s">
        <v>1093</v>
      </c>
      <c r="G47" s="74" t="s">
        <v>165</v>
      </c>
      <c r="H47" s="74" t="s">
        <v>1159</v>
      </c>
      <c r="I47" s="74" t="s">
        <v>133</v>
      </c>
      <c r="J47" s="74" t="s">
        <v>1162</v>
      </c>
      <c r="K47" s="75">
        <v>140254</v>
      </c>
      <c r="L47" s="74">
        <v>49</v>
      </c>
      <c r="M47" s="75">
        <v>79148</v>
      </c>
      <c r="N47" s="75">
        <f t="shared" si="3"/>
        <v>61106</v>
      </c>
      <c r="O47" s="74" t="s">
        <v>79</v>
      </c>
      <c r="P47" s="74" t="s">
        <v>98</v>
      </c>
      <c r="Q47" s="74">
        <v>24.08</v>
      </c>
      <c r="R47" s="74">
        <v>1.1499999999999999</v>
      </c>
      <c r="S47" s="74" t="s">
        <v>1193</v>
      </c>
      <c r="T47" s="74">
        <v>0.57299999999999995</v>
      </c>
      <c r="U47" s="74">
        <v>127.57</v>
      </c>
      <c r="V47" s="74" t="s">
        <v>1165</v>
      </c>
      <c r="W47" s="74" t="s">
        <v>62</v>
      </c>
      <c r="X47" s="74" t="s">
        <v>62</v>
      </c>
      <c r="Y47" s="74" t="s">
        <v>62</v>
      </c>
      <c r="Z47" s="74" t="s">
        <v>62</v>
      </c>
      <c r="AA47" s="74" t="s">
        <v>62</v>
      </c>
      <c r="AB47" s="74" t="s">
        <v>62</v>
      </c>
      <c r="AC47" s="74" t="s">
        <v>140</v>
      </c>
      <c r="AD47" s="74" t="s">
        <v>204</v>
      </c>
    </row>
    <row r="48" spans="1:30" ht="14.25" hidden="1">
      <c r="A48" s="38" t="s">
        <v>70</v>
      </c>
      <c r="B48" s="74" t="s">
        <v>120</v>
      </c>
      <c r="C48" s="74" t="s">
        <v>74</v>
      </c>
      <c r="D48" s="74" t="s">
        <v>1205</v>
      </c>
      <c r="E48" s="74"/>
      <c r="F48" s="74" t="s">
        <v>1093</v>
      </c>
      <c r="G48" s="74" t="s">
        <v>113</v>
      </c>
      <c r="H48" s="74" t="s">
        <v>1159</v>
      </c>
      <c r="I48" s="74" t="s">
        <v>133</v>
      </c>
      <c r="J48" s="74" t="s">
        <v>1162</v>
      </c>
      <c r="K48" s="75">
        <v>140254</v>
      </c>
      <c r="L48" s="74">
        <v>41</v>
      </c>
      <c r="M48" s="75">
        <v>79148</v>
      </c>
      <c r="N48" s="75">
        <f t="shared" si="3"/>
        <v>61106</v>
      </c>
      <c r="O48" s="74" t="s">
        <v>79</v>
      </c>
      <c r="P48" s="74" t="s">
        <v>98</v>
      </c>
      <c r="Q48" s="74">
        <v>15.6</v>
      </c>
      <c r="R48" s="74">
        <v>1.25</v>
      </c>
      <c r="S48" s="74" t="s">
        <v>1207</v>
      </c>
      <c r="T48" s="74">
        <v>0.28299999999999997</v>
      </c>
      <c r="U48" s="74">
        <v>92.16</v>
      </c>
      <c r="V48" s="74" t="s">
        <v>1165</v>
      </c>
      <c r="W48" s="74" t="s">
        <v>62</v>
      </c>
      <c r="X48" s="74" t="s">
        <v>62</v>
      </c>
      <c r="Y48" s="74" t="s">
        <v>62</v>
      </c>
      <c r="Z48" s="74" t="s">
        <v>62</v>
      </c>
      <c r="AA48" s="74" t="s">
        <v>62</v>
      </c>
      <c r="AB48" s="74" t="s">
        <v>62</v>
      </c>
      <c r="AC48" s="74" t="s">
        <v>140</v>
      </c>
      <c r="AD48" s="74" t="s">
        <v>204</v>
      </c>
    </row>
    <row r="49" spans="1:30" ht="14.25" hidden="1">
      <c r="A49" s="38" t="s">
        <v>70</v>
      </c>
      <c r="B49" s="74" t="s">
        <v>120</v>
      </c>
      <c r="C49" s="74" t="s">
        <v>74</v>
      </c>
      <c r="D49" s="74" t="s">
        <v>1092</v>
      </c>
      <c r="E49" s="74"/>
      <c r="F49" s="74" t="s">
        <v>1221</v>
      </c>
      <c r="G49" s="74" t="s">
        <v>1094</v>
      </c>
      <c r="H49" s="74" t="s">
        <v>1223</v>
      </c>
      <c r="I49" s="74" t="s">
        <v>133</v>
      </c>
      <c r="J49" s="74" t="s">
        <v>1225</v>
      </c>
      <c r="K49" s="75">
        <v>109347</v>
      </c>
      <c r="L49" s="74">
        <v>98</v>
      </c>
      <c r="M49" s="75">
        <v>5408</v>
      </c>
      <c r="N49" s="75">
        <f t="shared" si="3"/>
        <v>103939</v>
      </c>
      <c r="O49" s="74" t="s">
        <v>79</v>
      </c>
      <c r="P49" s="74" t="s">
        <v>98</v>
      </c>
      <c r="Q49" s="74">
        <v>10.67</v>
      </c>
      <c r="R49" s="74">
        <v>0.97</v>
      </c>
      <c r="S49" s="74" t="s">
        <v>1226</v>
      </c>
      <c r="T49" s="74">
        <v>0.38600000000000001</v>
      </c>
      <c r="U49" s="74">
        <v>13.22</v>
      </c>
      <c r="V49" s="74">
        <v>0.72099999999999997</v>
      </c>
      <c r="W49" s="74" t="s">
        <v>62</v>
      </c>
      <c r="X49" s="74" t="s">
        <v>62</v>
      </c>
      <c r="Y49" s="74" t="s">
        <v>62</v>
      </c>
      <c r="Z49" s="74" t="s">
        <v>62</v>
      </c>
      <c r="AA49" s="74" t="s">
        <v>62</v>
      </c>
      <c r="AB49" s="74" t="s">
        <v>62</v>
      </c>
      <c r="AC49" s="74" t="s">
        <v>140</v>
      </c>
      <c r="AD49" s="74" t="s">
        <v>204</v>
      </c>
    </row>
    <row r="50" spans="1:30" ht="14.25" hidden="1">
      <c r="A50" s="38" t="s">
        <v>70</v>
      </c>
      <c r="B50" s="74" t="s">
        <v>120</v>
      </c>
      <c r="C50" s="74" t="s">
        <v>74</v>
      </c>
      <c r="D50" s="74" t="s">
        <v>1103</v>
      </c>
      <c r="E50" s="74"/>
      <c r="F50" s="74" t="s">
        <v>1221</v>
      </c>
      <c r="G50" s="74" t="s">
        <v>1104</v>
      </c>
      <c r="H50" s="74" t="s">
        <v>1223</v>
      </c>
      <c r="I50" s="74" t="s">
        <v>133</v>
      </c>
      <c r="J50" s="74" t="s">
        <v>1225</v>
      </c>
      <c r="K50" s="75">
        <v>109347</v>
      </c>
      <c r="L50" s="74">
        <v>14</v>
      </c>
      <c r="M50" s="75">
        <v>5408</v>
      </c>
      <c r="N50" s="75">
        <f t="shared" si="3"/>
        <v>103939</v>
      </c>
      <c r="O50" s="74" t="s">
        <v>79</v>
      </c>
      <c r="P50" s="74" t="s">
        <v>98</v>
      </c>
      <c r="Q50" s="74">
        <v>2.83</v>
      </c>
      <c r="R50" s="74">
        <v>1.08</v>
      </c>
      <c r="S50" s="74" t="s">
        <v>1234</v>
      </c>
      <c r="T50" s="74">
        <v>0.309</v>
      </c>
      <c r="U50" s="74" t="s">
        <v>1235</v>
      </c>
      <c r="V50" s="74">
        <v>1</v>
      </c>
      <c r="W50" s="74" t="s">
        <v>62</v>
      </c>
      <c r="X50" s="74" t="s">
        <v>62</v>
      </c>
      <c r="Y50" s="74" t="s">
        <v>62</v>
      </c>
      <c r="Z50" s="74" t="s">
        <v>62</v>
      </c>
      <c r="AA50" s="74" t="s">
        <v>62</v>
      </c>
      <c r="AB50" s="74" t="s">
        <v>62</v>
      </c>
      <c r="AC50" s="74" t="s">
        <v>140</v>
      </c>
      <c r="AD50" s="74" t="s">
        <v>204</v>
      </c>
    </row>
    <row r="51" spans="1:30" ht="14.25" hidden="1">
      <c r="A51" s="38" t="s">
        <v>70</v>
      </c>
      <c r="B51" s="74" t="s">
        <v>120</v>
      </c>
      <c r="C51" s="74" t="s">
        <v>74</v>
      </c>
      <c r="D51" s="74" t="s">
        <v>1115</v>
      </c>
      <c r="E51" s="74"/>
      <c r="F51" s="74" t="s">
        <v>1221</v>
      </c>
      <c r="G51" s="74" t="s">
        <v>1116</v>
      </c>
      <c r="H51" s="74" t="s">
        <v>1223</v>
      </c>
      <c r="I51" s="74" t="s">
        <v>133</v>
      </c>
      <c r="J51" s="74" t="s">
        <v>1225</v>
      </c>
      <c r="K51" s="75">
        <v>109347</v>
      </c>
      <c r="L51" s="74">
        <v>66</v>
      </c>
      <c r="M51" s="75">
        <v>5408</v>
      </c>
      <c r="N51" s="75">
        <f t="shared" si="3"/>
        <v>103939</v>
      </c>
      <c r="O51" s="74" t="s">
        <v>79</v>
      </c>
      <c r="P51" s="74" t="s">
        <v>98</v>
      </c>
      <c r="Q51" s="74">
        <v>6.69</v>
      </c>
      <c r="R51" s="74">
        <v>0.96</v>
      </c>
      <c r="S51" s="74" t="s">
        <v>1244</v>
      </c>
      <c r="T51" s="74">
        <v>0.66600000000000004</v>
      </c>
      <c r="U51" s="74">
        <v>26.2</v>
      </c>
      <c r="V51" s="74" t="s">
        <v>1165</v>
      </c>
      <c r="W51" s="74" t="s">
        <v>62</v>
      </c>
      <c r="X51" s="74" t="s">
        <v>62</v>
      </c>
      <c r="Y51" s="74" t="s">
        <v>62</v>
      </c>
      <c r="Z51" s="74" t="s">
        <v>62</v>
      </c>
      <c r="AA51" s="74" t="s">
        <v>62</v>
      </c>
      <c r="AB51" s="74" t="s">
        <v>62</v>
      </c>
      <c r="AC51" s="74" t="s">
        <v>140</v>
      </c>
      <c r="AD51" s="74" t="s">
        <v>204</v>
      </c>
    </row>
    <row r="52" spans="1:30" ht="14.25" hidden="1">
      <c r="A52" s="38" t="s">
        <v>70</v>
      </c>
      <c r="B52" s="74" t="s">
        <v>120</v>
      </c>
      <c r="C52" s="74" t="s">
        <v>74</v>
      </c>
      <c r="D52" s="74" t="s">
        <v>1147</v>
      </c>
      <c r="E52" s="74"/>
      <c r="F52" s="74" t="s">
        <v>1221</v>
      </c>
      <c r="G52" s="74" t="s">
        <v>1149</v>
      </c>
      <c r="H52" s="74" t="s">
        <v>1223</v>
      </c>
      <c r="I52" s="74" t="s">
        <v>133</v>
      </c>
      <c r="J52" s="74" t="s">
        <v>1225</v>
      </c>
      <c r="K52" s="79">
        <v>109347</v>
      </c>
      <c r="L52" s="74">
        <v>24</v>
      </c>
      <c r="M52" s="75">
        <v>5408</v>
      </c>
      <c r="N52" s="75">
        <f t="shared" si="3"/>
        <v>103939</v>
      </c>
      <c r="O52" s="74" t="s">
        <v>79</v>
      </c>
      <c r="P52" s="74" t="s">
        <v>98</v>
      </c>
      <c r="Q52" s="74">
        <v>3.85</v>
      </c>
      <c r="R52" s="74">
        <v>0.98</v>
      </c>
      <c r="S52" s="74" t="s">
        <v>1259</v>
      </c>
      <c r="T52" s="74">
        <v>0.79700000000000004</v>
      </c>
      <c r="U52" s="74">
        <v>2.7</v>
      </c>
      <c r="V52" s="74">
        <v>0.60899999999999999</v>
      </c>
      <c r="W52" s="74" t="s">
        <v>62</v>
      </c>
      <c r="X52" s="74" t="s">
        <v>62</v>
      </c>
      <c r="Y52" s="74" t="s">
        <v>62</v>
      </c>
      <c r="Z52" s="74" t="s">
        <v>62</v>
      </c>
      <c r="AA52" s="74" t="s">
        <v>62</v>
      </c>
      <c r="AB52" s="74" t="s">
        <v>62</v>
      </c>
      <c r="AC52" s="74" t="s">
        <v>140</v>
      </c>
      <c r="AD52" s="74" t="s">
        <v>204</v>
      </c>
    </row>
    <row r="53" spans="1:30" ht="14.25" hidden="1">
      <c r="A53" s="38" t="s">
        <v>70</v>
      </c>
      <c r="B53" s="74" t="s">
        <v>120</v>
      </c>
      <c r="C53" s="74" t="s">
        <v>74</v>
      </c>
      <c r="D53" s="74" t="s">
        <v>1156</v>
      </c>
      <c r="E53" s="74"/>
      <c r="F53" s="74" t="s">
        <v>1221</v>
      </c>
      <c r="G53" s="74" t="s">
        <v>248</v>
      </c>
      <c r="H53" s="74" t="s">
        <v>1261</v>
      </c>
      <c r="I53" s="74" t="s">
        <v>133</v>
      </c>
      <c r="J53" s="80" t="s">
        <v>1264</v>
      </c>
      <c r="K53" s="75">
        <v>95213</v>
      </c>
      <c r="L53" s="74">
        <v>7</v>
      </c>
      <c r="M53" s="75">
        <v>6311</v>
      </c>
      <c r="N53" s="75">
        <f t="shared" si="3"/>
        <v>88902</v>
      </c>
      <c r="O53" s="74" t="s">
        <v>79</v>
      </c>
      <c r="P53" s="74" t="s">
        <v>98</v>
      </c>
      <c r="Q53" s="74">
        <v>24.03</v>
      </c>
      <c r="R53" s="74">
        <v>3.25</v>
      </c>
      <c r="S53" s="74" t="s">
        <v>1270</v>
      </c>
      <c r="T53" s="74">
        <v>0.157</v>
      </c>
      <c r="U53" s="74">
        <v>78.959999999999994</v>
      </c>
      <c r="V53" s="74">
        <v>6.0000000000000001E-3</v>
      </c>
      <c r="W53" s="74" t="s">
        <v>62</v>
      </c>
      <c r="X53" s="74" t="s">
        <v>62</v>
      </c>
      <c r="Y53" s="74" t="s">
        <v>62</v>
      </c>
      <c r="Z53" s="74" t="s">
        <v>62</v>
      </c>
      <c r="AA53" s="74" t="s">
        <v>62</v>
      </c>
      <c r="AB53" s="74" t="s">
        <v>62</v>
      </c>
      <c r="AC53" s="74" t="s">
        <v>140</v>
      </c>
      <c r="AD53" s="74" t="s">
        <v>204</v>
      </c>
    </row>
    <row r="54" spans="1:30" ht="14.25" hidden="1">
      <c r="A54" s="38" t="s">
        <v>70</v>
      </c>
      <c r="B54" s="74" t="s">
        <v>120</v>
      </c>
      <c r="C54" s="74" t="s">
        <v>74</v>
      </c>
      <c r="D54" s="74" t="s">
        <v>1174</v>
      </c>
      <c r="E54" s="74"/>
      <c r="F54" s="74" t="s">
        <v>1221</v>
      </c>
      <c r="G54" s="74" t="s">
        <v>215</v>
      </c>
      <c r="H54" s="74" t="s">
        <v>1261</v>
      </c>
      <c r="I54" s="74" t="s">
        <v>133</v>
      </c>
      <c r="J54" s="80" t="s">
        <v>1264</v>
      </c>
      <c r="K54" s="75">
        <v>95213</v>
      </c>
      <c r="L54" s="74">
        <v>8</v>
      </c>
      <c r="M54" s="75">
        <v>6311</v>
      </c>
      <c r="N54" s="75">
        <f t="shared" si="3"/>
        <v>88902</v>
      </c>
      <c r="O54" s="74" t="s">
        <v>79</v>
      </c>
      <c r="P54" s="74" t="s">
        <v>98</v>
      </c>
      <c r="Q54" s="74">
        <v>28.85</v>
      </c>
      <c r="R54" s="74">
        <v>5.44</v>
      </c>
      <c r="S54" s="74" t="s">
        <v>1279</v>
      </c>
      <c r="T54" s="74">
        <v>2.8000000000000001E-2</v>
      </c>
      <c r="U54" s="74">
        <v>51.63</v>
      </c>
      <c r="V54" s="74">
        <v>4.3999999999999997E-2</v>
      </c>
      <c r="W54" s="74" t="s">
        <v>62</v>
      </c>
      <c r="X54" s="74" t="s">
        <v>62</v>
      </c>
      <c r="Y54" s="74" t="s">
        <v>62</v>
      </c>
      <c r="Z54" s="74" t="s">
        <v>62</v>
      </c>
      <c r="AA54" s="74" t="s">
        <v>62</v>
      </c>
      <c r="AB54" s="74" t="s">
        <v>62</v>
      </c>
      <c r="AC54" s="74" t="s">
        <v>140</v>
      </c>
      <c r="AD54" s="74" t="s">
        <v>204</v>
      </c>
    </row>
    <row r="55" spans="1:30" ht="14.25" hidden="1">
      <c r="A55" s="38" t="s">
        <v>70</v>
      </c>
      <c r="B55" s="74" t="s">
        <v>120</v>
      </c>
      <c r="C55" s="74" t="s">
        <v>74</v>
      </c>
      <c r="D55" s="74" t="s">
        <v>1185</v>
      </c>
      <c r="E55" s="74"/>
      <c r="F55" s="74" t="s">
        <v>1221</v>
      </c>
      <c r="G55" s="74" t="s">
        <v>165</v>
      </c>
      <c r="H55" s="74" t="s">
        <v>1261</v>
      </c>
      <c r="I55" s="74" t="s">
        <v>133</v>
      </c>
      <c r="J55" s="80" t="s">
        <v>1264</v>
      </c>
      <c r="K55" s="75">
        <v>95213</v>
      </c>
      <c r="L55" s="74">
        <v>12</v>
      </c>
      <c r="M55" s="75">
        <v>6311</v>
      </c>
      <c r="N55" s="75">
        <f t="shared" si="3"/>
        <v>88902</v>
      </c>
      <c r="O55" s="74" t="s">
        <v>79</v>
      </c>
      <c r="P55" s="74" t="s">
        <v>98</v>
      </c>
      <c r="Q55" s="74">
        <v>26.64</v>
      </c>
      <c r="R55" s="74">
        <v>1.38</v>
      </c>
      <c r="S55" s="74" t="s">
        <v>1296</v>
      </c>
      <c r="T55" s="74">
        <v>0.378</v>
      </c>
      <c r="U55" s="74">
        <v>25.35</v>
      </c>
      <c r="V55" s="74">
        <v>6.4000000000000001E-2</v>
      </c>
      <c r="W55" s="74" t="s">
        <v>62</v>
      </c>
      <c r="X55" s="74" t="s">
        <v>62</v>
      </c>
      <c r="Y55" s="74" t="s">
        <v>62</v>
      </c>
      <c r="Z55" s="74" t="s">
        <v>62</v>
      </c>
      <c r="AA55" s="74" t="s">
        <v>62</v>
      </c>
      <c r="AB55" s="74" t="s">
        <v>62</v>
      </c>
      <c r="AC55" s="74" t="s">
        <v>140</v>
      </c>
      <c r="AD55" s="74" t="s">
        <v>204</v>
      </c>
    </row>
    <row r="56" spans="1:30" ht="14.25" hidden="1">
      <c r="A56" s="38" t="s">
        <v>70</v>
      </c>
      <c r="B56" s="74" t="s">
        <v>120</v>
      </c>
      <c r="C56" s="74" t="s">
        <v>74</v>
      </c>
      <c r="D56" s="74" t="s">
        <v>1205</v>
      </c>
      <c r="E56" s="74"/>
      <c r="F56" s="74" t="s">
        <v>1221</v>
      </c>
      <c r="G56" s="74" t="s">
        <v>113</v>
      </c>
      <c r="H56" s="74" t="s">
        <v>1261</v>
      </c>
      <c r="I56" s="74" t="s">
        <v>133</v>
      </c>
      <c r="J56" s="80" t="s">
        <v>1264</v>
      </c>
      <c r="K56" s="75">
        <v>95213</v>
      </c>
      <c r="L56" s="74">
        <v>10</v>
      </c>
      <c r="M56" s="75">
        <v>6311</v>
      </c>
      <c r="N56" s="75">
        <f t="shared" si="3"/>
        <v>88902</v>
      </c>
      <c r="O56" s="74" t="s">
        <v>79</v>
      </c>
      <c r="P56" s="74" t="s">
        <v>98</v>
      </c>
      <c r="Q56" s="74">
        <v>16.649999999999999</v>
      </c>
      <c r="R56" s="74">
        <v>2.3199999999999998</v>
      </c>
      <c r="S56" s="74" t="s">
        <v>1303</v>
      </c>
      <c r="T56" s="74">
        <v>5.8000000000000003E-2</v>
      </c>
      <c r="U56" s="74">
        <v>36.619999999999997</v>
      </c>
      <c r="V56" s="74">
        <v>1E-3</v>
      </c>
      <c r="W56" s="74" t="s">
        <v>62</v>
      </c>
      <c r="X56" s="74" t="s">
        <v>62</v>
      </c>
      <c r="Y56" s="74" t="s">
        <v>62</v>
      </c>
      <c r="Z56" s="74" t="s">
        <v>62</v>
      </c>
      <c r="AA56" s="74" t="s">
        <v>62</v>
      </c>
      <c r="AB56" s="74" t="s">
        <v>62</v>
      </c>
      <c r="AC56" s="74" t="s">
        <v>140</v>
      </c>
      <c r="AD56" s="74" t="s">
        <v>204</v>
      </c>
    </row>
    <row r="57" spans="1:30" ht="14.25" hidden="1">
      <c r="A57" s="38" t="s">
        <v>52</v>
      </c>
      <c r="B57" s="38" t="s">
        <v>245</v>
      </c>
      <c r="C57" s="38" t="s">
        <v>74</v>
      </c>
      <c r="D57" s="38" t="s">
        <v>164</v>
      </c>
      <c r="E57" s="38"/>
      <c r="F57" s="38" t="s">
        <v>247</v>
      </c>
      <c r="G57" s="38" t="s">
        <v>1307</v>
      </c>
      <c r="H57" s="38" t="s">
        <v>1309</v>
      </c>
      <c r="I57" s="82" t="s">
        <v>1311</v>
      </c>
      <c r="J57" s="38" t="s">
        <v>256</v>
      </c>
      <c r="K57" s="38">
        <v>1369</v>
      </c>
      <c r="L57" s="38">
        <v>34</v>
      </c>
      <c r="M57" s="38" t="s">
        <v>79</v>
      </c>
      <c r="N57" s="38" t="s">
        <v>79</v>
      </c>
      <c r="O57" s="38" t="s">
        <v>97</v>
      </c>
      <c r="P57" s="38" t="s">
        <v>98</v>
      </c>
      <c r="Q57" s="38">
        <v>22.3</v>
      </c>
      <c r="R57" s="38">
        <v>1.004</v>
      </c>
      <c r="S57" s="38" t="s">
        <v>1312</v>
      </c>
      <c r="T57" s="38">
        <v>1.7999999999999999E-2</v>
      </c>
      <c r="U57" s="38" t="s">
        <v>79</v>
      </c>
      <c r="V57" s="38">
        <v>0.55700000000000005</v>
      </c>
      <c r="W57" s="53">
        <v>1.012</v>
      </c>
      <c r="X57" s="53" t="s">
        <v>1313</v>
      </c>
      <c r="Y57" s="53">
        <v>1.4999999999999999E-2</v>
      </c>
      <c r="Z57" s="38" t="s">
        <v>79</v>
      </c>
      <c r="AA57" s="38" t="s">
        <v>79</v>
      </c>
      <c r="AB57" s="38">
        <v>0.30599999999999999</v>
      </c>
      <c r="AC57" s="38" t="s">
        <v>140</v>
      </c>
      <c r="AD57" s="38" t="s">
        <v>145</v>
      </c>
    </row>
    <row r="58" spans="1:30" ht="14.25" hidden="1">
      <c r="A58" s="14" t="s">
        <v>52</v>
      </c>
      <c r="B58" s="14" t="s">
        <v>20</v>
      </c>
      <c r="C58" s="14" t="s">
        <v>74</v>
      </c>
      <c r="D58" s="14" t="s">
        <v>246</v>
      </c>
      <c r="E58" s="14"/>
      <c r="F58" s="14" t="s">
        <v>1319</v>
      </c>
      <c r="G58" s="14" t="s">
        <v>248</v>
      </c>
      <c r="H58" s="14">
        <v>31194737</v>
      </c>
      <c r="I58" s="14" t="s">
        <v>1320</v>
      </c>
      <c r="J58" s="14" t="s">
        <v>1321</v>
      </c>
      <c r="K58" s="14" t="s">
        <v>1321</v>
      </c>
      <c r="L58" s="14">
        <v>11</v>
      </c>
      <c r="M58" s="14" t="s">
        <v>1321</v>
      </c>
      <c r="N58" s="14" t="s">
        <v>1321</v>
      </c>
      <c r="O58" s="14" t="s">
        <v>97</v>
      </c>
      <c r="P58" s="14" t="s">
        <v>129</v>
      </c>
      <c r="Q58" s="14" t="s">
        <v>79</v>
      </c>
      <c r="R58" s="83" t="s">
        <v>1322</v>
      </c>
      <c r="S58" s="83" t="s">
        <v>1323</v>
      </c>
      <c r="T58" s="14" t="s">
        <v>1324</v>
      </c>
      <c r="U58" s="14">
        <v>18.391999999999999</v>
      </c>
      <c r="V58" s="14">
        <v>4.9000000000000002E-2</v>
      </c>
      <c r="W58" s="14">
        <v>-0.01</v>
      </c>
      <c r="X58" s="14" t="s">
        <v>1325</v>
      </c>
      <c r="Y58" s="14">
        <v>0.92200000000000004</v>
      </c>
      <c r="Z58" s="14" t="s">
        <v>62</v>
      </c>
      <c r="AA58" s="14" t="s">
        <v>62</v>
      </c>
      <c r="AB58" s="14" t="s">
        <v>62</v>
      </c>
      <c r="AC58" s="14" t="s">
        <v>140</v>
      </c>
      <c r="AD58" s="14" t="s">
        <v>145</v>
      </c>
    </row>
    <row r="59" spans="1:30" ht="14.25" hidden="1">
      <c r="A59" s="14" t="s">
        <v>52</v>
      </c>
      <c r="B59" s="14" t="s">
        <v>20</v>
      </c>
      <c r="C59" s="14" t="s">
        <v>74</v>
      </c>
      <c r="D59" s="14" t="s">
        <v>164</v>
      </c>
      <c r="E59" s="14"/>
      <c r="F59" s="14" t="s">
        <v>1319</v>
      </c>
      <c r="G59" s="14" t="s">
        <v>165</v>
      </c>
      <c r="H59" s="14">
        <v>31194737</v>
      </c>
      <c r="I59" s="14" t="s">
        <v>1332</v>
      </c>
      <c r="J59" s="14" t="s">
        <v>1321</v>
      </c>
      <c r="K59" s="14" t="s">
        <v>1321</v>
      </c>
      <c r="L59" s="14">
        <v>29</v>
      </c>
      <c r="M59" s="14" t="s">
        <v>1321</v>
      </c>
      <c r="N59" s="14" t="s">
        <v>1321</v>
      </c>
      <c r="O59" s="14" t="s">
        <v>97</v>
      </c>
      <c r="P59" s="14" t="s">
        <v>129</v>
      </c>
      <c r="Q59" s="14" t="s">
        <v>79</v>
      </c>
      <c r="R59" s="14" t="s">
        <v>1333</v>
      </c>
      <c r="S59" s="14" t="s">
        <v>1334</v>
      </c>
      <c r="T59" s="14" t="s">
        <v>1335</v>
      </c>
      <c r="U59" s="14">
        <v>67.778999999999996</v>
      </c>
      <c r="V59" s="14" t="s">
        <v>1165</v>
      </c>
      <c r="W59" s="14">
        <v>-7.0000000000000007E-2</v>
      </c>
      <c r="X59" s="14" t="s">
        <v>1336</v>
      </c>
      <c r="Y59" s="14">
        <v>0.313</v>
      </c>
      <c r="Z59" s="14" t="s">
        <v>62</v>
      </c>
      <c r="AA59" s="14" t="s">
        <v>62</v>
      </c>
      <c r="AB59" s="14" t="s">
        <v>62</v>
      </c>
      <c r="AC59" s="14" t="s">
        <v>140</v>
      </c>
      <c r="AD59" s="14" t="s">
        <v>145</v>
      </c>
    </row>
    <row r="60" spans="1:30" ht="14.25" hidden="1">
      <c r="A60" s="14" t="s">
        <v>52</v>
      </c>
      <c r="B60" s="14" t="s">
        <v>20</v>
      </c>
      <c r="C60" s="14" t="s">
        <v>74</v>
      </c>
      <c r="D60" s="14" t="s">
        <v>75</v>
      </c>
      <c r="E60" s="14"/>
      <c r="F60" s="14" t="s">
        <v>1319</v>
      </c>
      <c r="G60" s="14" t="s">
        <v>113</v>
      </c>
      <c r="H60" s="14">
        <v>31194737</v>
      </c>
      <c r="I60" s="14" t="s">
        <v>1344</v>
      </c>
      <c r="J60" s="14" t="s">
        <v>1321</v>
      </c>
      <c r="K60" s="14" t="s">
        <v>1321</v>
      </c>
      <c r="L60" s="14">
        <v>39</v>
      </c>
      <c r="M60" s="14" t="s">
        <v>1321</v>
      </c>
      <c r="N60" s="14" t="s">
        <v>1321</v>
      </c>
      <c r="O60" s="14" t="s">
        <v>97</v>
      </c>
      <c r="P60" s="14" t="s">
        <v>129</v>
      </c>
      <c r="Q60" s="14" t="s">
        <v>79</v>
      </c>
      <c r="R60" s="14" t="s">
        <v>1345</v>
      </c>
      <c r="S60" s="14" t="s">
        <v>1334</v>
      </c>
      <c r="T60" s="14" t="s">
        <v>1346</v>
      </c>
      <c r="U60" s="14" t="s">
        <v>1347</v>
      </c>
      <c r="V60" s="14" t="s">
        <v>1165</v>
      </c>
      <c r="W60" s="14">
        <v>-0.17</v>
      </c>
      <c r="X60" s="14" t="s">
        <v>1348</v>
      </c>
      <c r="Y60" s="14">
        <v>2.5999999999999999E-2</v>
      </c>
      <c r="Z60" s="14" t="s">
        <v>62</v>
      </c>
      <c r="AA60" s="14" t="s">
        <v>62</v>
      </c>
      <c r="AB60" s="14" t="s">
        <v>62</v>
      </c>
      <c r="AC60" s="14" t="s">
        <v>140</v>
      </c>
      <c r="AD60" s="14" t="s">
        <v>145</v>
      </c>
    </row>
    <row r="61" spans="1:30" ht="14.25" hidden="1">
      <c r="A61" s="14" t="s">
        <v>52</v>
      </c>
      <c r="B61" s="14" t="s">
        <v>20</v>
      </c>
      <c r="C61" s="14" t="s">
        <v>74</v>
      </c>
      <c r="D61" s="14" t="s">
        <v>212</v>
      </c>
      <c r="E61" s="14"/>
      <c r="F61" s="14" t="s">
        <v>1319</v>
      </c>
      <c r="G61" s="14" t="s">
        <v>215</v>
      </c>
      <c r="H61" s="14">
        <v>31194737</v>
      </c>
      <c r="I61" s="14" t="s">
        <v>1356</v>
      </c>
      <c r="J61" s="14" t="s">
        <v>1321</v>
      </c>
      <c r="K61" s="14" t="s">
        <v>1321</v>
      </c>
      <c r="L61" s="14">
        <v>14</v>
      </c>
      <c r="M61" s="14" t="s">
        <v>1321</v>
      </c>
      <c r="N61" s="14" t="s">
        <v>1321</v>
      </c>
      <c r="O61" s="14" t="s">
        <v>97</v>
      </c>
      <c r="P61" s="14" t="s">
        <v>129</v>
      </c>
      <c r="Q61" s="14" t="s">
        <v>79</v>
      </c>
      <c r="R61" s="14" t="s">
        <v>1358</v>
      </c>
      <c r="S61" s="14" t="s">
        <v>1323</v>
      </c>
      <c r="T61" s="14" t="s">
        <v>1362</v>
      </c>
      <c r="U61" s="14" t="s">
        <v>1365</v>
      </c>
      <c r="V61" s="14">
        <v>8.9999999999999993E-3</v>
      </c>
      <c r="W61" s="14">
        <v>-0.25</v>
      </c>
      <c r="X61" s="14" t="s">
        <v>1368</v>
      </c>
      <c r="Y61" s="14">
        <v>3.7999999999999999E-2</v>
      </c>
      <c r="Z61" s="14" t="s">
        <v>62</v>
      </c>
      <c r="AA61" s="14" t="s">
        <v>62</v>
      </c>
      <c r="AB61" s="14" t="s">
        <v>62</v>
      </c>
      <c r="AC61" s="14" t="s">
        <v>140</v>
      </c>
      <c r="AD61" s="14" t="s">
        <v>145</v>
      </c>
    </row>
    <row r="62" spans="1:30" ht="14.25" hidden="1">
      <c r="A62" s="14" t="s">
        <v>52</v>
      </c>
      <c r="B62" s="14" t="s">
        <v>20</v>
      </c>
      <c r="C62" s="14" t="s">
        <v>74</v>
      </c>
      <c r="D62" s="14" t="s">
        <v>246</v>
      </c>
      <c r="E62" s="14"/>
      <c r="F62" s="14" t="s">
        <v>1373</v>
      </c>
      <c r="G62" s="14" t="s">
        <v>248</v>
      </c>
      <c r="H62" s="14" t="s">
        <v>1376</v>
      </c>
      <c r="I62" s="14" t="s">
        <v>1377</v>
      </c>
      <c r="J62" s="14" t="s">
        <v>1379</v>
      </c>
      <c r="K62" s="19">
        <f t="shared" ref="K62:K93" si="4">M62+N62</f>
        <v>117404</v>
      </c>
      <c r="L62" s="14">
        <v>11</v>
      </c>
      <c r="M62" s="19">
        <v>80588</v>
      </c>
      <c r="N62" s="19">
        <v>36816</v>
      </c>
      <c r="O62" s="14" t="s">
        <v>97</v>
      </c>
      <c r="P62" s="14" t="s">
        <v>129</v>
      </c>
      <c r="Q62" s="14" t="s">
        <v>79</v>
      </c>
      <c r="R62" s="14" t="s">
        <v>1381</v>
      </c>
      <c r="S62" s="14" t="s">
        <v>134</v>
      </c>
      <c r="T62" s="14">
        <v>0.34</v>
      </c>
      <c r="U62" s="14">
        <v>6.5250000000000004</v>
      </c>
      <c r="V62" s="14">
        <v>0.76900000000000002</v>
      </c>
      <c r="W62" s="14">
        <v>0.04</v>
      </c>
      <c r="X62" s="14" t="s">
        <v>1385</v>
      </c>
      <c r="Y62" s="14">
        <v>0.64300000000000002</v>
      </c>
      <c r="Z62" s="14" t="s">
        <v>62</v>
      </c>
      <c r="AA62" s="14" t="s">
        <v>62</v>
      </c>
      <c r="AB62" s="14" t="s">
        <v>62</v>
      </c>
      <c r="AC62" s="14" t="s">
        <v>140</v>
      </c>
      <c r="AD62" s="14" t="s">
        <v>145</v>
      </c>
    </row>
    <row r="63" spans="1:30" ht="14.25" hidden="1">
      <c r="A63" s="14" t="s">
        <v>52</v>
      </c>
      <c r="B63" s="14" t="s">
        <v>20</v>
      </c>
      <c r="C63" s="14" t="s">
        <v>74</v>
      </c>
      <c r="D63" s="14" t="s">
        <v>164</v>
      </c>
      <c r="E63" s="14"/>
      <c r="F63" s="14" t="s">
        <v>1373</v>
      </c>
      <c r="G63" s="14" t="s">
        <v>165</v>
      </c>
      <c r="H63" s="14" t="s">
        <v>1376</v>
      </c>
      <c r="I63" s="14" t="s">
        <v>1392</v>
      </c>
      <c r="J63" s="14" t="s">
        <v>1393</v>
      </c>
      <c r="K63" s="19">
        <f t="shared" si="4"/>
        <v>117404</v>
      </c>
      <c r="L63" s="14">
        <v>29</v>
      </c>
      <c r="M63" s="19">
        <v>80588</v>
      </c>
      <c r="N63" s="19">
        <v>36816</v>
      </c>
      <c r="O63" s="14" t="s">
        <v>97</v>
      </c>
      <c r="P63" s="14" t="s">
        <v>129</v>
      </c>
      <c r="Q63" s="14" t="s">
        <v>79</v>
      </c>
      <c r="R63" s="14" t="s">
        <v>1394</v>
      </c>
      <c r="S63" s="14" t="s">
        <v>1395</v>
      </c>
      <c r="T63" s="14">
        <v>0.14000000000000001</v>
      </c>
      <c r="U63" s="14">
        <v>28.945</v>
      </c>
      <c r="V63" s="14">
        <v>0.41499999999999998</v>
      </c>
      <c r="W63" s="14">
        <v>-0.06</v>
      </c>
      <c r="X63" s="14" t="s">
        <v>1396</v>
      </c>
      <c r="Y63" s="14">
        <v>0.19600000000000001</v>
      </c>
      <c r="Z63" s="14" t="s">
        <v>62</v>
      </c>
      <c r="AA63" s="14" t="s">
        <v>62</v>
      </c>
      <c r="AB63" s="14" t="s">
        <v>62</v>
      </c>
      <c r="AC63" s="14" t="s">
        <v>140</v>
      </c>
      <c r="AD63" s="14" t="s">
        <v>145</v>
      </c>
    </row>
    <row r="64" spans="1:30" ht="14.25" hidden="1">
      <c r="A64" s="14" t="s">
        <v>52</v>
      </c>
      <c r="B64" s="14" t="s">
        <v>20</v>
      </c>
      <c r="C64" s="14" t="s">
        <v>74</v>
      </c>
      <c r="D64" s="14" t="s">
        <v>75</v>
      </c>
      <c r="E64" s="14"/>
      <c r="F64" s="14" t="s">
        <v>1373</v>
      </c>
      <c r="G64" s="14" t="s">
        <v>113</v>
      </c>
      <c r="H64" s="14" t="s">
        <v>1376</v>
      </c>
      <c r="I64" s="14" t="s">
        <v>1400</v>
      </c>
      <c r="J64" s="14" t="s">
        <v>1401</v>
      </c>
      <c r="K64" s="19">
        <f t="shared" si="4"/>
        <v>117404</v>
      </c>
      <c r="L64" s="14">
        <v>39</v>
      </c>
      <c r="M64" s="19">
        <v>80588</v>
      </c>
      <c r="N64" s="19">
        <v>36816</v>
      </c>
      <c r="O64" s="14" t="s">
        <v>97</v>
      </c>
      <c r="P64" s="14" t="s">
        <v>129</v>
      </c>
      <c r="Q64" s="14" t="s">
        <v>79</v>
      </c>
      <c r="R64" s="14" t="s">
        <v>1403</v>
      </c>
      <c r="S64" s="14" t="s">
        <v>131</v>
      </c>
      <c r="T64" s="14">
        <v>0.27400000000000002</v>
      </c>
      <c r="U64" s="14">
        <v>46.463999999999999</v>
      </c>
      <c r="V64" s="14">
        <v>0.16300000000000001</v>
      </c>
      <c r="W64" s="14">
        <v>-0.05</v>
      </c>
      <c r="X64" s="14" t="s">
        <v>134</v>
      </c>
      <c r="Y64" s="14">
        <v>0.42499999999999999</v>
      </c>
      <c r="Z64" s="14" t="s">
        <v>62</v>
      </c>
      <c r="AA64" s="14" t="s">
        <v>62</v>
      </c>
      <c r="AB64" s="14" t="s">
        <v>62</v>
      </c>
      <c r="AC64" s="14" t="s">
        <v>140</v>
      </c>
      <c r="AD64" s="14" t="s">
        <v>145</v>
      </c>
    </row>
    <row r="65" spans="1:30" ht="14.25" hidden="1">
      <c r="A65" s="14" t="s">
        <v>52</v>
      </c>
      <c r="B65" s="14" t="s">
        <v>20</v>
      </c>
      <c r="C65" s="14" t="s">
        <v>74</v>
      </c>
      <c r="D65" s="14" t="s">
        <v>212</v>
      </c>
      <c r="E65" s="14"/>
      <c r="F65" s="14" t="s">
        <v>1373</v>
      </c>
      <c r="G65" s="14" t="s">
        <v>215</v>
      </c>
      <c r="H65" s="14" t="s">
        <v>1376</v>
      </c>
      <c r="I65" s="14" t="s">
        <v>1409</v>
      </c>
      <c r="J65" s="14" t="s">
        <v>1410</v>
      </c>
      <c r="K65" s="19">
        <f t="shared" si="4"/>
        <v>117404</v>
      </c>
      <c r="L65" s="14">
        <v>14</v>
      </c>
      <c r="M65" s="19">
        <v>80588</v>
      </c>
      <c r="N65" s="19">
        <v>36816</v>
      </c>
      <c r="O65" s="14" t="s">
        <v>97</v>
      </c>
      <c r="P65" s="14" t="s">
        <v>129</v>
      </c>
      <c r="Q65" s="14" t="s">
        <v>79</v>
      </c>
      <c r="R65" s="14" t="s">
        <v>1415</v>
      </c>
      <c r="S65" s="14" t="s">
        <v>1417</v>
      </c>
      <c r="T65" s="14" t="s">
        <v>1419</v>
      </c>
      <c r="U65" s="14">
        <v>19.966000000000001</v>
      </c>
      <c r="V65" s="14">
        <v>9.6000000000000002E-2</v>
      </c>
      <c r="W65" s="14">
        <v>0.06</v>
      </c>
      <c r="X65" s="14" t="s">
        <v>1422</v>
      </c>
      <c r="Y65" s="14">
        <v>0.51200000000000001</v>
      </c>
      <c r="Z65" s="14" t="s">
        <v>62</v>
      </c>
      <c r="AA65" s="14" t="s">
        <v>62</v>
      </c>
      <c r="AB65" s="14" t="s">
        <v>62</v>
      </c>
      <c r="AC65" s="14" t="s">
        <v>140</v>
      </c>
      <c r="AD65" s="14" t="s">
        <v>145</v>
      </c>
    </row>
    <row r="66" spans="1:30" ht="14.25" hidden="1">
      <c r="A66" s="14" t="s">
        <v>52</v>
      </c>
      <c r="B66" s="14" t="s">
        <v>20</v>
      </c>
      <c r="C66" s="14" t="s">
        <v>74</v>
      </c>
      <c r="D66" s="14" t="s">
        <v>246</v>
      </c>
      <c r="E66" s="14"/>
      <c r="F66" s="14" t="s">
        <v>1429</v>
      </c>
      <c r="G66" s="14" t="s">
        <v>248</v>
      </c>
      <c r="H66" s="14" t="s">
        <v>1430</v>
      </c>
      <c r="I66" s="14" t="s">
        <v>1431</v>
      </c>
      <c r="J66" s="14" t="s">
        <v>1432</v>
      </c>
      <c r="K66" s="19">
        <f t="shared" si="4"/>
        <v>91269</v>
      </c>
      <c r="L66" s="14">
        <v>11</v>
      </c>
      <c r="M66" s="19">
        <v>41719</v>
      </c>
      <c r="N66" s="19">
        <v>49550</v>
      </c>
      <c r="O66" s="14" t="s">
        <v>97</v>
      </c>
      <c r="P66" s="14" t="s">
        <v>129</v>
      </c>
      <c r="Q66" s="14" t="s">
        <v>79</v>
      </c>
      <c r="R66" s="14">
        <v>0.01</v>
      </c>
      <c r="S66" s="14" t="s">
        <v>1434</v>
      </c>
      <c r="T66" s="14">
        <v>0.84599999999999997</v>
      </c>
      <c r="U66" s="14">
        <v>18.305</v>
      </c>
      <c r="V66" s="14">
        <v>0.05</v>
      </c>
      <c r="W66" s="14">
        <v>-0.06</v>
      </c>
      <c r="X66" s="14" t="s">
        <v>1325</v>
      </c>
      <c r="Y66" s="14">
        <v>0.54600000000000004</v>
      </c>
      <c r="Z66" s="14" t="s">
        <v>62</v>
      </c>
      <c r="AA66" s="14" t="s">
        <v>62</v>
      </c>
      <c r="AB66" s="14" t="s">
        <v>62</v>
      </c>
      <c r="AC66" s="14" t="s">
        <v>140</v>
      </c>
      <c r="AD66" s="14" t="s">
        <v>145</v>
      </c>
    </row>
    <row r="67" spans="1:30" ht="14.25" hidden="1">
      <c r="A67" s="14" t="s">
        <v>52</v>
      </c>
      <c r="B67" s="14" t="s">
        <v>20</v>
      </c>
      <c r="C67" s="14" t="s">
        <v>74</v>
      </c>
      <c r="D67" s="14" t="s">
        <v>164</v>
      </c>
      <c r="E67" s="14"/>
      <c r="F67" s="14" t="s">
        <v>1429</v>
      </c>
      <c r="G67" s="14" t="s">
        <v>165</v>
      </c>
      <c r="H67" s="14" t="s">
        <v>1430</v>
      </c>
      <c r="I67" s="14" t="s">
        <v>1444</v>
      </c>
      <c r="J67" s="14" t="s">
        <v>1445</v>
      </c>
      <c r="K67" s="19">
        <f t="shared" si="4"/>
        <v>91269</v>
      </c>
      <c r="L67" s="14">
        <v>29</v>
      </c>
      <c r="M67" s="19">
        <v>41719</v>
      </c>
      <c r="N67" s="19">
        <v>49550</v>
      </c>
      <c r="O67" s="14" t="s">
        <v>97</v>
      </c>
      <c r="P67" s="14" t="s">
        <v>129</v>
      </c>
      <c r="Q67" s="14" t="s">
        <v>79</v>
      </c>
      <c r="R67" s="14">
        <v>-0.05</v>
      </c>
      <c r="S67" s="14" t="s">
        <v>131</v>
      </c>
      <c r="T67" s="14">
        <v>0.249</v>
      </c>
      <c r="U67" s="14">
        <v>41.137</v>
      </c>
      <c r="V67" s="14">
        <v>5.1999999999999998E-2</v>
      </c>
      <c r="W67" s="14">
        <v>-0.03</v>
      </c>
      <c r="X67" s="14" t="s">
        <v>134</v>
      </c>
      <c r="Y67" s="14">
        <v>0.58099999999999996</v>
      </c>
      <c r="Z67" s="14" t="s">
        <v>62</v>
      </c>
      <c r="AA67" s="14" t="s">
        <v>62</v>
      </c>
      <c r="AB67" s="14" t="s">
        <v>62</v>
      </c>
      <c r="AC67" s="14" t="s">
        <v>140</v>
      </c>
      <c r="AD67" s="14" t="s">
        <v>145</v>
      </c>
    </row>
    <row r="68" spans="1:30" ht="14.25" hidden="1">
      <c r="A68" s="14" t="s">
        <v>52</v>
      </c>
      <c r="B68" s="14" t="s">
        <v>20</v>
      </c>
      <c r="C68" s="14" t="s">
        <v>74</v>
      </c>
      <c r="D68" s="14" t="s">
        <v>75</v>
      </c>
      <c r="E68" s="14"/>
      <c r="F68" s="14" t="s">
        <v>1429</v>
      </c>
      <c r="G68" s="14" t="s">
        <v>113</v>
      </c>
      <c r="H68" s="14" t="s">
        <v>1430</v>
      </c>
      <c r="I68" s="14" t="s">
        <v>1457</v>
      </c>
      <c r="J68" s="14" t="s">
        <v>1458</v>
      </c>
      <c r="K68" s="19">
        <f t="shared" si="4"/>
        <v>91269</v>
      </c>
      <c r="L68" s="14">
        <v>39</v>
      </c>
      <c r="M68" s="19">
        <v>41719</v>
      </c>
      <c r="N68" s="19">
        <v>49550</v>
      </c>
      <c r="O68" s="14" t="s">
        <v>97</v>
      </c>
      <c r="P68" s="14" t="s">
        <v>129</v>
      </c>
      <c r="Q68" s="14" t="s">
        <v>79</v>
      </c>
      <c r="R68" s="14">
        <v>-0.02</v>
      </c>
      <c r="S68" s="14" t="s">
        <v>134</v>
      </c>
      <c r="T68" s="14">
        <v>0.71099999999999997</v>
      </c>
      <c r="U68" s="14">
        <v>68.492000000000004</v>
      </c>
      <c r="V68" s="14">
        <v>2E-3</v>
      </c>
      <c r="W68" s="14">
        <v>-0.04</v>
      </c>
      <c r="X68" s="14" t="s">
        <v>1434</v>
      </c>
      <c r="Y68" s="14">
        <v>0.54700000000000004</v>
      </c>
      <c r="Z68" s="14" t="s">
        <v>62</v>
      </c>
      <c r="AA68" s="14" t="s">
        <v>62</v>
      </c>
      <c r="AB68" s="14" t="s">
        <v>62</v>
      </c>
      <c r="AC68" s="14" t="s">
        <v>140</v>
      </c>
      <c r="AD68" s="14" t="s">
        <v>145</v>
      </c>
    </row>
    <row r="69" spans="1:30" ht="14.25" hidden="1">
      <c r="A69" s="14" t="s">
        <v>52</v>
      </c>
      <c r="B69" s="14" t="s">
        <v>20</v>
      </c>
      <c r="C69" s="14" t="s">
        <v>74</v>
      </c>
      <c r="D69" s="14" t="s">
        <v>212</v>
      </c>
      <c r="E69" s="14"/>
      <c r="F69" s="14" t="s">
        <v>1429</v>
      </c>
      <c r="G69" s="14" t="s">
        <v>215</v>
      </c>
      <c r="H69" s="14" t="s">
        <v>1430</v>
      </c>
      <c r="I69" s="14" t="s">
        <v>1461</v>
      </c>
      <c r="J69" s="14" t="s">
        <v>1462</v>
      </c>
      <c r="K69" s="19">
        <f t="shared" si="4"/>
        <v>91269</v>
      </c>
      <c r="L69" s="14">
        <v>14</v>
      </c>
      <c r="M69" s="19">
        <v>41719</v>
      </c>
      <c r="N69" s="19">
        <v>49550</v>
      </c>
      <c r="O69" s="14" t="s">
        <v>97</v>
      </c>
      <c r="P69" s="14" t="s">
        <v>129</v>
      </c>
      <c r="Q69" s="14" t="s">
        <v>79</v>
      </c>
      <c r="R69" s="14">
        <v>0.06</v>
      </c>
      <c r="S69" s="14" t="s">
        <v>1434</v>
      </c>
      <c r="T69" s="14">
        <v>0.373</v>
      </c>
      <c r="U69" s="14">
        <v>6.83</v>
      </c>
      <c r="V69" s="14">
        <v>0.91100000000000003</v>
      </c>
      <c r="W69" s="14">
        <v>0</v>
      </c>
      <c r="X69" s="14" t="s">
        <v>1422</v>
      </c>
      <c r="Y69" s="14">
        <v>0.99</v>
      </c>
      <c r="Z69" s="14" t="s">
        <v>62</v>
      </c>
      <c r="AA69" s="14" t="s">
        <v>62</v>
      </c>
      <c r="AB69" s="14" t="s">
        <v>62</v>
      </c>
      <c r="AC69" s="14" t="s">
        <v>140</v>
      </c>
      <c r="AD69" s="14" t="s">
        <v>145</v>
      </c>
    </row>
    <row r="70" spans="1:30" ht="14.25" hidden="1">
      <c r="A70" s="14" t="s">
        <v>52</v>
      </c>
      <c r="B70" s="14" t="s">
        <v>20</v>
      </c>
      <c r="C70" s="14" t="s">
        <v>74</v>
      </c>
      <c r="D70" s="14" t="s">
        <v>246</v>
      </c>
      <c r="E70" s="14"/>
      <c r="F70" s="14" t="s">
        <v>111</v>
      </c>
      <c r="G70" s="14" t="s">
        <v>248</v>
      </c>
      <c r="H70" s="14" t="s">
        <v>1465</v>
      </c>
      <c r="I70" s="14" t="s">
        <v>1466</v>
      </c>
      <c r="J70" s="14" t="s">
        <v>1467</v>
      </c>
      <c r="K70" s="19">
        <f t="shared" si="4"/>
        <v>97889</v>
      </c>
      <c r="L70" s="14">
        <v>11</v>
      </c>
      <c r="M70" s="19">
        <v>76910</v>
      </c>
      <c r="N70" s="19">
        <v>20979</v>
      </c>
      <c r="O70" s="14" t="s">
        <v>97</v>
      </c>
      <c r="P70" s="14" t="s">
        <v>129</v>
      </c>
      <c r="Q70" s="14" t="s">
        <v>79</v>
      </c>
      <c r="R70" s="14">
        <v>0.08</v>
      </c>
      <c r="S70" s="14" t="s">
        <v>134</v>
      </c>
      <c r="T70" s="14">
        <v>0.19900000000000001</v>
      </c>
      <c r="U70" s="14">
        <v>5.4809999999999999</v>
      </c>
      <c r="V70" s="14">
        <v>0.85699999999999998</v>
      </c>
      <c r="W70" s="14">
        <v>0.05</v>
      </c>
      <c r="X70" s="14" t="s">
        <v>1385</v>
      </c>
      <c r="Y70" s="14">
        <v>0.56299999999999994</v>
      </c>
      <c r="Z70" s="14" t="s">
        <v>62</v>
      </c>
      <c r="AA70" s="14" t="s">
        <v>62</v>
      </c>
      <c r="AB70" s="14" t="s">
        <v>62</v>
      </c>
      <c r="AC70" s="14" t="s">
        <v>140</v>
      </c>
      <c r="AD70" s="14" t="s">
        <v>145</v>
      </c>
    </row>
    <row r="71" spans="1:30" ht="14.25" hidden="1">
      <c r="A71" s="14" t="s">
        <v>52</v>
      </c>
      <c r="B71" s="14" t="s">
        <v>20</v>
      </c>
      <c r="C71" s="14" t="s">
        <v>74</v>
      </c>
      <c r="D71" s="14" t="s">
        <v>164</v>
      </c>
      <c r="E71" s="14"/>
      <c r="F71" s="14" t="s">
        <v>111</v>
      </c>
      <c r="G71" s="14" t="s">
        <v>165</v>
      </c>
      <c r="H71" s="14" t="s">
        <v>114</v>
      </c>
      <c r="I71" s="14" t="s">
        <v>1476</v>
      </c>
      <c r="J71" s="14" t="s">
        <v>1477</v>
      </c>
      <c r="K71" s="19">
        <f t="shared" si="4"/>
        <v>97889</v>
      </c>
      <c r="L71" s="14">
        <v>29</v>
      </c>
      <c r="M71" s="19">
        <v>76910</v>
      </c>
      <c r="N71" s="19">
        <v>20979</v>
      </c>
      <c r="O71" s="14" t="s">
        <v>97</v>
      </c>
      <c r="P71" s="14" t="s">
        <v>129</v>
      </c>
      <c r="Q71" s="14" t="s">
        <v>79</v>
      </c>
      <c r="R71" s="14">
        <v>-0.03</v>
      </c>
      <c r="S71" s="14" t="s">
        <v>1395</v>
      </c>
      <c r="T71" s="14">
        <v>0.40899999999999997</v>
      </c>
      <c r="U71" s="14">
        <v>27.151</v>
      </c>
      <c r="V71" s="14">
        <v>0.51</v>
      </c>
      <c r="W71" s="14">
        <v>-0.05</v>
      </c>
      <c r="X71" s="14" t="s">
        <v>1396</v>
      </c>
      <c r="Y71" s="14">
        <v>0.255</v>
      </c>
      <c r="Z71" s="14" t="s">
        <v>62</v>
      </c>
      <c r="AA71" s="14" t="s">
        <v>62</v>
      </c>
      <c r="AB71" s="14" t="s">
        <v>62</v>
      </c>
      <c r="AC71" s="14" t="s">
        <v>140</v>
      </c>
      <c r="AD71" s="14" t="s">
        <v>145</v>
      </c>
    </row>
    <row r="72" spans="1:30" ht="14.25" hidden="1">
      <c r="A72" s="14" t="s">
        <v>52</v>
      </c>
      <c r="B72" s="14" t="s">
        <v>20</v>
      </c>
      <c r="C72" s="14" t="s">
        <v>74</v>
      </c>
      <c r="D72" s="14" t="s">
        <v>75</v>
      </c>
      <c r="E72" s="14"/>
      <c r="F72" s="14" t="s">
        <v>111</v>
      </c>
      <c r="G72" s="14" t="s">
        <v>113</v>
      </c>
      <c r="H72" s="14" t="s">
        <v>114</v>
      </c>
      <c r="I72" s="14" t="s">
        <v>1482</v>
      </c>
      <c r="J72" s="14" t="s">
        <v>1483</v>
      </c>
      <c r="K72" s="19">
        <f t="shared" si="4"/>
        <v>97889</v>
      </c>
      <c r="L72" s="14">
        <v>39</v>
      </c>
      <c r="M72" s="19">
        <v>76910</v>
      </c>
      <c r="N72" s="19">
        <v>20979</v>
      </c>
      <c r="O72" s="14" t="s">
        <v>97</v>
      </c>
      <c r="P72" s="14" t="s">
        <v>129</v>
      </c>
      <c r="Q72" s="14" t="s">
        <v>79</v>
      </c>
      <c r="R72" s="14">
        <v>0</v>
      </c>
      <c r="S72" s="14" t="s">
        <v>131</v>
      </c>
      <c r="T72" s="14">
        <v>0.999</v>
      </c>
      <c r="U72" s="14">
        <v>51.615000000000002</v>
      </c>
      <c r="V72" s="14">
        <v>6.9000000000000006E-2</v>
      </c>
      <c r="W72" s="14">
        <v>0</v>
      </c>
      <c r="X72" s="14" t="s">
        <v>134</v>
      </c>
      <c r="Y72" s="14">
        <v>0.99399999999999999</v>
      </c>
      <c r="Z72" s="14" t="s">
        <v>62</v>
      </c>
      <c r="AA72" s="14" t="s">
        <v>62</v>
      </c>
      <c r="AB72" s="14" t="s">
        <v>62</v>
      </c>
      <c r="AC72" s="14" t="s">
        <v>140</v>
      </c>
      <c r="AD72" s="14" t="s">
        <v>145</v>
      </c>
    </row>
    <row r="73" spans="1:30" ht="14.25" hidden="1">
      <c r="A73" s="14" t="s">
        <v>52</v>
      </c>
      <c r="B73" s="14" t="s">
        <v>20</v>
      </c>
      <c r="C73" s="14" t="s">
        <v>74</v>
      </c>
      <c r="D73" s="14" t="s">
        <v>212</v>
      </c>
      <c r="E73" s="14"/>
      <c r="F73" s="14" t="s">
        <v>111</v>
      </c>
      <c r="G73" s="14" t="s">
        <v>215</v>
      </c>
      <c r="H73" s="14" t="s">
        <v>114</v>
      </c>
      <c r="I73" s="14" t="s">
        <v>1486</v>
      </c>
      <c r="J73" s="14" t="s">
        <v>1487</v>
      </c>
      <c r="K73" s="19">
        <f t="shared" si="4"/>
        <v>97889</v>
      </c>
      <c r="L73" s="14">
        <v>14</v>
      </c>
      <c r="M73" s="19">
        <v>76910</v>
      </c>
      <c r="N73" s="19">
        <v>20979</v>
      </c>
      <c r="O73" s="14" t="s">
        <v>97</v>
      </c>
      <c r="P73" s="14" t="s">
        <v>129</v>
      </c>
      <c r="Q73" s="14" t="s">
        <v>79</v>
      </c>
      <c r="R73" s="14">
        <v>0</v>
      </c>
      <c r="S73" s="14" t="s">
        <v>1385</v>
      </c>
      <c r="T73" s="14">
        <v>0.98299999999999998</v>
      </c>
      <c r="U73" s="14">
        <v>22.526</v>
      </c>
      <c r="V73" s="14">
        <v>4.8000000000000001E-2</v>
      </c>
      <c r="W73" s="14">
        <v>-7.0000000000000007E-2</v>
      </c>
      <c r="X73" s="14" t="s">
        <v>1385</v>
      </c>
      <c r="Y73" s="14">
        <v>0.38600000000000001</v>
      </c>
      <c r="Z73" s="14" t="s">
        <v>62</v>
      </c>
      <c r="AA73" s="14" t="s">
        <v>62</v>
      </c>
      <c r="AB73" s="14" t="s">
        <v>62</v>
      </c>
      <c r="AC73" s="14" t="s">
        <v>140</v>
      </c>
      <c r="AD73" s="14" t="s">
        <v>145</v>
      </c>
    </row>
    <row r="74" spans="1:30" ht="14.25" hidden="1">
      <c r="A74" s="14" t="s">
        <v>52</v>
      </c>
      <c r="B74" s="14" t="s">
        <v>20</v>
      </c>
      <c r="C74" s="14" t="s">
        <v>74</v>
      </c>
      <c r="D74" s="14" t="s">
        <v>246</v>
      </c>
      <c r="E74" s="14"/>
      <c r="F74" s="14" t="s">
        <v>1490</v>
      </c>
      <c r="G74" s="14" t="s">
        <v>248</v>
      </c>
      <c r="H74" s="14" t="s">
        <v>1491</v>
      </c>
      <c r="I74" s="14" t="s">
        <v>1492</v>
      </c>
      <c r="J74" s="14" t="s">
        <v>1493</v>
      </c>
      <c r="K74" s="19">
        <f t="shared" si="4"/>
        <v>105396</v>
      </c>
      <c r="L74" s="14">
        <v>11</v>
      </c>
      <c r="M74" s="19">
        <v>72887</v>
      </c>
      <c r="N74" s="19">
        <v>32509</v>
      </c>
      <c r="O74" s="14" t="s">
        <v>97</v>
      </c>
      <c r="P74" s="14" t="s">
        <v>129</v>
      </c>
      <c r="Q74" s="14" t="s">
        <v>79</v>
      </c>
      <c r="R74" s="14" t="s">
        <v>1381</v>
      </c>
      <c r="S74" s="14" t="s">
        <v>134</v>
      </c>
      <c r="T74" s="14">
        <v>0.34</v>
      </c>
      <c r="U74" s="14" t="s">
        <v>1494</v>
      </c>
      <c r="V74" s="14">
        <v>0.627</v>
      </c>
      <c r="W74" s="14">
        <v>0.03</v>
      </c>
      <c r="X74" s="14" t="s">
        <v>1422</v>
      </c>
      <c r="Y74" s="14">
        <v>0.70699999999999996</v>
      </c>
      <c r="Z74" s="14" t="s">
        <v>62</v>
      </c>
      <c r="AA74" s="14" t="s">
        <v>62</v>
      </c>
      <c r="AB74" s="14" t="s">
        <v>62</v>
      </c>
      <c r="AC74" s="14" t="s">
        <v>140</v>
      </c>
      <c r="AD74" s="14" t="s">
        <v>145</v>
      </c>
    </row>
    <row r="75" spans="1:30" ht="14.25" hidden="1">
      <c r="A75" s="14" t="s">
        <v>52</v>
      </c>
      <c r="B75" s="14" t="s">
        <v>20</v>
      </c>
      <c r="C75" s="14" t="s">
        <v>74</v>
      </c>
      <c r="D75" s="14" t="s">
        <v>164</v>
      </c>
      <c r="E75" s="14"/>
      <c r="F75" s="14" t="s">
        <v>1490</v>
      </c>
      <c r="G75" s="14" t="s">
        <v>165</v>
      </c>
      <c r="H75" s="14" t="s">
        <v>1491</v>
      </c>
      <c r="I75" s="14" t="s">
        <v>1498</v>
      </c>
      <c r="J75" s="14" t="s">
        <v>1499</v>
      </c>
      <c r="K75" s="19">
        <f t="shared" si="4"/>
        <v>105396</v>
      </c>
      <c r="L75" s="14">
        <v>29</v>
      </c>
      <c r="M75" s="19">
        <v>72887</v>
      </c>
      <c r="N75" s="19">
        <v>32509</v>
      </c>
      <c r="O75" s="14" t="s">
        <v>97</v>
      </c>
      <c r="P75" s="14" t="s">
        <v>129</v>
      </c>
      <c r="Q75" s="14" t="s">
        <v>79</v>
      </c>
      <c r="R75" s="14" t="s">
        <v>1394</v>
      </c>
      <c r="S75" s="14" t="s">
        <v>1395</v>
      </c>
      <c r="T75" s="14">
        <v>0.14000000000000001</v>
      </c>
      <c r="U75" s="14">
        <v>38.377000000000002</v>
      </c>
      <c r="V75" s="14">
        <v>9.0999999999999998E-2</v>
      </c>
      <c r="W75" s="14">
        <v>-0.02</v>
      </c>
      <c r="X75" s="14" t="s">
        <v>1396</v>
      </c>
      <c r="Y75" s="14">
        <v>0.77200000000000002</v>
      </c>
      <c r="Z75" s="14" t="s">
        <v>62</v>
      </c>
      <c r="AA75" s="14" t="s">
        <v>62</v>
      </c>
      <c r="AB75" s="14" t="s">
        <v>62</v>
      </c>
      <c r="AC75" s="14" t="s">
        <v>140</v>
      </c>
      <c r="AD75" s="14" t="s">
        <v>145</v>
      </c>
    </row>
    <row r="76" spans="1:30" ht="14.25" hidden="1">
      <c r="A76" s="14" t="s">
        <v>52</v>
      </c>
      <c r="B76" s="14" t="s">
        <v>20</v>
      </c>
      <c r="C76" s="14" t="s">
        <v>74</v>
      </c>
      <c r="D76" s="14" t="s">
        <v>75</v>
      </c>
      <c r="E76" s="14"/>
      <c r="F76" s="14" t="s">
        <v>1490</v>
      </c>
      <c r="G76" s="14" t="s">
        <v>113</v>
      </c>
      <c r="H76" s="14" t="s">
        <v>1491</v>
      </c>
      <c r="I76" s="14" t="s">
        <v>1503</v>
      </c>
      <c r="J76" s="14" t="s">
        <v>1504</v>
      </c>
      <c r="K76" s="19">
        <f t="shared" si="4"/>
        <v>105396</v>
      </c>
      <c r="L76" s="14">
        <v>39</v>
      </c>
      <c r="M76" s="19">
        <v>72887</v>
      </c>
      <c r="N76" s="19">
        <v>32509</v>
      </c>
      <c r="O76" s="14" t="s">
        <v>97</v>
      </c>
      <c r="P76" s="14" t="s">
        <v>129</v>
      </c>
      <c r="Q76" s="14" t="s">
        <v>79</v>
      </c>
      <c r="R76" s="14" t="s">
        <v>1403</v>
      </c>
      <c r="S76" s="14" t="s">
        <v>131</v>
      </c>
      <c r="T76" s="14">
        <v>0.27400000000000002</v>
      </c>
      <c r="U76" s="14">
        <v>42.363999999999997</v>
      </c>
      <c r="V76" s="14">
        <v>0.28799999999999998</v>
      </c>
      <c r="W76" s="14">
        <v>-0.08</v>
      </c>
      <c r="X76" s="14" t="s">
        <v>134</v>
      </c>
      <c r="Y76" s="14">
        <v>0.16700000000000001</v>
      </c>
      <c r="Z76" s="14" t="s">
        <v>62</v>
      </c>
      <c r="AA76" s="14" t="s">
        <v>62</v>
      </c>
      <c r="AB76" s="14" t="s">
        <v>62</v>
      </c>
      <c r="AC76" s="14" t="s">
        <v>140</v>
      </c>
      <c r="AD76" s="14" t="s">
        <v>145</v>
      </c>
    </row>
    <row r="77" spans="1:30" ht="14.25" hidden="1">
      <c r="A77" s="14" t="s">
        <v>52</v>
      </c>
      <c r="B77" s="14" t="s">
        <v>20</v>
      </c>
      <c r="C77" s="14" t="s">
        <v>74</v>
      </c>
      <c r="D77" s="14" t="s">
        <v>212</v>
      </c>
      <c r="E77" s="14"/>
      <c r="F77" s="14" t="s">
        <v>1490</v>
      </c>
      <c r="G77" s="14" t="s">
        <v>215</v>
      </c>
      <c r="H77" s="14" t="s">
        <v>1491</v>
      </c>
      <c r="I77" s="14" t="s">
        <v>1505</v>
      </c>
      <c r="J77" s="14" t="s">
        <v>1506</v>
      </c>
      <c r="K77" s="19">
        <f t="shared" si="4"/>
        <v>105396</v>
      </c>
      <c r="L77" s="14">
        <v>14</v>
      </c>
      <c r="M77" s="19">
        <v>72887</v>
      </c>
      <c r="N77" s="19">
        <v>32509</v>
      </c>
      <c r="O77" s="14" t="s">
        <v>97</v>
      </c>
      <c r="P77" s="14" t="s">
        <v>129</v>
      </c>
      <c r="Q77" s="14" t="s">
        <v>79</v>
      </c>
      <c r="R77" s="14" t="s">
        <v>1415</v>
      </c>
      <c r="S77" s="14" t="s">
        <v>1417</v>
      </c>
      <c r="T77" s="14" t="s">
        <v>1419</v>
      </c>
      <c r="U77" s="14">
        <v>10.233000000000001</v>
      </c>
      <c r="V77" s="14">
        <v>0.67500000000000004</v>
      </c>
      <c r="W77" s="14">
        <v>0</v>
      </c>
      <c r="X77" s="14" t="s">
        <v>1422</v>
      </c>
      <c r="Y77" s="14">
        <v>0.95699999999999996</v>
      </c>
      <c r="Z77" s="14" t="s">
        <v>62</v>
      </c>
      <c r="AA77" s="14" t="s">
        <v>62</v>
      </c>
      <c r="AB77" s="14" t="s">
        <v>62</v>
      </c>
      <c r="AC77" s="14" t="s">
        <v>140</v>
      </c>
      <c r="AD77" s="14" t="s">
        <v>145</v>
      </c>
    </row>
    <row r="78" spans="1:30" ht="15.75" hidden="1" customHeight="1">
      <c r="A78" s="14" t="s">
        <v>52</v>
      </c>
      <c r="B78" s="14" t="s">
        <v>20</v>
      </c>
      <c r="C78" s="14" t="s">
        <v>74</v>
      </c>
      <c r="D78" s="14" t="s">
        <v>246</v>
      </c>
      <c r="E78" s="14"/>
      <c r="F78" s="14" t="s">
        <v>1509</v>
      </c>
      <c r="G78" s="14" t="s">
        <v>248</v>
      </c>
      <c r="H78" s="14" t="s">
        <v>1510</v>
      </c>
      <c r="I78" s="14" t="s">
        <v>1511</v>
      </c>
      <c r="J78" s="14" t="s">
        <v>1512</v>
      </c>
      <c r="K78" s="19">
        <f t="shared" si="4"/>
        <v>51516</v>
      </c>
      <c r="L78" s="14">
        <v>11</v>
      </c>
      <c r="M78" s="19">
        <v>40152</v>
      </c>
      <c r="N78" s="19">
        <v>11364</v>
      </c>
      <c r="O78" s="14" t="s">
        <v>97</v>
      </c>
      <c r="P78" s="14" t="s">
        <v>129</v>
      </c>
      <c r="Q78" s="14" t="s">
        <v>79</v>
      </c>
      <c r="R78" s="14">
        <v>0.13</v>
      </c>
      <c r="S78" s="14" t="s">
        <v>1385</v>
      </c>
      <c r="T78" s="14">
        <v>0.13300000000000001</v>
      </c>
      <c r="U78" s="14">
        <v>8.9760000000000009</v>
      </c>
      <c r="V78" s="14">
        <v>0.53400000000000003</v>
      </c>
      <c r="W78" s="14">
        <v>0.1</v>
      </c>
      <c r="X78" s="14" t="s">
        <v>1325</v>
      </c>
      <c r="Y78" s="14">
        <v>0.372</v>
      </c>
      <c r="Z78" s="14" t="s">
        <v>62</v>
      </c>
      <c r="AA78" s="14" t="s">
        <v>62</v>
      </c>
      <c r="AB78" s="14" t="s">
        <v>62</v>
      </c>
      <c r="AC78" s="14" t="s">
        <v>140</v>
      </c>
      <c r="AD78" s="14" t="s">
        <v>145</v>
      </c>
    </row>
    <row r="79" spans="1:30" ht="15.75" hidden="1" customHeight="1">
      <c r="A79" s="14" t="s">
        <v>52</v>
      </c>
      <c r="B79" s="14" t="s">
        <v>20</v>
      </c>
      <c r="C79" s="14" t="s">
        <v>74</v>
      </c>
      <c r="D79" s="14" t="s">
        <v>164</v>
      </c>
      <c r="E79" s="14"/>
      <c r="F79" s="14" t="s">
        <v>1509</v>
      </c>
      <c r="G79" s="14" t="s">
        <v>165</v>
      </c>
      <c r="H79" s="14" t="s">
        <v>1510</v>
      </c>
      <c r="I79" s="14" t="s">
        <v>1515</v>
      </c>
      <c r="J79" s="14" t="s">
        <v>1516</v>
      </c>
      <c r="K79" s="19">
        <f t="shared" si="4"/>
        <v>51516</v>
      </c>
      <c r="L79" s="14">
        <v>29</v>
      </c>
      <c r="M79" s="19">
        <v>40152</v>
      </c>
      <c r="N79" s="19">
        <v>11364</v>
      </c>
      <c r="O79" s="14" t="s">
        <v>97</v>
      </c>
      <c r="P79" s="14" t="s">
        <v>129</v>
      </c>
      <c r="Q79" s="14" t="s">
        <v>79</v>
      </c>
      <c r="R79" s="14">
        <v>-7.0000000000000007E-2</v>
      </c>
      <c r="S79" s="14" t="s">
        <v>1396</v>
      </c>
      <c r="T79" s="14">
        <v>0.114</v>
      </c>
      <c r="U79" s="14">
        <v>29.17</v>
      </c>
      <c r="V79" s="14">
        <v>0.40400000000000003</v>
      </c>
      <c r="W79" s="14">
        <v>-0.08</v>
      </c>
      <c r="X79" s="14" t="s">
        <v>134</v>
      </c>
      <c r="Y79" s="14">
        <v>0.217</v>
      </c>
      <c r="Z79" s="14" t="s">
        <v>62</v>
      </c>
      <c r="AA79" s="14" t="s">
        <v>62</v>
      </c>
      <c r="AB79" s="14" t="s">
        <v>62</v>
      </c>
      <c r="AC79" s="14" t="s">
        <v>140</v>
      </c>
      <c r="AD79" s="14" t="s">
        <v>145</v>
      </c>
    </row>
    <row r="80" spans="1:30" ht="15.75" hidden="1" customHeight="1">
      <c r="A80" s="14" t="s">
        <v>52</v>
      </c>
      <c r="B80" s="14" t="s">
        <v>20</v>
      </c>
      <c r="C80" s="14" t="s">
        <v>74</v>
      </c>
      <c r="D80" s="14" t="s">
        <v>75</v>
      </c>
      <c r="E80" s="14"/>
      <c r="F80" s="14" t="s">
        <v>1509</v>
      </c>
      <c r="G80" s="14" t="s">
        <v>113</v>
      </c>
      <c r="H80" s="14" t="s">
        <v>1510</v>
      </c>
      <c r="I80" s="14" t="s">
        <v>1517</v>
      </c>
      <c r="J80" s="14" t="s">
        <v>1518</v>
      </c>
      <c r="K80" s="19">
        <f t="shared" si="4"/>
        <v>51516</v>
      </c>
      <c r="L80" s="14">
        <v>39</v>
      </c>
      <c r="M80" s="19">
        <v>40152</v>
      </c>
      <c r="N80" s="19">
        <v>11364</v>
      </c>
      <c r="O80" s="14" t="s">
        <v>97</v>
      </c>
      <c r="P80" s="14" t="s">
        <v>129</v>
      </c>
      <c r="Q80" s="14" t="s">
        <v>79</v>
      </c>
      <c r="R80" s="14">
        <v>7.0000000000000007E-2</v>
      </c>
      <c r="S80" s="14" t="s">
        <v>1396</v>
      </c>
      <c r="T80" s="14">
        <v>0.17399999999999999</v>
      </c>
      <c r="U80" s="14">
        <v>52.600999999999999</v>
      </c>
      <c r="V80" s="14">
        <v>5.8000000000000003E-2</v>
      </c>
      <c r="W80" s="14">
        <v>0.09</v>
      </c>
      <c r="X80" s="14" t="s">
        <v>1385</v>
      </c>
      <c r="Y80" s="14">
        <v>0.25800000000000001</v>
      </c>
      <c r="Z80" s="14" t="s">
        <v>62</v>
      </c>
      <c r="AA80" s="14" t="s">
        <v>62</v>
      </c>
      <c r="AB80" s="14" t="s">
        <v>62</v>
      </c>
      <c r="AC80" s="14" t="s">
        <v>140</v>
      </c>
      <c r="AD80" s="14" t="s">
        <v>145</v>
      </c>
    </row>
    <row r="81" spans="1:30" ht="15.75" hidden="1" customHeight="1">
      <c r="A81" s="14" t="s">
        <v>52</v>
      </c>
      <c r="B81" s="14" t="s">
        <v>20</v>
      </c>
      <c r="C81" s="14" t="s">
        <v>74</v>
      </c>
      <c r="D81" s="14" t="s">
        <v>212</v>
      </c>
      <c r="E81" s="14"/>
      <c r="F81" s="14" t="s">
        <v>1509</v>
      </c>
      <c r="G81" s="14" t="s">
        <v>215</v>
      </c>
      <c r="H81" s="14" t="s">
        <v>1510</v>
      </c>
      <c r="I81" s="14" t="s">
        <v>1521</v>
      </c>
      <c r="J81" s="14" t="s">
        <v>1522</v>
      </c>
      <c r="K81" s="19">
        <f t="shared" si="4"/>
        <v>51516</v>
      </c>
      <c r="L81" s="14">
        <v>14</v>
      </c>
      <c r="M81" s="19">
        <v>40152</v>
      </c>
      <c r="N81" s="19">
        <v>11364</v>
      </c>
      <c r="O81" s="14" t="s">
        <v>97</v>
      </c>
      <c r="P81" s="14" t="s">
        <v>129</v>
      </c>
      <c r="Q81" s="14" t="s">
        <v>79</v>
      </c>
      <c r="R81" s="14">
        <v>-0.08</v>
      </c>
      <c r="S81" s="14" t="s">
        <v>1325</v>
      </c>
      <c r="T81" s="14">
        <v>0.443</v>
      </c>
      <c r="U81" s="14">
        <v>23.577000000000002</v>
      </c>
      <c r="V81" s="14">
        <v>3.5000000000000003E-2</v>
      </c>
      <c r="W81" s="14">
        <v>-0.02</v>
      </c>
      <c r="X81" s="14" t="s">
        <v>1525</v>
      </c>
      <c r="Y81" s="14">
        <v>0.84</v>
      </c>
      <c r="Z81" s="14" t="s">
        <v>62</v>
      </c>
      <c r="AA81" s="14" t="s">
        <v>62</v>
      </c>
      <c r="AB81" s="14" t="s">
        <v>62</v>
      </c>
      <c r="AC81" s="14" t="s">
        <v>140</v>
      </c>
      <c r="AD81" s="14" t="s">
        <v>145</v>
      </c>
    </row>
    <row r="82" spans="1:30" ht="14.25" hidden="1">
      <c r="A82" s="33" t="s">
        <v>52</v>
      </c>
      <c r="B82" s="33" t="s">
        <v>21</v>
      </c>
      <c r="C82" s="33" t="s">
        <v>74</v>
      </c>
      <c r="D82" s="33" t="s">
        <v>164</v>
      </c>
      <c r="E82" s="33"/>
      <c r="F82" s="33" t="s">
        <v>1526</v>
      </c>
      <c r="G82" s="33" t="s">
        <v>165</v>
      </c>
      <c r="H82" s="33" t="s">
        <v>79</v>
      </c>
      <c r="I82" s="33" t="s">
        <v>133</v>
      </c>
      <c r="J82" s="33" t="s">
        <v>218</v>
      </c>
      <c r="K82" s="33">
        <f t="shared" si="4"/>
        <v>315123</v>
      </c>
      <c r="L82" s="33">
        <v>43</v>
      </c>
      <c r="M82" s="33">
        <v>22867</v>
      </c>
      <c r="N82" s="33">
        <v>292256</v>
      </c>
      <c r="O82" s="33" t="s">
        <v>97</v>
      </c>
      <c r="P82" s="33" t="s">
        <v>98</v>
      </c>
      <c r="Q82" s="33" t="s">
        <v>1527</v>
      </c>
      <c r="R82" s="33">
        <v>0.68500000000000005</v>
      </c>
      <c r="S82" s="33" t="s">
        <v>1528</v>
      </c>
      <c r="T82" s="84">
        <v>5.2390565409366797E-2</v>
      </c>
      <c r="U82" s="84">
        <v>71.825105120725297</v>
      </c>
      <c r="V82" s="84">
        <v>7.4744134019504504E-4</v>
      </c>
      <c r="W82" s="33">
        <v>0.54900000000000004</v>
      </c>
      <c r="X82" s="33" t="s">
        <v>1529</v>
      </c>
      <c r="Y82" s="84">
        <v>8.1686402201977606E-3</v>
      </c>
      <c r="Z82" s="33">
        <v>0.28399999999999997</v>
      </c>
      <c r="AA82" s="33" t="s">
        <v>1531</v>
      </c>
      <c r="AB82" s="84">
        <v>0.15684576227789199</v>
      </c>
      <c r="AC82" s="33" t="s">
        <v>109</v>
      </c>
      <c r="AD82" s="33" t="s">
        <v>385</v>
      </c>
    </row>
    <row r="83" spans="1:30" ht="14.25" hidden="1">
      <c r="A83" s="33" t="s">
        <v>52</v>
      </c>
      <c r="B83" s="33" t="s">
        <v>21</v>
      </c>
      <c r="C83" s="33" t="s">
        <v>74</v>
      </c>
      <c r="D83" s="33" t="s">
        <v>75</v>
      </c>
      <c r="E83" s="33"/>
      <c r="F83" s="33" t="s">
        <v>1526</v>
      </c>
      <c r="G83" s="33" t="s">
        <v>113</v>
      </c>
      <c r="H83" s="33" t="s">
        <v>79</v>
      </c>
      <c r="I83" s="33" t="s">
        <v>133</v>
      </c>
      <c r="J83" s="33" t="s">
        <v>218</v>
      </c>
      <c r="K83" s="33">
        <f t="shared" si="4"/>
        <v>315123</v>
      </c>
      <c r="L83" s="33">
        <v>55</v>
      </c>
      <c r="M83" s="33">
        <v>22867</v>
      </c>
      <c r="N83" s="33">
        <v>292256</v>
      </c>
      <c r="O83" s="33" t="s">
        <v>97</v>
      </c>
      <c r="P83" s="33" t="s">
        <v>98</v>
      </c>
      <c r="Q83" s="33" t="s">
        <v>1354</v>
      </c>
      <c r="R83" s="33">
        <v>0.73799999999999999</v>
      </c>
      <c r="S83" s="33" t="s">
        <v>1535</v>
      </c>
      <c r="T83" s="84">
        <v>7.1629831392131693E-2</v>
      </c>
      <c r="U83" s="84">
        <v>54.985982931458601</v>
      </c>
      <c r="V83" s="84">
        <v>0.36223121223614402</v>
      </c>
      <c r="W83" s="33">
        <v>0.82199999999999995</v>
      </c>
      <c r="X83" s="33" t="s">
        <v>1537</v>
      </c>
      <c r="Y83" s="84">
        <v>0.43723398701586602</v>
      </c>
      <c r="Z83" s="33">
        <v>1.07</v>
      </c>
      <c r="AA83" s="33" t="s">
        <v>1538</v>
      </c>
      <c r="AB83" s="84">
        <v>0.907605245952676</v>
      </c>
      <c r="AC83" s="33" t="s">
        <v>109</v>
      </c>
      <c r="AD83" s="33" t="s">
        <v>385</v>
      </c>
    </row>
    <row r="84" spans="1:30" ht="14.25" hidden="1">
      <c r="A84" s="33" t="s">
        <v>52</v>
      </c>
      <c r="B84" s="33" t="s">
        <v>21</v>
      </c>
      <c r="C84" s="33" t="s">
        <v>74</v>
      </c>
      <c r="D84" s="33" t="s">
        <v>622</v>
      </c>
      <c r="E84" s="33"/>
      <c r="F84" s="33" t="s">
        <v>1526</v>
      </c>
      <c r="G84" s="33" t="s">
        <v>215</v>
      </c>
      <c r="H84" s="33" t="s">
        <v>79</v>
      </c>
      <c r="I84" s="33" t="s">
        <v>133</v>
      </c>
      <c r="J84" s="33" t="s">
        <v>218</v>
      </c>
      <c r="K84" s="33">
        <f t="shared" si="4"/>
        <v>315123</v>
      </c>
      <c r="L84" s="33">
        <v>22</v>
      </c>
      <c r="M84" s="33">
        <v>22867</v>
      </c>
      <c r="N84" s="33">
        <v>292256</v>
      </c>
      <c r="O84" s="33" t="s">
        <v>97</v>
      </c>
      <c r="P84" s="33" t="s">
        <v>98</v>
      </c>
      <c r="Q84" s="33" t="s">
        <v>1541</v>
      </c>
      <c r="R84" s="33">
        <v>0.47799999999999998</v>
      </c>
      <c r="S84" s="33" t="s">
        <v>1542</v>
      </c>
      <c r="T84" s="84">
        <v>1.05039557621005E-2</v>
      </c>
      <c r="U84" s="84">
        <v>13.1218737924021</v>
      </c>
      <c r="V84" s="84">
        <v>0.66382671926902004</v>
      </c>
      <c r="W84" s="33">
        <v>0.35399999999999998</v>
      </c>
      <c r="X84" s="33" t="s">
        <v>1543</v>
      </c>
      <c r="Y84" s="84">
        <v>9.5899983122018206E-3</v>
      </c>
      <c r="Z84" s="33">
        <v>0.29499999999999998</v>
      </c>
      <c r="AA84" s="33" t="s">
        <v>1544</v>
      </c>
      <c r="AB84" s="84">
        <v>0.37534792844825898</v>
      </c>
      <c r="AC84" s="33" t="s">
        <v>109</v>
      </c>
      <c r="AD84" s="33" t="s">
        <v>385</v>
      </c>
    </row>
    <row r="85" spans="1:30" ht="14.25" hidden="1">
      <c r="A85" s="33" t="s">
        <v>52</v>
      </c>
      <c r="B85" s="33" t="s">
        <v>21</v>
      </c>
      <c r="C85" s="33" t="s">
        <v>74</v>
      </c>
      <c r="D85" s="33" t="s">
        <v>246</v>
      </c>
      <c r="E85" s="33"/>
      <c r="F85" s="33" t="s">
        <v>1526</v>
      </c>
      <c r="G85" s="33" t="s">
        <v>248</v>
      </c>
      <c r="H85" s="33" t="s">
        <v>79</v>
      </c>
      <c r="I85" s="33" t="s">
        <v>133</v>
      </c>
      <c r="J85" s="33" t="s">
        <v>218</v>
      </c>
      <c r="K85" s="33">
        <f t="shared" si="4"/>
        <v>315123</v>
      </c>
      <c r="L85" s="33">
        <v>17</v>
      </c>
      <c r="M85" s="33">
        <v>22867</v>
      </c>
      <c r="N85" s="33">
        <v>292256</v>
      </c>
      <c r="O85" s="33" t="s">
        <v>97</v>
      </c>
      <c r="P85" s="33" t="s">
        <v>98</v>
      </c>
      <c r="Q85" s="33" t="s">
        <v>1547</v>
      </c>
      <c r="R85" s="33">
        <v>1.911</v>
      </c>
      <c r="S85" s="33" t="s">
        <v>1548</v>
      </c>
      <c r="T85" s="84">
        <v>2.3885135272024901E-2</v>
      </c>
      <c r="U85" s="84">
        <v>21.1838560980251</v>
      </c>
      <c r="V85" s="84">
        <v>0.171551120875649</v>
      </c>
      <c r="W85" s="33">
        <v>1.75</v>
      </c>
      <c r="X85" s="33" t="s">
        <v>1549</v>
      </c>
      <c r="Y85" s="84">
        <v>0.118731560403219</v>
      </c>
      <c r="Z85" s="33">
        <v>2E-3</v>
      </c>
      <c r="AA85" s="33" t="s">
        <v>1550</v>
      </c>
      <c r="AB85" s="84">
        <v>4.4020765996530299E-2</v>
      </c>
      <c r="AC85" s="33" t="s">
        <v>109</v>
      </c>
      <c r="AD85" s="33" t="s">
        <v>385</v>
      </c>
    </row>
    <row r="86" spans="1:30" ht="14.25" hidden="1">
      <c r="A86" s="33" t="s">
        <v>52</v>
      </c>
      <c r="B86" s="33" t="s">
        <v>21</v>
      </c>
      <c r="C86" s="33" t="s">
        <v>74</v>
      </c>
      <c r="D86" s="33" t="s">
        <v>164</v>
      </c>
      <c r="E86" s="33"/>
      <c r="F86" s="33" t="s">
        <v>1343</v>
      </c>
      <c r="G86" s="33" t="s">
        <v>165</v>
      </c>
      <c r="H86" s="33" t="s">
        <v>79</v>
      </c>
      <c r="I86" s="33" t="s">
        <v>133</v>
      </c>
      <c r="J86" s="33" t="s">
        <v>218</v>
      </c>
      <c r="K86" s="33">
        <f t="shared" si="4"/>
        <v>293202</v>
      </c>
      <c r="L86" s="33">
        <v>43</v>
      </c>
      <c r="M86" s="33">
        <v>946</v>
      </c>
      <c r="N86" s="33">
        <v>292256</v>
      </c>
      <c r="O86" s="33" t="s">
        <v>97</v>
      </c>
      <c r="P86" s="33" t="s">
        <v>98</v>
      </c>
      <c r="Q86" s="33" t="s">
        <v>1527</v>
      </c>
      <c r="R86" s="33">
        <v>1.0760000000000001</v>
      </c>
      <c r="S86" s="33" t="s">
        <v>1551</v>
      </c>
      <c r="T86" s="84">
        <v>0.91328766526549499</v>
      </c>
      <c r="U86" s="84">
        <v>23.873411983834401</v>
      </c>
      <c r="V86" s="84">
        <v>0.96417520673478296</v>
      </c>
      <c r="W86" s="33">
        <v>1.226</v>
      </c>
      <c r="X86" s="33" t="s">
        <v>1552</v>
      </c>
      <c r="Y86" s="84">
        <v>0.81910376149840203</v>
      </c>
      <c r="Z86" s="33">
        <v>0.48399999999999999</v>
      </c>
      <c r="AA86" s="33" t="s">
        <v>1554</v>
      </c>
      <c r="AB86" s="84">
        <v>0.80999689198909097</v>
      </c>
      <c r="AC86" s="33" t="s">
        <v>109</v>
      </c>
      <c r="AD86" s="33" t="s">
        <v>385</v>
      </c>
    </row>
    <row r="87" spans="1:30" ht="14.25" hidden="1">
      <c r="A87" s="33" t="s">
        <v>52</v>
      </c>
      <c r="B87" s="33" t="s">
        <v>21</v>
      </c>
      <c r="C87" s="33" t="s">
        <v>74</v>
      </c>
      <c r="D87" s="33" t="s">
        <v>75</v>
      </c>
      <c r="E87" s="33"/>
      <c r="F87" s="33" t="s">
        <v>1343</v>
      </c>
      <c r="G87" s="33" t="s">
        <v>113</v>
      </c>
      <c r="H87" s="33" t="s">
        <v>79</v>
      </c>
      <c r="I87" s="33" t="s">
        <v>133</v>
      </c>
      <c r="J87" s="33" t="s">
        <v>218</v>
      </c>
      <c r="K87" s="33">
        <f t="shared" si="4"/>
        <v>293202</v>
      </c>
      <c r="L87" s="33">
        <v>55</v>
      </c>
      <c r="M87" s="33">
        <v>946</v>
      </c>
      <c r="N87" s="33">
        <v>292256</v>
      </c>
      <c r="O87" s="33" t="s">
        <v>97</v>
      </c>
      <c r="P87" s="33" t="s">
        <v>98</v>
      </c>
      <c r="Q87" s="33" t="s">
        <v>1354</v>
      </c>
      <c r="R87" s="33">
        <v>0.50600000000000001</v>
      </c>
      <c r="S87" s="33" t="s">
        <v>1355</v>
      </c>
      <c r="T87" s="84">
        <v>0.430489790482673</v>
      </c>
      <c r="U87" s="84">
        <v>64.800010012789599</v>
      </c>
      <c r="V87" s="84">
        <v>0.10953616806097501</v>
      </c>
      <c r="W87" s="33">
        <v>0.59299999999999997</v>
      </c>
      <c r="X87" s="33" t="s">
        <v>1357</v>
      </c>
      <c r="Y87" s="84">
        <v>0.67900737169106595</v>
      </c>
      <c r="Z87" s="33">
        <v>2.0409999999999999</v>
      </c>
      <c r="AA87" s="33" t="s">
        <v>1363</v>
      </c>
      <c r="AB87" s="84">
        <v>0.81214321828871605</v>
      </c>
      <c r="AC87" s="33" t="s">
        <v>109</v>
      </c>
      <c r="AD87" s="33" t="s">
        <v>385</v>
      </c>
    </row>
    <row r="88" spans="1:30" ht="14.25" hidden="1">
      <c r="A88" s="33" t="s">
        <v>52</v>
      </c>
      <c r="B88" s="33" t="s">
        <v>21</v>
      </c>
      <c r="C88" s="33" t="s">
        <v>74</v>
      </c>
      <c r="D88" s="33" t="s">
        <v>622</v>
      </c>
      <c r="E88" s="33"/>
      <c r="F88" s="33" t="s">
        <v>1343</v>
      </c>
      <c r="G88" s="33" t="s">
        <v>215</v>
      </c>
      <c r="H88" s="33" t="s">
        <v>79</v>
      </c>
      <c r="I88" s="33" t="s">
        <v>133</v>
      </c>
      <c r="J88" s="33" t="s">
        <v>218</v>
      </c>
      <c r="K88" s="33">
        <f t="shared" si="4"/>
        <v>293202</v>
      </c>
      <c r="L88" s="33">
        <v>22</v>
      </c>
      <c r="M88" s="33">
        <v>946</v>
      </c>
      <c r="N88" s="33">
        <v>292256</v>
      </c>
      <c r="O88" s="33" t="s">
        <v>97</v>
      </c>
      <c r="P88" s="33" t="s">
        <v>98</v>
      </c>
      <c r="Q88" s="33" t="s">
        <v>1541</v>
      </c>
      <c r="R88" s="33">
        <v>0.28599999999999998</v>
      </c>
      <c r="S88" s="33" t="s">
        <v>1558</v>
      </c>
      <c r="T88" s="84">
        <v>0.37045592980346198</v>
      </c>
      <c r="U88" s="84">
        <v>16.811609661108601</v>
      </c>
      <c r="V88" s="84">
        <v>0.39788787547843801</v>
      </c>
      <c r="W88" s="33">
        <v>3.7999999999999999E-2</v>
      </c>
      <c r="X88" s="33" t="s">
        <v>1559</v>
      </c>
      <c r="Y88" s="84">
        <v>8.3401984338464505E-2</v>
      </c>
      <c r="Z88" s="95">
        <v>1.5999999999999999E-5</v>
      </c>
      <c r="AA88" s="33" t="s">
        <v>1560</v>
      </c>
      <c r="AB88" s="84">
        <v>9.9869827058193E-2</v>
      </c>
      <c r="AC88" s="33" t="s">
        <v>109</v>
      </c>
      <c r="AD88" s="33" t="s">
        <v>385</v>
      </c>
    </row>
    <row r="89" spans="1:30" ht="14.25" hidden="1">
      <c r="A89" s="33" t="s">
        <v>52</v>
      </c>
      <c r="B89" s="33" t="s">
        <v>21</v>
      </c>
      <c r="C89" s="33" t="s">
        <v>74</v>
      </c>
      <c r="D89" s="33" t="s">
        <v>246</v>
      </c>
      <c r="E89" s="33"/>
      <c r="F89" s="33" t="s">
        <v>1343</v>
      </c>
      <c r="G89" s="33" t="s">
        <v>248</v>
      </c>
      <c r="H89" s="33" t="s">
        <v>79</v>
      </c>
      <c r="I89" s="33" t="s">
        <v>133</v>
      </c>
      <c r="J89" s="33" t="s">
        <v>218</v>
      </c>
      <c r="K89" s="33">
        <f t="shared" si="4"/>
        <v>293202</v>
      </c>
      <c r="L89" s="33">
        <v>17</v>
      </c>
      <c r="M89" s="33">
        <v>946</v>
      </c>
      <c r="N89" s="33">
        <v>292256</v>
      </c>
      <c r="O89" s="33" t="s">
        <v>97</v>
      </c>
      <c r="P89" s="33" t="s">
        <v>98</v>
      </c>
      <c r="Q89" s="33" t="s">
        <v>1547</v>
      </c>
      <c r="R89" s="33">
        <v>0.216</v>
      </c>
      <c r="S89" s="33" t="s">
        <v>1562</v>
      </c>
      <c r="T89" s="84">
        <v>0.286665732990252</v>
      </c>
      <c r="U89" s="84">
        <v>23.991492824105698</v>
      </c>
      <c r="V89" s="84">
        <v>8.9690467601547294E-2</v>
      </c>
      <c r="W89" s="33">
        <v>2.3E-2</v>
      </c>
      <c r="X89" s="33" t="s">
        <v>1563</v>
      </c>
      <c r="Y89" s="84">
        <v>2.96505944847789E-2</v>
      </c>
      <c r="Z89" s="33">
        <v>1E-3</v>
      </c>
      <c r="AA89" s="33" t="s">
        <v>1564</v>
      </c>
      <c r="AB89" s="84">
        <v>0.69377238479703696</v>
      </c>
      <c r="AC89" s="33" t="s">
        <v>109</v>
      </c>
      <c r="AD89" s="33" t="s">
        <v>385</v>
      </c>
    </row>
    <row r="90" spans="1:30" ht="14.25" hidden="1">
      <c r="A90" s="33" t="s">
        <v>52</v>
      </c>
      <c r="B90" s="33" t="s">
        <v>21</v>
      </c>
      <c r="C90" s="33" t="s">
        <v>74</v>
      </c>
      <c r="D90" s="33" t="s">
        <v>164</v>
      </c>
      <c r="E90" s="33"/>
      <c r="F90" s="33" t="s">
        <v>1565</v>
      </c>
      <c r="G90" s="33" t="s">
        <v>165</v>
      </c>
      <c r="H90" s="33" t="s">
        <v>79</v>
      </c>
      <c r="I90" s="33" t="s">
        <v>133</v>
      </c>
      <c r="J90" s="33" t="s">
        <v>218</v>
      </c>
      <c r="K90" s="33">
        <f t="shared" si="4"/>
        <v>260086</v>
      </c>
      <c r="L90" s="33">
        <v>43</v>
      </c>
      <c r="M90" s="33">
        <v>503</v>
      </c>
      <c r="N90" s="33">
        <v>259583</v>
      </c>
      <c r="O90" s="33" t="s">
        <v>97</v>
      </c>
      <c r="P90" s="33" t="s">
        <v>98</v>
      </c>
      <c r="Q90" s="33" t="s">
        <v>1527</v>
      </c>
      <c r="R90" s="33">
        <v>8.6999999999999994E-2</v>
      </c>
      <c r="S90" s="33" t="s">
        <v>1566</v>
      </c>
      <c r="T90" s="84">
        <v>2.1826566273587301E-2</v>
      </c>
      <c r="U90" s="84">
        <v>51.393739688158902</v>
      </c>
      <c r="V90" s="84">
        <v>7.2100287465377194E-2</v>
      </c>
      <c r="W90" s="33">
        <v>0.17100000000000001</v>
      </c>
      <c r="X90" s="33" t="s">
        <v>1567</v>
      </c>
      <c r="Y90" s="84">
        <v>0.20546074511898901</v>
      </c>
      <c r="Z90" s="33">
        <v>0.123</v>
      </c>
      <c r="AA90" s="33" t="s">
        <v>1568</v>
      </c>
      <c r="AB90" s="84">
        <v>0.66661752858096202</v>
      </c>
      <c r="AC90" s="33" t="s">
        <v>109</v>
      </c>
      <c r="AD90" s="33" t="s">
        <v>385</v>
      </c>
    </row>
    <row r="91" spans="1:30" ht="14.25" hidden="1">
      <c r="A91" s="33" t="s">
        <v>52</v>
      </c>
      <c r="B91" s="33" t="s">
        <v>21</v>
      </c>
      <c r="C91" s="33" t="s">
        <v>74</v>
      </c>
      <c r="D91" s="33" t="s">
        <v>75</v>
      </c>
      <c r="E91" s="33"/>
      <c r="F91" s="33" t="s">
        <v>1565</v>
      </c>
      <c r="G91" s="33" t="s">
        <v>113</v>
      </c>
      <c r="H91" s="33" t="s">
        <v>79</v>
      </c>
      <c r="I91" s="33" t="s">
        <v>133</v>
      </c>
      <c r="J91" s="33" t="s">
        <v>218</v>
      </c>
      <c r="K91" s="33">
        <f t="shared" si="4"/>
        <v>260086</v>
      </c>
      <c r="L91" s="33">
        <v>55</v>
      </c>
      <c r="M91" s="33">
        <v>503</v>
      </c>
      <c r="N91" s="33">
        <v>259583</v>
      </c>
      <c r="O91" s="33" t="s">
        <v>97</v>
      </c>
      <c r="P91" s="33" t="s">
        <v>98</v>
      </c>
      <c r="Q91" s="33" t="s">
        <v>1354</v>
      </c>
      <c r="R91" s="33">
        <v>0.127</v>
      </c>
      <c r="S91" s="33" t="s">
        <v>1571</v>
      </c>
      <c r="T91" s="84">
        <v>5.2348849835812103E-2</v>
      </c>
      <c r="U91" s="84">
        <v>50.849365635394598</v>
      </c>
      <c r="V91" s="84">
        <v>0.51918961088945803</v>
      </c>
      <c r="W91" s="33">
        <v>6.5000000000000002E-2</v>
      </c>
      <c r="X91" s="33" t="s">
        <v>1572</v>
      </c>
      <c r="Y91" s="84">
        <v>9.0415338206360801E-2</v>
      </c>
      <c r="Z91" s="33">
        <v>0.193</v>
      </c>
      <c r="AA91" s="33" t="s">
        <v>1573</v>
      </c>
      <c r="AB91" s="84">
        <v>0.65422278034714298</v>
      </c>
      <c r="AC91" s="33" t="s">
        <v>109</v>
      </c>
      <c r="AD91" s="33" t="s">
        <v>385</v>
      </c>
    </row>
    <row r="92" spans="1:30" ht="14.25" hidden="1">
      <c r="A92" s="33" t="s">
        <v>52</v>
      </c>
      <c r="B92" s="33" t="s">
        <v>21</v>
      </c>
      <c r="C92" s="33" t="s">
        <v>74</v>
      </c>
      <c r="D92" s="33" t="s">
        <v>622</v>
      </c>
      <c r="E92" s="33"/>
      <c r="F92" s="33" t="s">
        <v>1565</v>
      </c>
      <c r="G92" s="33" t="s">
        <v>215</v>
      </c>
      <c r="H92" s="33" t="s">
        <v>79</v>
      </c>
      <c r="I92" s="33" t="s">
        <v>133</v>
      </c>
      <c r="J92" s="33" t="s">
        <v>218</v>
      </c>
      <c r="K92" s="33">
        <f t="shared" si="4"/>
        <v>260086</v>
      </c>
      <c r="L92" s="33">
        <v>22</v>
      </c>
      <c r="M92" s="33">
        <v>503</v>
      </c>
      <c r="N92" s="33">
        <v>259583</v>
      </c>
      <c r="O92" s="33" t="s">
        <v>97</v>
      </c>
      <c r="P92" s="33" t="s">
        <v>98</v>
      </c>
      <c r="Q92" s="33" t="s">
        <v>1541</v>
      </c>
      <c r="R92" s="33">
        <v>2.3149999999999999</v>
      </c>
      <c r="S92" s="33" t="s">
        <v>1574</v>
      </c>
      <c r="T92" s="84">
        <v>0.64481139809299803</v>
      </c>
      <c r="U92" s="84">
        <v>13.742391115960499</v>
      </c>
      <c r="V92" s="84">
        <v>0.68524578492128496</v>
      </c>
      <c r="W92" s="33">
        <v>9.6820000000000004</v>
      </c>
      <c r="X92" s="33" t="s">
        <v>1575</v>
      </c>
      <c r="Y92" s="84">
        <v>0.35265593075818902</v>
      </c>
      <c r="Z92" s="33">
        <v>8.9380000000000006</v>
      </c>
      <c r="AA92" s="33" t="s">
        <v>1576</v>
      </c>
      <c r="AB92" s="84">
        <v>0.79898319843086796</v>
      </c>
      <c r="AC92" s="33" t="s">
        <v>109</v>
      </c>
      <c r="AD92" s="33" t="s">
        <v>385</v>
      </c>
    </row>
    <row r="93" spans="1:30" ht="14.25" hidden="1">
      <c r="A93" s="33" t="s">
        <v>52</v>
      </c>
      <c r="B93" s="33" t="s">
        <v>21</v>
      </c>
      <c r="C93" s="33" t="s">
        <v>74</v>
      </c>
      <c r="D93" s="33" t="s">
        <v>246</v>
      </c>
      <c r="E93" s="33"/>
      <c r="F93" s="33" t="s">
        <v>1565</v>
      </c>
      <c r="G93" s="33" t="s">
        <v>248</v>
      </c>
      <c r="H93" s="33" t="s">
        <v>79</v>
      </c>
      <c r="I93" s="33" t="s">
        <v>133</v>
      </c>
      <c r="J93" s="33" t="s">
        <v>218</v>
      </c>
      <c r="K93" s="33">
        <f t="shared" si="4"/>
        <v>260086</v>
      </c>
      <c r="L93" s="33">
        <v>17</v>
      </c>
      <c r="M93" s="33">
        <v>503</v>
      </c>
      <c r="N93" s="33">
        <v>259583</v>
      </c>
      <c r="O93" s="33" t="s">
        <v>97</v>
      </c>
      <c r="P93" s="33" t="s">
        <v>98</v>
      </c>
      <c r="Q93" s="33" t="s">
        <v>1547</v>
      </c>
      <c r="R93" s="33">
        <v>9.7560000000000002</v>
      </c>
      <c r="S93" s="33" t="s">
        <v>1577</v>
      </c>
      <c r="T93" s="84">
        <v>0.158223577569781</v>
      </c>
      <c r="U93" s="84">
        <v>15.184059292472</v>
      </c>
      <c r="V93" s="84">
        <v>0.51120128389563102</v>
      </c>
      <c r="W93" s="33">
        <v>65.218999999999994</v>
      </c>
      <c r="X93" s="33" t="s">
        <v>1578</v>
      </c>
      <c r="Y93" s="84">
        <v>5.9651178310258103E-2</v>
      </c>
      <c r="Z93" s="95">
        <v>1500000000000000</v>
      </c>
      <c r="AA93" s="33" t="s">
        <v>1579</v>
      </c>
      <c r="AB93" s="84">
        <v>6.6535316373585895E-2</v>
      </c>
      <c r="AC93" s="33" t="s">
        <v>109</v>
      </c>
      <c r="AD93" s="33" t="s">
        <v>385</v>
      </c>
    </row>
    <row r="94" spans="1:30" ht="14.25" hidden="1">
      <c r="A94" s="23" t="s">
        <v>52</v>
      </c>
      <c r="B94" s="23" t="s">
        <v>121</v>
      </c>
      <c r="C94" s="23" t="s">
        <v>74</v>
      </c>
      <c r="D94" s="23" t="s">
        <v>1580</v>
      </c>
      <c r="E94" s="23"/>
      <c r="F94" s="23" t="s">
        <v>1581</v>
      </c>
      <c r="G94" s="23" t="s">
        <v>79</v>
      </c>
      <c r="H94" s="23" t="s">
        <v>79</v>
      </c>
      <c r="I94" s="14" t="s">
        <v>133</v>
      </c>
      <c r="J94" s="23" t="s">
        <v>218</v>
      </c>
      <c r="K94" s="23">
        <v>215027</v>
      </c>
      <c r="L94" s="23">
        <v>22</v>
      </c>
      <c r="M94" s="23">
        <v>19883</v>
      </c>
      <c r="N94" s="14">
        <v>195144</v>
      </c>
      <c r="O94" s="62" t="s">
        <v>97</v>
      </c>
      <c r="P94" s="23" t="s">
        <v>98</v>
      </c>
      <c r="Q94" s="23" t="s">
        <v>79</v>
      </c>
      <c r="R94" s="23">
        <v>1.06</v>
      </c>
      <c r="S94" s="23" t="s">
        <v>1582</v>
      </c>
      <c r="T94" s="23">
        <v>0.88300000000000001</v>
      </c>
      <c r="U94" s="14" t="s">
        <v>62</v>
      </c>
      <c r="V94" s="14" t="s">
        <v>62</v>
      </c>
      <c r="W94" s="14" t="s">
        <v>62</v>
      </c>
      <c r="X94" s="14" t="s">
        <v>62</v>
      </c>
      <c r="Y94" s="14" t="s">
        <v>62</v>
      </c>
      <c r="Z94" s="14" t="s">
        <v>62</v>
      </c>
      <c r="AA94" s="14" t="s">
        <v>62</v>
      </c>
      <c r="AB94" s="14" t="s">
        <v>62</v>
      </c>
      <c r="AC94" s="23" t="s">
        <v>140</v>
      </c>
      <c r="AD94" s="23" t="s">
        <v>385</v>
      </c>
    </row>
    <row r="95" spans="1:30" ht="14.25" hidden="1">
      <c r="A95" s="23" t="s">
        <v>52</v>
      </c>
      <c r="B95" s="23" t="s">
        <v>121</v>
      </c>
      <c r="C95" s="23" t="s">
        <v>74</v>
      </c>
      <c r="D95" s="23" t="s">
        <v>1580</v>
      </c>
      <c r="E95" s="23"/>
      <c r="F95" s="23" t="s">
        <v>1581</v>
      </c>
      <c r="G95" s="23" t="s">
        <v>79</v>
      </c>
      <c r="H95" s="23" t="s">
        <v>79</v>
      </c>
      <c r="I95" s="14" t="s">
        <v>133</v>
      </c>
      <c r="J95" s="14" t="s">
        <v>133</v>
      </c>
      <c r="K95" s="23">
        <v>462933</v>
      </c>
      <c r="L95" s="23">
        <v>22</v>
      </c>
      <c r="M95" s="23">
        <v>7682</v>
      </c>
      <c r="N95" s="23">
        <v>455251</v>
      </c>
      <c r="O95" s="62" t="s">
        <v>97</v>
      </c>
      <c r="P95" s="23" t="s">
        <v>98</v>
      </c>
      <c r="Q95" s="23" t="s">
        <v>79</v>
      </c>
      <c r="R95" s="23">
        <v>0.98</v>
      </c>
      <c r="S95" s="23" t="s">
        <v>1584</v>
      </c>
      <c r="T95" s="23">
        <v>0.11700000000000001</v>
      </c>
      <c r="U95" s="14" t="s">
        <v>62</v>
      </c>
      <c r="V95" s="14" t="s">
        <v>62</v>
      </c>
      <c r="W95" s="14" t="s">
        <v>62</v>
      </c>
      <c r="X95" s="14" t="s">
        <v>62</v>
      </c>
      <c r="Y95" s="14" t="s">
        <v>62</v>
      </c>
      <c r="Z95" s="14" t="s">
        <v>62</v>
      </c>
      <c r="AA95" s="14" t="s">
        <v>62</v>
      </c>
      <c r="AB95" s="14" t="s">
        <v>62</v>
      </c>
      <c r="AC95" s="23" t="s">
        <v>140</v>
      </c>
      <c r="AD95" s="23" t="s">
        <v>385</v>
      </c>
    </row>
    <row r="96" spans="1:30" ht="14.25" hidden="1">
      <c r="A96" s="103" t="s">
        <v>1585</v>
      </c>
      <c r="B96" s="103" t="s">
        <v>123</v>
      </c>
      <c r="C96" s="103" t="s">
        <v>74</v>
      </c>
      <c r="D96" s="103" t="s">
        <v>164</v>
      </c>
      <c r="E96" s="103"/>
      <c r="F96" s="103" t="s">
        <v>1586</v>
      </c>
      <c r="G96" s="58" t="s">
        <v>165</v>
      </c>
      <c r="H96" s="103" t="s">
        <v>1587</v>
      </c>
      <c r="I96" s="103" t="s">
        <v>133</v>
      </c>
      <c r="J96" s="103" t="s">
        <v>834</v>
      </c>
      <c r="K96" s="103">
        <v>451099</v>
      </c>
      <c r="L96" s="103">
        <v>43</v>
      </c>
      <c r="M96" s="103" t="s">
        <v>79</v>
      </c>
      <c r="N96" s="103" t="s">
        <v>79</v>
      </c>
      <c r="O96" s="58" t="s">
        <v>97</v>
      </c>
      <c r="P96" s="103" t="s">
        <v>98</v>
      </c>
      <c r="Q96" s="103" t="s">
        <v>79</v>
      </c>
      <c r="R96" s="103">
        <v>0.52</v>
      </c>
      <c r="S96" s="103" t="s">
        <v>1588</v>
      </c>
      <c r="T96" s="103">
        <v>3.0000000000000001E-3</v>
      </c>
      <c r="U96" s="103" t="s">
        <v>79</v>
      </c>
      <c r="V96" s="103">
        <v>0.95899999999999996</v>
      </c>
      <c r="W96" s="103">
        <v>0.45</v>
      </c>
      <c r="X96" s="103" t="s">
        <v>1589</v>
      </c>
      <c r="Y96" s="103">
        <v>0.01</v>
      </c>
      <c r="Z96" s="103">
        <v>0.4</v>
      </c>
      <c r="AA96" s="103" t="s">
        <v>1590</v>
      </c>
      <c r="AB96" s="103">
        <v>0.373</v>
      </c>
      <c r="AC96" s="103" t="s">
        <v>140</v>
      </c>
      <c r="AD96" s="103" t="s">
        <v>155</v>
      </c>
    </row>
    <row r="97" spans="1:30" ht="14.25" hidden="1">
      <c r="A97" s="103" t="s">
        <v>1585</v>
      </c>
      <c r="B97" s="10" t="s">
        <v>3</v>
      </c>
      <c r="C97" s="10" t="s">
        <v>74</v>
      </c>
      <c r="D97" s="10" t="s">
        <v>246</v>
      </c>
      <c r="E97" s="10"/>
      <c r="F97" s="10" t="s">
        <v>106</v>
      </c>
      <c r="G97" s="10" t="s">
        <v>248</v>
      </c>
      <c r="H97" s="10" t="s">
        <v>115</v>
      </c>
      <c r="I97" s="10" t="s">
        <v>133</v>
      </c>
      <c r="J97" s="10" t="s">
        <v>218</v>
      </c>
      <c r="K97" s="34">
        <v>215644</v>
      </c>
      <c r="L97" s="10">
        <v>10</v>
      </c>
      <c r="M97" s="10" t="s">
        <v>79</v>
      </c>
      <c r="N97" s="10" t="s">
        <v>79</v>
      </c>
      <c r="O97" s="10" t="s">
        <v>97</v>
      </c>
      <c r="P97" s="10" t="s">
        <v>98</v>
      </c>
      <c r="Q97" s="10" t="s">
        <v>79</v>
      </c>
      <c r="R97" s="10" t="s">
        <v>1591</v>
      </c>
      <c r="S97" s="10" t="s">
        <v>1592</v>
      </c>
      <c r="T97" s="10">
        <v>8.9999999999999993E-3</v>
      </c>
      <c r="U97" s="10">
        <v>4.8372000000000002</v>
      </c>
      <c r="V97" s="10">
        <v>0.90200000000000002</v>
      </c>
      <c r="W97" s="10">
        <v>2.9849999999999999</v>
      </c>
      <c r="X97" s="10" t="s">
        <v>1593</v>
      </c>
      <c r="Y97" s="10">
        <v>1.6E-2</v>
      </c>
      <c r="Z97" s="10">
        <v>1.702</v>
      </c>
      <c r="AA97" s="10" t="s">
        <v>1594</v>
      </c>
      <c r="AB97" s="10">
        <v>0.90800000000000003</v>
      </c>
      <c r="AC97" s="10" t="s">
        <v>109</v>
      </c>
      <c r="AD97" s="10" t="s">
        <v>112</v>
      </c>
    </row>
    <row r="98" spans="1:30" ht="14.25" hidden="1">
      <c r="A98" s="10" t="s">
        <v>52</v>
      </c>
      <c r="B98" s="10" t="s">
        <v>48</v>
      </c>
      <c r="C98" s="10" t="s">
        <v>74</v>
      </c>
      <c r="D98" s="10" t="s">
        <v>1595</v>
      </c>
      <c r="E98" s="10"/>
      <c r="F98" s="10" t="s">
        <v>128</v>
      </c>
      <c r="G98" s="10" t="s">
        <v>79</v>
      </c>
      <c r="H98" s="10" t="s">
        <v>79</v>
      </c>
      <c r="I98" s="10" t="s">
        <v>1596</v>
      </c>
      <c r="J98" s="10" t="s">
        <v>1597</v>
      </c>
      <c r="K98" s="10">
        <f t="shared" ref="K98:K99" si="5">M98+N98</f>
        <v>377583</v>
      </c>
      <c r="L98" s="10">
        <v>12</v>
      </c>
      <c r="M98" s="10">
        <v>5567</v>
      </c>
      <c r="N98" s="10">
        <v>372016</v>
      </c>
      <c r="O98" s="10" t="s">
        <v>79</v>
      </c>
      <c r="P98" s="10" t="s">
        <v>98</v>
      </c>
      <c r="Q98" s="10" t="s">
        <v>79</v>
      </c>
      <c r="R98" s="10">
        <v>1.014</v>
      </c>
      <c r="S98" s="104" t="s">
        <v>1598</v>
      </c>
      <c r="T98" s="10">
        <v>4.8000000000000001E-2</v>
      </c>
      <c r="U98" s="10" t="s">
        <v>79</v>
      </c>
      <c r="V98" s="37">
        <v>0.63900000000000001</v>
      </c>
      <c r="W98" s="10">
        <v>1.0189999999999999</v>
      </c>
      <c r="X98" s="10" t="s">
        <v>1599</v>
      </c>
      <c r="Y98" s="10">
        <v>4.4999999999999998E-2</v>
      </c>
      <c r="Z98" s="10">
        <v>1.004</v>
      </c>
      <c r="AA98" s="10" t="s">
        <v>1600</v>
      </c>
      <c r="AB98" s="10">
        <v>0.81899999999999995</v>
      </c>
      <c r="AC98" s="10" t="s">
        <v>140</v>
      </c>
      <c r="AD98" s="10" t="s">
        <v>204</v>
      </c>
    </row>
    <row r="99" spans="1:30" ht="14.25" hidden="1">
      <c r="A99" s="10" t="s">
        <v>52</v>
      </c>
      <c r="B99" s="10" t="s">
        <v>48</v>
      </c>
      <c r="C99" s="10" t="s">
        <v>74</v>
      </c>
      <c r="D99" s="10" t="s">
        <v>1601</v>
      </c>
      <c r="E99" s="10"/>
      <c r="F99" s="10" t="s">
        <v>128</v>
      </c>
      <c r="G99" s="10" t="s">
        <v>79</v>
      </c>
      <c r="H99" s="10" t="s">
        <v>79</v>
      </c>
      <c r="I99" s="10" t="s">
        <v>1602</v>
      </c>
      <c r="J99" s="10" t="s">
        <v>1603</v>
      </c>
      <c r="K99" s="10">
        <f t="shared" si="5"/>
        <v>377583</v>
      </c>
      <c r="L99" s="10">
        <v>8</v>
      </c>
      <c r="M99" s="10">
        <v>5567</v>
      </c>
      <c r="N99" s="10">
        <v>372016</v>
      </c>
      <c r="O99" s="10" t="s">
        <v>79</v>
      </c>
      <c r="P99" s="10" t="s">
        <v>98</v>
      </c>
      <c r="Q99" s="10" t="s">
        <v>79</v>
      </c>
      <c r="R99" s="10">
        <v>1.0069999999999999</v>
      </c>
      <c r="S99" s="10" t="s">
        <v>1605</v>
      </c>
      <c r="T99" s="10">
        <v>0.51200000000000001</v>
      </c>
      <c r="U99" s="10"/>
      <c r="V99" s="37">
        <v>0.63900000000000001</v>
      </c>
      <c r="W99" s="10">
        <v>1.0189999999999999</v>
      </c>
      <c r="X99" s="10" t="s">
        <v>1606</v>
      </c>
      <c r="Y99" s="10">
        <v>0.32700000000000001</v>
      </c>
      <c r="Z99" s="10">
        <v>1.002</v>
      </c>
      <c r="AA99" s="10" t="s">
        <v>1607</v>
      </c>
      <c r="AB99" s="10">
        <v>0.95</v>
      </c>
      <c r="AC99" s="10" t="s">
        <v>140</v>
      </c>
      <c r="AD99" s="10" t="s">
        <v>204</v>
      </c>
    </row>
    <row r="100" spans="1:30" ht="14.25">
      <c r="A100" s="38" t="s">
        <v>70</v>
      </c>
      <c r="B100" s="105" t="s">
        <v>118</v>
      </c>
      <c r="C100" s="85" t="s">
        <v>74</v>
      </c>
      <c r="D100" s="105" t="s">
        <v>622</v>
      </c>
      <c r="E100" s="105">
        <v>1</v>
      </c>
      <c r="F100" s="105" t="s">
        <v>170</v>
      </c>
      <c r="G100" s="105" t="s">
        <v>215</v>
      </c>
      <c r="H100" s="105" t="s">
        <v>628</v>
      </c>
      <c r="I100" s="105" t="s">
        <v>133</v>
      </c>
      <c r="J100" s="105" t="s">
        <v>218</v>
      </c>
      <c r="K100" s="105">
        <v>156.078</v>
      </c>
      <c r="L100" s="105">
        <v>18</v>
      </c>
      <c r="M100" s="105">
        <v>20.629000000000001</v>
      </c>
      <c r="N100" s="105">
        <v>135.44900000000001</v>
      </c>
      <c r="O100" s="105" t="s">
        <v>79</v>
      </c>
      <c r="P100" s="85" t="s">
        <v>98</v>
      </c>
      <c r="Q100" s="105" t="s">
        <v>1614</v>
      </c>
      <c r="R100" s="106">
        <v>810</v>
      </c>
      <c r="S100" s="105" t="s">
        <v>1616</v>
      </c>
      <c r="T100" s="106">
        <v>691</v>
      </c>
      <c r="U100" s="105" t="s">
        <v>1617</v>
      </c>
      <c r="V100" s="106">
        <v>78</v>
      </c>
      <c r="W100" s="106">
        <v>2264</v>
      </c>
      <c r="X100" s="105" t="s">
        <v>1618</v>
      </c>
      <c r="Y100" s="106">
        <v>139</v>
      </c>
      <c r="Z100" s="106">
        <v>16837</v>
      </c>
      <c r="AA100" s="105" t="s">
        <v>1619</v>
      </c>
      <c r="AB100" s="106">
        <v>254</v>
      </c>
      <c r="AC100" s="85" t="s">
        <v>140</v>
      </c>
      <c r="AD100" s="85" t="s">
        <v>145</v>
      </c>
    </row>
    <row r="101" spans="1:30" ht="14.25" hidden="1">
      <c r="A101" s="10" t="s">
        <v>52</v>
      </c>
      <c r="B101" s="10" t="s">
        <v>126</v>
      </c>
      <c r="C101" s="10" t="s">
        <v>74</v>
      </c>
      <c r="D101" s="33" t="s">
        <v>164</v>
      </c>
      <c r="E101" s="10"/>
      <c r="F101" s="10" t="s">
        <v>1620</v>
      </c>
      <c r="G101" s="33" t="s">
        <v>165</v>
      </c>
      <c r="H101" s="10" t="s">
        <v>1621</v>
      </c>
      <c r="I101" s="10" t="s">
        <v>133</v>
      </c>
      <c r="J101" s="10" t="s">
        <v>133</v>
      </c>
      <c r="K101" s="10">
        <f>SUM(M101:N101)</f>
        <v>361194</v>
      </c>
      <c r="L101" s="10">
        <v>41</v>
      </c>
      <c r="M101" s="10">
        <v>5423</v>
      </c>
      <c r="N101" s="33">
        <v>355771</v>
      </c>
      <c r="O101" s="62" t="s">
        <v>97</v>
      </c>
      <c r="P101" s="10" t="s">
        <v>98</v>
      </c>
      <c r="Q101" s="10" t="s">
        <v>79</v>
      </c>
      <c r="R101" s="10">
        <v>0.98399999999999999</v>
      </c>
      <c r="S101" s="10" t="s">
        <v>1622</v>
      </c>
      <c r="T101" s="10" t="s">
        <v>1623</v>
      </c>
      <c r="U101" s="10" t="s">
        <v>79</v>
      </c>
      <c r="V101" s="10" t="s">
        <v>79</v>
      </c>
      <c r="W101" s="10">
        <v>0.98499999999999999</v>
      </c>
      <c r="X101" s="10" t="s">
        <v>1624</v>
      </c>
      <c r="Y101" s="10">
        <v>8.9999999999999993E-3</v>
      </c>
      <c r="Z101" s="10">
        <v>0.96099999999999997</v>
      </c>
      <c r="AA101" s="10" t="s">
        <v>1625</v>
      </c>
      <c r="AB101" s="10">
        <v>4.0000000000000001E-3</v>
      </c>
      <c r="AC101" s="10" t="s">
        <v>109</v>
      </c>
      <c r="AD101" s="10" t="s">
        <v>145</v>
      </c>
    </row>
    <row r="102" spans="1:30" ht="14.25" hidden="1">
      <c r="A102" s="10" t="s">
        <v>52</v>
      </c>
      <c r="B102" s="10" t="s">
        <v>126</v>
      </c>
      <c r="C102" s="10" t="s">
        <v>74</v>
      </c>
      <c r="D102" s="10" t="s">
        <v>75</v>
      </c>
      <c r="E102" s="10"/>
      <c r="F102" s="10" t="s">
        <v>1626</v>
      </c>
      <c r="G102" s="10" t="s">
        <v>1627</v>
      </c>
      <c r="H102" s="33" t="s">
        <v>1628</v>
      </c>
      <c r="I102" s="10" t="s">
        <v>133</v>
      </c>
      <c r="J102" s="10" t="s">
        <v>218</v>
      </c>
      <c r="K102" s="10">
        <v>177860</v>
      </c>
      <c r="L102" s="10">
        <v>51</v>
      </c>
      <c r="M102" s="10">
        <v>13178</v>
      </c>
      <c r="N102" s="33">
        <v>164682</v>
      </c>
      <c r="O102" s="62" t="s">
        <v>97</v>
      </c>
      <c r="P102" s="10" t="s">
        <v>98</v>
      </c>
      <c r="Q102" s="10" t="s">
        <v>79</v>
      </c>
      <c r="R102" s="10">
        <v>0.59399999999999997</v>
      </c>
      <c r="S102" s="10" t="s">
        <v>1629</v>
      </c>
      <c r="T102" s="10">
        <v>4.3999999999999997E-2</v>
      </c>
      <c r="U102" s="10" t="s">
        <v>79</v>
      </c>
      <c r="V102" s="10" t="s">
        <v>79</v>
      </c>
      <c r="W102" s="10" t="s">
        <v>79</v>
      </c>
      <c r="X102" s="10" t="s">
        <v>79</v>
      </c>
      <c r="Y102" s="10" t="s">
        <v>79</v>
      </c>
      <c r="Z102" s="10" t="s">
        <v>79</v>
      </c>
      <c r="AA102" s="10" t="s">
        <v>79</v>
      </c>
      <c r="AB102" s="10" t="s">
        <v>79</v>
      </c>
      <c r="AC102" s="10" t="s">
        <v>109</v>
      </c>
      <c r="AD102" s="10" t="s">
        <v>145</v>
      </c>
    </row>
    <row r="103" spans="1:30" ht="14.25" hidden="1">
      <c r="A103" s="14" t="s">
        <v>52</v>
      </c>
      <c r="B103" s="14" t="s">
        <v>130</v>
      </c>
      <c r="C103" s="14" t="s">
        <v>74</v>
      </c>
      <c r="D103" s="14" t="s">
        <v>298</v>
      </c>
      <c r="E103" s="14"/>
      <c r="F103" s="14" t="s">
        <v>362</v>
      </c>
      <c r="G103" s="14" t="s">
        <v>215</v>
      </c>
      <c r="H103" s="14" t="s">
        <v>79</v>
      </c>
      <c r="I103" s="14" t="s">
        <v>133</v>
      </c>
      <c r="J103" s="14" t="s">
        <v>218</v>
      </c>
      <c r="K103" s="14">
        <v>218792</v>
      </c>
      <c r="L103" s="14">
        <v>22</v>
      </c>
      <c r="M103" s="14">
        <v>19676</v>
      </c>
      <c r="N103" s="14">
        <f>K103-M103</f>
        <v>199116</v>
      </c>
      <c r="O103" s="62" t="s">
        <v>97</v>
      </c>
      <c r="P103" s="14" t="s">
        <v>98</v>
      </c>
      <c r="Q103" s="14" t="s">
        <v>79</v>
      </c>
      <c r="R103" s="14">
        <v>0.46800000000000003</v>
      </c>
      <c r="S103" s="14" t="s">
        <v>1631</v>
      </c>
      <c r="T103" s="14">
        <v>1.2E-2</v>
      </c>
      <c r="U103" s="14" t="s">
        <v>79</v>
      </c>
      <c r="V103" s="14" t="s">
        <v>79</v>
      </c>
      <c r="W103" s="14" t="s">
        <v>79</v>
      </c>
      <c r="X103" s="14" t="s">
        <v>79</v>
      </c>
      <c r="Y103" s="14" t="s">
        <v>79</v>
      </c>
      <c r="Z103" s="14" t="s">
        <v>79</v>
      </c>
      <c r="AA103" s="14" t="s">
        <v>79</v>
      </c>
      <c r="AB103" s="14" t="s">
        <v>79</v>
      </c>
      <c r="AC103" s="14" t="s">
        <v>140</v>
      </c>
      <c r="AD103" s="14" t="s">
        <v>145</v>
      </c>
    </row>
    <row r="104" spans="1:30" ht="14.25" hidden="1">
      <c r="A104" s="14" t="s">
        <v>52</v>
      </c>
      <c r="B104" s="14" t="s">
        <v>130</v>
      </c>
      <c r="C104" s="14" t="s">
        <v>74</v>
      </c>
      <c r="D104" s="14" t="s">
        <v>298</v>
      </c>
      <c r="E104" s="14"/>
      <c r="F104" s="14" t="s">
        <v>362</v>
      </c>
      <c r="G104" s="14" t="s">
        <v>215</v>
      </c>
      <c r="H104" s="14" t="s">
        <v>79</v>
      </c>
      <c r="I104" s="14" t="s">
        <v>133</v>
      </c>
      <c r="J104" s="14" t="s">
        <v>133</v>
      </c>
      <c r="K104" s="14">
        <v>462933</v>
      </c>
      <c r="L104" s="14">
        <v>22</v>
      </c>
      <c r="M104" s="14" t="s">
        <v>1634</v>
      </c>
      <c r="N104" s="14"/>
      <c r="O104" s="62" t="s">
        <v>97</v>
      </c>
      <c r="P104" s="14" t="s">
        <v>98</v>
      </c>
      <c r="Q104" s="14" t="s">
        <v>79</v>
      </c>
      <c r="R104" s="14">
        <v>1</v>
      </c>
      <c r="S104" s="14" t="s">
        <v>1637</v>
      </c>
      <c r="T104" s="14"/>
      <c r="U104" s="14" t="s">
        <v>79</v>
      </c>
      <c r="V104" s="14" t="s">
        <v>79</v>
      </c>
      <c r="W104" s="14" t="s">
        <v>79</v>
      </c>
      <c r="X104" s="14" t="s">
        <v>79</v>
      </c>
      <c r="Y104" s="14" t="s">
        <v>79</v>
      </c>
      <c r="Z104" s="14" t="s">
        <v>79</v>
      </c>
      <c r="AA104" s="14" t="s">
        <v>79</v>
      </c>
      <c r="AB104" s="14" t="s">
        <v>79</v>
      </c>
      <c r="AC104" s="14" t="s">
        <v>140</v>
      </c>
      <c r="AD104" s="14" t="s">
        <v>145</v>
      </c>
    </row>
    <row r="105" spans="1:30" ht="14.25" hidden="1">
      <c r="A105" s="14" t="s">
        <v>52</v>
      </c>
      <c r="B105" s="14" t="s">
        <v>56</v>
      </c>
      <c r="C105" s="14" t="s">
        <v>74</v>
      </c>
      <c r="D105" s="14" t="s">
        <v>246</v>
      </c>
      <c r="E105" s="14"/>
      <c r="F105" s="14" t="s">
        <v>1272</v>
      </c>
      <c r="G105" s="14" t="s">
        <v>248</v>
      </c>
      <c r="H105" s="81" t="s">
        <v>1276</v>
      </c>
      <c r="I105" s="14" t="s">
        <v>133</v>
      </c>
      <c r="J105" s="14" t="s">
        <v>1282</v>
      </c>
      <c r="K105" s="14">
        <v>56429</v>
      </c>
      <c r="L105" s="14">
        <v>10</v>
      </c>
      <c r="M105" s="14">
        <v>13358</v>
      </c>
      <c r="N105" s="14">
        <v>43071</v>
      </c>
      <c r="O105" s="14" t="s">
        <v>97</v>
      </c>
      <c r="P105" s="14" t="s">
        <v>98</v>
      </c>
      <c r="Q105" s="14">
        <v>19.559999999999999</v>
      </c>
      <c r="R105" s="14">
        <v>20.21</v>
      </c>
      <c r="S105" s="14" t="s">
        <v>1639</v>
      </c>
      <c r="T105" s="14" t="s">
        <v>1640</v>
      </c>
      <c r="U105" s="14">
        <v>4.97</v>
      </c>
      <c r="V105" s="14">
        <v>0.84</v>
      </c>
      <c r="W105" s="14">
        <v>18.489999999999998</v>
      </c>
      <c r="X105" s="14" t="s">
        <v>1641</v>
      </c>
      <c r="Y105" s="14" t="s">
        <v>1642</v>
      </c>
      <c r="Z105" s="14">
        <v>703.13</v>
      </c>
      <c r="AA105" s="14" t="s">
        <v>1643</v>
      </c>
      <c r="AB105" s="14">
        <v>0.45</v>
      </c>
      <c r="AC105" s="14" t="s">
        <v>140</v>
      </c>
      <c r="AD105" s="14" t="s">
        <v>385</v>
      </c>
    </row>
    <row r="106" spans="1:30" ht="14.25" hidden="1">
      <c r="A106" s="14" t="s">
        <v>52</v>
      </c>
      <c r="B106" s="14" t="s">
        <v>56</v>
      </c>
      <c r="C106" s="14" t="s">
        <v>74</v>
      </c>
      <c r="D106" s="14" t="s">
        <v>75</v>
      </c>
      <c r="E106" s="14"/>
      <c r="F106" s="14" t="s">
        <v>1272</v>
      </c>
      <c r="G106" s="14" t="s">
        <v>113</v>
      </c>
      <c r="H106" s="81" t="s">
        <v>1276</v>
      </c>
      <c r="I106" s="14" t="s">
        <v>133</v>
      </c>
      <c r="J106" s="14" t="s">
        <v>1282</v>
      </c>
      <c r="K106" s="14">
        <v>56429</v>
      </c>
      <c r="L106" s="14">
        <v>22</v>
      </c>
      <c r="M106" s="14">
        <v>13358</v>
      </c>
      <c r="N106" s="14">
        <v>43071</v>
      </c>
      <c r="O106" s="14" t="s">
        <v>97</v>
      </c>
      <c r="P106" s="14" t="s">
        <v>98</v>
      </c>
      <c r="Q106" s="14">
        <v>15.33</v>
      </c>
      <c r="R106" s="14">
        <v>0.28000000000000003</v>
      </c>
      <c r="S106" s="14" t="s">
        <v>1284</v>
      </c>
      <c r="T106" s="14">
        <v>0.01</v>
      </c>
      <c r="U106" s="14">
        <v>32.15</v>
      </c>
      <c r="V106" s="14">
        <v>0.06</v>
      </c>
      <c r="W106" s="14">
        <v>0.23</v>
      </c>
      <c r="X106" s="14" t="s">
        <v>1288</v>
      </c>
      <c r="Y106" s="14">
        <v>0.02</v>
      </c>
      <c r="Z106" s="14">
        <v>0.19</v>
      </c>
      <c r="AA106" s="14" t="s">
        <v>1290</v>
      </c>
      <c r="AB106" s="14">
        <v>0.32</v>
      </c>
      <c r="AC106" s="14" t="s">
        <v>140</v>
      </c>
      <c r="AD106" s="14" t="s">
        <v>385</v>
      </c>
    </row>
    <row r="107" spans="1:30" ht="14.25" hidden="1">
      <c r="A107" s="14" t="s">
        <v>52</v>
      </c>
      <c r="B107" s="14" t="s">
        <v>56</v>
      </c>
      <c r="C107" s="14" t="s">
        <v>74</v>
      </c>
      <c r="D107" s="14" t="s">
        <v>459</v>
      </c>
      <c r="E107" s="14"/>
      <c r="F107" s="14" t="s">
        <v>1272</v>
      </c>
      <c r="G107" s="14" t="s">
        <v>215</v>
      </c>
      <c r="H107" s="81" t="s">
        <v>1276</v>
      </c>
      <c r="I107" s="14" t="s">
        <v>133</v>
      </c>
      <c r="J107" s="14" t="s">
        <v>1282</v>
      </c>
      <c r="K107" s="14">
        <v>56429</v>
      </c>
      <c r="L107" s="14">
        <v>7</v>
      </c>
      <c r="M107" s="14">
        <v>13358</v>
      </c>
      <c r="N107" s="14">
        <v>43071</v>
      </c>
      <c r="O107" s="14" t="s">
        <v>97</v>
      </c>
      <c r="P107" s="14" t="s">
        <v>98</v>
      </c>
      <c r="Q107" s="14">
        <v>14.62</v>
      </c>
      <c r="R107" s="14">
        <v>0.15</v>
      </c>
      <c r="S107" s="14" t="s">
        <v>1644</v>
      </c>
      <c r="T107" s="14">
        <v>0.04</v>
      </c>
      <c r="U107" s="14">
        <v>10.48</v>
      </c>
      <c r="V107" s="14">
        <v>0.11</v>
      </c>
      <c r="W107" s="14">
        <v>0.22</v>
      </c>
      <c r="X107" s="14" t="s">
        <v>1645</v>
      </c>
      <c r="Y107" s="14">
        <v>0.14000000000000001</v>
      </c>
      <c r="Z107" s="14">
        <v>0.6</v>
      </c>
      <c r="AA107" s="14" t="s">
        <v>1646</v>
      </c>
      <c r="AB107" s="14">
        <v>0.93</v>
      </c>
      <c r="AC107" s="14" t="s">
        <v>140</v>
      </c>
      <c r="AD107" s="14" t="s">
        <v>385</v>
      </c>
    </row>
    <row r="108" spans="1:30" ht="14.25" hidden="1">
      <c r="A108" s="14" t="s">
        <v>52</v>
      </c>
      <c r="B108" s="14" t="s">
        <v>56</v>
      </c>
      <c r="C108" s="14" t="s">
        <v>74</v>
      </c>
      <c r="D108" s="14" t="s">
        <v>164</v>
      </c>
      <c r="E108" s="14"/>
      <c r="F108" s="14" t="s">
        <v>1272</v>
      </c>
      <c r="G108" s="14" t="s">
        <v>165</v>
      </c>
      <c r="H108" s="81" t="s">
        <v>1276</v>
      </c>
      <c r="I108" s="14" t="s">
        <v>133</v>
      </c>
      <c r="J108" s="14" t="s">
        <v>1282</v>
      </c>
      <c r="K108" s="14">
        <v>56429</v>
      </c>
      <c r="L108" s="14">
        <v>14</v>
      </c>
      <c r="M108" s="14">
        <v>13358</v>
      </c>
      <c r="N108" s="14">
        <v>43071</v>
      </c>
      <c r="O108" s="14" t="s">
        <v>97</v>
      </c>
      <c r="P108" s="14" t="s">
        <v>98</v>
      </c>
      <c r="Q108" s="14">
        <v>19.57</v>
      </c>
      <c r="R108" s="14">
        <v>0.26</v>
      </c>
      <c r="S108" s="14" t="s">
        <v>1647</v>
      </c>
      <c r="T108" s="14">
        <v>4.0000000000000001E-3</v>
      </c>
      <c r="U108" s="14">
        <v>16.329999999999998</v>
      </c>
      <c r="V108" s="14">
        <v>0.23</v>
      </c>
      <c r="W108" s="14">
        <v>0.47</v>
      </c>
      <c r="X108" s="14" t="s">
        <v>1648</v>
      </c>
      <c r="Y108" s="14">
        <v>0.2</v>
      </c>
      <c r="Z108" s="14">
        <v>0.15</v>
      </c>
      <c r="AA108" s="14" t="s">
        <v>1649</v>
      </c>
      <c r="AB108" s="14">
        <v>0.67</v>
      </c>
      <c r="AC108" s="14" t="s">
        <v>140</v>
      </c>
      <c r="AD108" s="14" t="s">
        <v>385</v>
      </c>
    </row>
    <row r="109" spans="1:30" ht="14.25" hidden="1">
      <c r="A109" s="10" t="s">
        <v>52</v>
      </c>
      <c r="B109" s="10" t="s">
        <v>135</v>
      </c>
      <c r="C109" s="10" t="s">
        <v>74</v>
      </c>
      <c r="D109" s="10" t="s">
        <v>246</v>
      </c>
      <c r="E109" s="10"/>
      <c r="F109" s="10" t="s">
        <v>1650</v>
      </c>
      <c r="G109" s="10" t="s">
        <v>248</v>
      </c>
      <c r="H109" s="10" t="s">
        <v>1651</v>
      </c>
      <c r="I109" s="10" t="s">
        <v>133</v>
      </c>
      <c r="J109" s="10" t="s">
        <v>218</v>
      </c>
      <c r="K109" s="34">
        <v>193638</v>
      </c>
      <c r="L109" s="10">
        <v>17</v>
      </c>
      <c r="M109" s="10">
        <v>6915</v>
      </c>
      <c r="N109" s="34">
        <v>186723</v>
      </c>
      <c r="O109" s="62" t="s">
        <v>97</v>
      </c>
      <c r="P109" s="10" t="s">
        <v>98</v>
      </c>
      <c r="Q109" s="10" t="s">
        <v>79</v>
      </c>
      <c r="R109" s="10">
        <v>0.91700000000000004</v>
      </c>
      <c r="S109" s="10" t="s">
        <v>1652</v>
      </c>
      <c r="T109" s="10">
        <v>0.85799999999999998</v>
      </c>
      <c r="U109" s="10" t="s">
        <v>79</v>
      </c>
      <c r="V109" s="10">
        <v>0.41799999999999998</v>
      </c>
      <c r="W109" s="10">
        <v>1.4079999999999999</v>
      </c>
      <c r="X109" s="10" t="s">
        <v>1653</v>
      </c>
      <c r="Y109" s="10">
        <v>0.59899999999999998</v>
      </c>
      <c r="Z109" s="10">
        <v>6.0000000000000001E-3</v>
      </c>
      <c r="AA109" s="10" t="s">
        <v>1654</v>
      </c>
      <c r="AB109" s="10">
        <v>0.36199999999999999</v>
      </c>
      <c r="AC109" s="10" t="s">
        <v>140</v>
      </c>
      <c r="AD109" s="10" t="s">
        <v>145</v>
      </c>
    </row>
    <row r="110" spans="1:30" ht="14.25" hidden="1">
      <c r="A110" s="10" t="s">
        <v>52</v>
      </c>
      <c r="B110" s="10" t="s">
        <v>135</v>
      </c>
      <c r="C110" s="10" t="s">
        <v>74</v>
      </c>
      <c r="D110" s="10" t="s">
        <v>246</v>
      </c>
      <c r="E110" s="10"/>
      <c r="F110" s="10" t="s">
        <v>1655</v>
      </c>
      <c r="G110" s="10" t="s">
        <v>248</v>
      </c>
      <c r="H110" s="10" t="s">
        <v>1656</v>
      </c>
      <c r="I110" s="10" t="s">
        <v>133</v>
      </c>
      <c r="J110" s="10" t="s">
        <v>218</v>
      </c>
      <c r="K110" s="34">
        <v>198014</v>
      </c>
      <c r="L110" s="10">
        <v>17</v>
      </c>
      <c r="M110" s="10">
        <v>1028</v>
      </c>
      <c r="N110" s="34">
        <v>196986</v>
      </c>
      <c r="O110" s="62" t="s">
        <v>97</v>
      </c>
      <c r="P110" s="10" t="s">
        <v>98</v>
      </c>
      <c r="Q110" s="10" t="s">
        <v>79</v>
      </c>
      <c r="R110" s="10">
        <v>2.246</v>
      </c>
      <c r="S110" s="10" t="s">
        <v>1657</v>
      </c>
      <c r="T110" s="10">
        <v>0.57099999999999995</v>
      </c>
      <c r="U110" s="10" t="s">
        <v>79</v>
      </c>
      <c r="V110" s="10">
        <v>9.4E-2</v>
      </c>
      <c r="W110" s="10">
        <v>7.4169999999999998</v>
      </c>
      <c r="X110" s="10" t="s">
        <v>1658</v>
      </c>
      <c r="Y110" s="10">
        <v>0.26100000000000001</v>
      </c>
      <c r="Z110" s="10">
        <v>1.9E-2</v>
      </c>
      <c r="AA110" s="10" t="s">
        <v>1659</v>
      </c>
      <c r="AB110" s="10">
        <v>16.158000000000001</v>
      </c>
      <c r="AC110" s="10" t="s">
        <v>140</v>
      </c>
      <c r="AD110" s="10" t="s">
        <v>145</v>
      </c>
    </row>
    <row r="111" spans="1:30" ht="14.25" hidden="1">
      <c r="A111" s="10" t="s">
        <v>52</v>
      </c>
      <c r="B111" s="10" t="s">
        <v>135</v>
      </c>
      <c r="C111" s="10" t="s">
        <v>74</v>
      </c>
      <c r="D111" s="10" t="s">
        <v>246</v>
      </c>
      <c r="E111" s="10"/>
      <c r="F111" s="10" t="s">
        <v>170</v>
      </c>
      <c r="G111" s="10" t="s">
        <v>248</v>
      </c>
      <c r="H111" s="10" t="s">
        <v>628</v>
      </c>
      <c r="I111" s="10" t="s">
        <v>133</v>
      </c>
      <c r="J111" s="10" t="s">
        <v>218</v>
      </c>
      <c r="K111" s="34">
        <v>156078</v>
      </c>
      <c r="L111" s="10">
        <v>17</v>
      </c>
      <c r="M111" s="34">
        <v>20629</v>
      </c>
      <c r="N111" s="34">
        <v>135449</v>
      </c>
      <c r="O111" s="62" t="s">
        <v>97</v>
      </c>
      <c r="P111" s="10" t="s">
        <v>98</v>
      </c>
      <c r="Q111" s="10" t="s">
        <v>79</v>
      </c>
      <c r="R111" s="69">
        <v>1.23</v>
      </c>
      <c r="S111" s="10" t="s">
        <v>1660</v>
      </c>
      <c r="T111" s="10">
        <v>0.60699999999999998</v>
      </c>
      <c r="U111" s="10" t="s">
        <v>79</v>
      </c>
      <c r="V111" s="10">
        <v>2.1999999999999999E-2</v>
      </c>
      <c r="W111" s="10">
        <v>0.98599999999999999</v>
      </c>
      <c r="X111" s="10" t="s">
        <v>1661</v>
      </c>
      <c r="Y111" s="10">
        <v>0.97599999999999998</v>
      </c>
      <c r="Z111" s="10">
        <v>4.7359999999999998</v>
      </c>
      <c r="AA111" s="10" t="s">
        <v>1662</v>
      </c>
      <c r="AB111" s="10">
        <v>0.73699999999999999</v>
      </c>
      <c r="AC111" s="10" t="s">
        <v>140</v>
      </c>
      <c r="AD111" s="10" t="s">
        <v>145</v>
      </c>
    </row>
    <row r="112" spans="1:30" ht="14.25" hidden="1">
      <c r="A112" s="10" t="s">
        <v>52</v>
      </c>
      <c r="B112" s="10" t="s">
        <v>135</v>
      </c>
      <c r="C112" s="10" t="s">
        <v>74</v>
      </c>
      <c r="D112" s="10" t="s">
        <v>246</v>
      </c>
      <c r="E112" s="10"/>
      <c r="F112" s="10" t="s">
        <v>1663</v>
      </c>
      <c r="G112" s="10" t="s">
        <v>248</v>
      </c>
      <c r="H112" s="10" t="s">
        <v>1664</v>
      </c>
      <c r="I112" s="10" t="s">
        <v>133</v>
      </c>
      <c r="J112" s="10" t="s">
        <v>218</v>
      </c>
      <c r="K112" s="34">
        <v>217995</v>
      </c>
      <c r="L112" s="10">
        <v>17</v>
      </c>
      <c r="M112" s="34">
        <v>16761</v>
      </c>
      <c r="N112" s="10" t="s">
        <v>1665</v>
      </c>
      <c r="O112" s="62" t="s">
        <v>97</v>
      </c>
      <c r="P112" s="10" t="s">
        <v>98</v>
      </c>
      <c r="Q112" s="10" t="s">
        <v>79</v>
      </c>
      <c r="R112" s="10">
        <v>3.0720000000000001</v>
      </c>
      <c r="S112" s="10" t="s">
        <v>1668</v>
      </c>
      <c r="T112" s="10">
        <v>0.128</v>
      </c>
      <c r="U112" s="10" t="s">
        <v>79</v>
      </c>
      <c r="V112" s="10">
        <v>1E-3</v>
      </c>
      <c r="W112" s="10" t="s">
        <v>79</v>
      </c>
      <c r="X112" s="10" t="s">
        <v>1669</v>
      </c>
      <c r="Y112" s="10">
        <v>0.505</v>
      </c>
      <c r="Z112" s="10" t="s">
        <v>79</v>
      </c>
      <c r="AA112" s="10" t="s">
        <v>1670</v>
      </c>
      <c r="AB112" s="10">
        <v>0.95299999999999996</v>
      </c>
      <c r="AC112" s="10" t="s">
        <v>140</v>
      </c>
      <c r="AD112" s="10" t="s">
        <v>145</v>
      </c>
    </row>
    <row r="113" spans="1:30" ht="14.25" hidden="1">
      <c r="A113" s="10" t="s">
        <v>52</v>
      </c>
      <c r="B113" s="10" t="s">
        <v>135</v>
      </c>
      <c r="C113" s="10" t="s">
        <v>74</v>
      </c>
      <c r="D113" s="10" t="s">
        <v>1671</v>
      </c>
      <c r="E113" s="10"/>
      <c r="F113" s="10" t="s">
        <v>1650</v>
      </c>
      <c r="G113" s="10" t="s">
        <v>215</v>
      </c>
      <c r="H113" s="10" t="s">
        <v>1651</v>
      </c>
      <c r="I113" s="10" t="s">
        <v>133</v>
      </c>
      <c r="J113" s="10" t="s">
        <v>218</v>
      </c>
      <c r="K113" s="34">
        <v>193638</v>
      </c>
      <c r="L113" s="10">
        <v>19</v>
      </c>
      <c r="M113" s="10">
        <v>6915</v>
      </c>
      <c r="N113" s="34">
        <v>186723</v>
      </c>
      <c r="O113" s="62" t="s">
        <v>97</v>
      </c>
      <c r="P113" s="10" t="s">
        <v>98</v>
      </c>
      <c r="Q113" s="10" t="s">
        <v>79</v>
      </c>
      <c r="R113" s="10">
        <v>0.52400000000000002</v>
      </c>
      <c r="S113" s="10" t="s">
        <v>1672</v>
      </c>
      <c r="T113" s="10">
        <v>0.41799999999999998</v>
      </c>
      <c r="U113" s="10" t="s">
        <v>79</v>
      </c>
      <c r="V113" s="10">
        <v>1E-3</v>
      </c>
      <c r="W113" s="10">
        <v>0.33500000000000002</v>
      </c>
      <c r="X113" s="10" t="s">
        <v>1673</v>
      </c>
      <c r="Y113" s="10">
        <v>0.19600000000000001</v>
      </c>
      <c r="Z113" s="10">
        <v>17.597999999999999</v>
      </c>
      <c r="AA113" s="10" t="s">
        <v>1674</v>
      </c>
      <c r="AB113" s="10">
        <v>0.46200000000000002</v>
      </c>
      <c r="AC113" s="10" t="s">
        <v>140</v>
      </c>
      <c r="AD113" s="10" t="s">
        <v>145</v>
      </c>
    </row>
    <row r="114" spans="1:30" ht="14.25" hidden="1">
      <c r="A114" s="10" t="s">
        <v>52</v>
      </c>
      <c r="B114" s="10" t="s">
        <v>135</v>
      </c>
      <c r="C114" s="10" t="s">
        <v>74</v>
      </c>
      <c r="D114" s="10" t="s">
        <v>1671</v>
      </c>
      <c r="E114" s="10"/>
      <c r="F114" s="10" t="s">
        <v>1655</v>
      </c>
      <c r="G114" s="10" t="s">
        <v>215</v>
      </c>
      <c r="H114" s="10" t="s">
        <v>1656</v>
      </c>
      <c r="I114" s="10" t="s">
        <v>133</v>
      </c>
      <c r="J114" s="10" t="s">
        <v>218</v>
      </c>
      <c r="K114" s="34">
        <v>198014</v>
      </c>
      <c r="L114" s="10">
        <v>19</v>
      </c>
      <c r="M114" s="10">
        <v>1028</v>
      </c>
      <c r="N114" s="34">
        <v>196986</v>
      </c>
      <c r="O114" s="62" t="s">
        <v>97</v>
      </c>
      <c r="P114" s="10" t="s">
        <v>98</v>
      </c>
      <c r="Q114" s="10" t="s">
        <v>79</v>
      </c>
      <c r="R114" s="69">
        <v>1.28</v>
      </c>
      <c r="S114" s="10" t="s">
        <v>1677</v>
      </c>
      <c r="T114" s="10">
        <v>0.84899999999999998</v>
      </c>
      <c r="U114" s="10" t="s">
        <v>79</v>
      </c>
      <c r="V114" s="10">
        <v>4.2999999999999997E-2</v>
      </c>
      <c r="W114" s="10">
        <v>0.45700000000000002</v>
      </c>
      <c r="X114" s="10" t="s">
        <v>1678</v>
      </c>
      <c r="Y114" s="69">
        <v>0.68</v>
      </c>
      <c r="Z114" s="37">
        <v>3.8599999999999999E-7</v>
      </c>
      <c r="AA114" s="10" t="s">
        <v>1679</v>
      </c>
      <c r="AB114" s="10">
        <v>2.8000000000000001E-2</v>
      </c>
      <c r="AC114" s="10" t="s">
        <v>140</v>
      </c>
      <c r="AD114" s="10" t="s">
        <v>145</v>
      </c>
    </row>
    <row r="115" spans="1:30" ht="14.25">
      <c r="A115" s="49" t="s">
        <v>52</v>
      </c>
      <c r="B115" s="49" t="s">
        <v>139</v>
      </c>
      <c r="C115" s="49" t="s">
        <v>74</v>
      </c>
      <c r="D115" s="49" t="s">
        <v>622</v>
      </c>
      <c r="E115" s="49">
        <v>2</v>
      </c>
      <c r="F115" s="49" t="s">
        <v>411</v>
      </c>
      <c r="G115" s="49" t="s">
        <v>215</v>
      </c>
      <c r="H115" s="49" t="s">
        <v>1681</v>
      </c>
      <c r="I115" s="49" t="s">
        <v>133</v>
      </c>
      <c r="J115" s="49" t="s">
        <v>218</v>
      </c>
      <c r="K115" s="50">
        <v>218754</v>
      </c>
      <c r="L115" s="49">
        <v>18</v>
      </c>
      <c r="M115" s="50">
        <v>55917</v>
      </c>
      <c r="N115" s="50">
        <v>162837</v>
      </c>
      <c r="O115" s="49" t="s">
        <v>97</v>
      </c>
      <c r="P115" s="49" t="s">
        <v>98</v>
      </c>
      <c r="Q115" s="49">
        <v>17.571000000000002</v>
      </c>
      <c r="R115" s="49">
        <v>0.79500000000000004</v>
      </c>
      <c r="S115" s="49" t="s">
        <v>1684</v>
      </c>
      <c r="T115" s="49">
        <v>0.42599999999999999</v>
      </c>
      <c r="U115" s="51">
        <v>19.71</v>
      </c>
      <c r="V115" s="49">
        <v>0.28899999999999998</v>
      </c>
      <c r="W115" s="49">
        <v>0.95099999999999996</v>
      </c>
      <c r="X115" s="49" t="s">
        <v>1686</v>
      </c>
      <c r="Y115" s="49">
        <v>0.89700000000000002</v>
      </c>
      <c r="Z115" s="49">
        <v>2.2160000000000002</v>
      </c>
      <c r="AA115" s="49" t="s">
        <v>1687</v>
      </c>
      <c r="AB115" s="49">
        <v>0.56100000000000005</v>
      </c>
      <c r="AC115" s="49" t="s">
        <v>140</v>
      </c>
      <c r="AD115" s="49" t="s">
        <v>1689</v>
      </c>
    </row>
    <row r="116" spans="1:30" ht="14.25" hidden="1">
      <c r="A116" s="10" t="s">
        <v>52</v>
      </c>
      <c r="B116" s="10" t="s">
        <v>135</v>
      </c>
      <c r="C116" s="10" t="s">
        <v>74</v>
      </c>
      <c r="D116" s="10" t="s">
        <v>1671</v>
      </c>
      <c r="E116" s="10"/>
      <c r="F116" s="10" t="s">
        <v>1663</v>
      </c>
      <c r="G116" s="10" t="s">
        <v>215</v>
      </c>
      <c r="H116" s="10" t="s">
        <v>1664</v>
      </c>
      <c r="I116" s="10" t="s">
        <v>133</v>
      </c>
      <c r="J116" s="10" t="s">
        <v>218</v>
      </c>
      <c r="K116" s="34">
        <v>217995</v>
      </c>
      <c r="L116" s="10">
        <v>19</v>
      </c>
      <c r="M116" s="34">
        <v>16761</v>
      </c>
      <c r="N116" s="10" t="s">
        <v>1665</v>
      </c>
      <c r="O116" s="62" t="s">
        <v>97</v>
      </c>
      <c r="P116" s="10" t="s">
        <v>98</v>
      </c>
      <c r="Q116" s="10" t="s">
        <v>79</v>
      </c>
      <c r="R116" s="10">
        <v>0.61899999999999999</v>
      </c>
      <c r="S116" s="10" t="s">
        <v>1690</v>
      </c>
      <c r="T116" s="10">
        <v>0.26200000000000001</v>
      </c>
      <c r="U116" s="10" t="s">
        <v>79</v>
      </c>
      <c r="V116" s="10">
        <v>0.08</v>
      </c>
      <c r="W116" s="10">
        <v>0.50700000000000001</v>
      </c>
      <c r="X116" s="10" t="s">
        <v>1691</v>
      </c>
      <c r="Y116" s="10">
        <v>0.19900000000000001</v>
      </c>
      <c r="Z116" s="10">
        <v>3.0230000000000001</v>
      </c>
      <c r="AA116" s="10" t="s">
        <v>1692</v>
      </c>
      <c r="AB116" s="10">
        <v>0.59799999999999998</v>
      </c>
      <c r="AC116" s="10" t="s">
        <v>140</v>
      </c>
      <c r="AD116" s="10" t="s">
        <v>145</v>
      </c>
    </row>
    <row r="117" spans="1:30" ht="14.25">
      <c r="A117" s="14" t="s">
        <v>70</v>
      </c>
      <c r="B117" s="14" t="s">
        <v>211</v>
      </c>
      <c r="C117" s="14" t="s">
        <v>74</v>
      </c>
      <c r="D117" s="14" t="s">
        <v>622</v>
      </c>
      <c r="E117" s="14">
        <v>2</v>
      </c>
      <c r="F117" s="14" t="s">
        <v>411</v>
      </c>
      <c r="G117" s="14" t="s">
        <v>215</v>
      </c>
      <c r="H117" s="14" t="s">
        <v>1693</v>
      </c>
      <c r="I117" s="14" t="s">
        <v>133</v>
      </c>
      <c r="J117" s="14" t="s">
        <v>218</v>
      </c>
      <c r="K117" s="19">
        <v>361088</v>
      </c>
      <c r="L117" s="14">
        <v>22</v>
      </c>
      <c r="M117" s="19">
        <v>95462</v>
      </c>
      <c r="N117" s="19">
        <v>265626</v>
      </c>
      <c r="O117" s="14" t="s">
        <v>79</v>
      </c>
      <c r="P117" s="14" t="s">
        <v>98</v>
      </c>
      <c r="Q117" s="14" t="s">
        <v>79</v>
      </c>
      <c r="R117" s="14">
        <v>0.57999999999999996</v>
      </c>
      <c r="S117" s="14" t="s">
        <v>1694</v>
      </c>
      <c r="T117" s="14">
        <v>1.4999999999999999E-2</v>
      </c>
      <c r="U117" s="14">
        <v>24.88</v>
      </c>
      <c r="V117" s="14">
        <v>9.7500000000000003E-2</v>
      </c>
      <c r="W117" s="14">
        <v>0.74</v>
      </c>
      <c r="X117" s="14" t="s">
        <v>1695</v>
      </c>
      <c r="Y117" s="14">
        <v>0.78800000000000003</v>
      </c>
      <c r="Z117" s="14">
        <v>0.78</v>
      </c>
      <c r="AA117" s="14" t="s">
        <v>1696</v>
      </c>
      <c r="AB117" s="14">
        <v>0.375</v>
      </c>
      <c r="AC117" s="14" t="s">
        <v>140</v>
      </c>
      <c r="AD117" s="14" t="s">
        <v>1689</v>
      </c>
    </row>
    <row r="118" spans="1:30" ht="14.25" hidden="1">
      <c r="A118" s="10" t="s">
        <v>52</v>
      </c>
      <c r="B118" s="10" t="s">
        <v>135</v>
      </c>
      <c r="C118" s="10" t="s">
        <v>74</v>
      </c>
      <c r="D118" s="10" t="s">
        <v>164</v>
      </c>
      <c r="E118" s="10"/>
      <c r="F118" s="10" t="s">
        <v>1655</v>
      </c>
      <c r="G118" s="10" t="s">
        <v>165</v>
      </c>
      <c r="H118" s="10" t="s">
        <v>1656</v>
      </c>
      <c r="I118" s="10" t="s">
        <v>133</v>
      </c>
      <c r="J118" s="10" t="s">
        <v>218</v>
      </c>
      <c r="K118" s="34">
        <v>198014</v>
      </c>
      <c r="L118" s="10">
        <v>41</v>
      </c>
      <c r="M118" s="10">
        <v>1028</v>
      </c>
      <c r="N118" s="34">
        <v>196986</v>
      </c>
      <c r="O118" s="62" t="s">
        <v>97</v>
      </c>
      <c r="P118" s="10" t="s">
        <v>98</v>
      </c>
      <c r="Q118" s="10" t="s">
        <v>79</v>
      </c>
      <c r="R118" s="10">
        <v>1.359</v>
      </c>
      <c r="S118" s="10" t="s">
        <v>1699</v>
      </c>
      <c r="T118" s="10">
        <v>0.66700000000000004</v>
      </c>
      <c r="U118" s="10" t="s">
        <v>79</v>
      </c>
      <c r="V118" s="10">
        <v>0.16700000000000001</v>
      </c>
      <c r="W118" s="10">
        <v>1.1539999999999999</v>
      </c>
      <c r="X118" s="10" t="s">
        <v>1700</v>
      </c>
      <c r="Y118" s="10">
        <v>0.879</v>
      </c>
      <c r="Z118" s="10" t="s">
        <v>79</v>
      </c>
      <c r="AA118" s="10" t="s">
        <v>1701</v>
      </c>
      <c r="AB118" s="10">
        <v>0.11600000000000001</v>
      </c>
      <c r="AC118" s="10" t="s">
        <v>140</v>
      </c>
      <c r="AD118" s="10" t="s">
        <v>145</v>
      </c>
    </row>
    <row r="119" spans="1:30" ht="14.25">
      <c r="A119" s="10" t="s">
        <v>52</v>
      </c>
      <c r="B119" s="10" t="s">
        <v>126</v>
      </c>
      <c r="C119" s="10" t="s">
        <v>74</v>
      </c>
      <c r="D119" s="33" t="s">
        <v>164</v>
      </c>
      <c r="E119" s="33" t="s">
        <v>1705</v>
      </c>
      <c r="F119" s="33" t="s">
        <v>1626</v>
      </c>
      <c r="G119" s="33" t="s">
        <v>165</v>
      </c>
      <c r="H119" s="10" t="s">
        <v>1680</v>
      </c>
      <c r="I119" s="10" t="s">
        <v>133</v>
      </c>
      <c r="J119" s="10" t="s">
        <v>218</v>
      </c>
      <c r="K119" s="10">
        <v>177860</v>
      </c>
      <c r="L119" s="10">
        <v>41</v>
      </c>
      <c r="M119" s="10">
        <v>13178</v>
      </c>
      <c r="N119" s="33">
        <v>164682</v>
      </c>
      <c r="O119" s="62" t="s">
        <v>97</v>
      </c>
      <c r="P119" s="10" t="s">
        <v>98</v>
      </c>
      <c r="Q119" s="10" t="s">
        <v>79</v>
      </c>
      <c r="R119" s="10">
        <v>0.435</v>
      </c>
      <c r="S119" s="10" t="s">
        <v>1682</v>
      </c>
      <c r="T119" s="10" t="s">
        <v>1683</v>
      </c>
      <c r="U119" s="10">
        <v>48.801000000000002</v>
      </c>
      <c r="V119" s="10">
        <v>0.16</v>
      </c>
      <c r="W119" s="10">
        <v>0.56100000000000005</v>
      </c>
      <c r="X119" s="10" t="s">
        <v>1685</v>
      </c>
      <c r="Y119" s="10">
        <v>3.7999999999999999E-2</v>
      </c>
      <c r="Z119" s="10">
        <v>7.8E-2</v>
      </c>
      <c r="AA119" s="10" t="s">
        <v>1688</v>
      </c>
      <c r="AB119" s="10">
        <v>8.9999999999999993E-3</v>
      </c>
      <c r="AC119" s="10" t="s">
        <v>109</v>
      </c>
      <c r="AD119" s="10" t="s">
        <v>145</v>
      </c>
    </row>
    <row r="120" spans="1:30" ht="14.25" hidden="1">
      <c r="A120" s="10" t="s">
        <v>52</v>
      </c>
      <c r="B120" s="10" t="s">
        <v>135</v>
      </c>
      <c r="C120" s="10" t="s">
        <v>74</v>
      </c>
      <c r="D120" s="10" t="s">
        <v>164</v>
      </c>
      <c r="E120" s="10"/>
      <c r="F120" s="10" t="s">
        <v>1663</v>
      </c>
      <c r="G120" s="10" t="s">
        <v>165</v>
      </c>
      <c r="H120" s="10" t="s">
        <v>1664</v>
      </c>
      <c r="I120" s="10" t="s">
        <v>133</v>
      </c>
      <c r="J120" s="10" t="s">
        <v>218</v>
      </c>
      <c r="K120" s="34">
        <v>217995</v>
      </c>
      <c r="L120" s="10">
        <v>41</v>
      </c>
      <c r="M120" s="34">
        <v>16761</v>
      </c>
      <c r="N120" s="10" t="s">
        <v>1665</v>
      </c>
      <c r="O120" s="62" t="s">
        <v>97</v>
      </c>
      <c r="P120" s="10" t="s">
        <v>98</v>
      </c>
      <c r="Q120" s="10" t="s">
        <v>79</v>
      </c>
      <c r="R120" s="10">
        <v>0.64100000000000001</v>
      </c>
      <c r="S120" s="10" t="s">
        <v>1706</v>
      </c>
      <c r="T120" s="10">
        <v>0.05</v>
      </c>
      <c r="U120" s="10" t="s">
        <v>79</v>
      </c>
      <c r="V120" s="10">
        <v>5.0000000000000001E-3</v>
      </c>
      <c r="W120" s="10">
        <v>0.63400000000000001</v>
      </c>
      <c r="X120" s="10" t="s">
        <v>1707</v>
      </c>
      <c r="Y120" s="10">
        <v>9.7000000000000003E-2</v>
      </c>
      <c r="Z120" s="10">
        <v>9.1999999999999998E-2</v>
      </c>
      <c r="AA120" s="10" t="s">
        <v>1708</v>
      </c>
      <c r="AB120" s="69">
        <v>0.02</v>
      </c>
      <c r="AC120" s="10" t="s">
        <v>140</v>
      </c>
      <c r="AD120" s="10" t="s">
        <v>145</v>
      </c>
    </row>
    <row r="121" spans="1:30" ht="14.25" hidden="1">
      <c r="A121" s="10" t="s">
        <v>52</v>
      </c>
      <c r="B121" s="10" t="s">
        <v>135</v>
      </c>
      <c r="C121" s="10" t="s">
        <v>74</v>
      </c>
      <c r="D121" s="10" t="s">
        <v>75</v>
      </c>
      <c r="E121" s="10"/>
      <c r="F121" s="10" t="s">
        <v>1650</v>
      </c>
      <c r="G121" s="10" t="s">
        <v>113</v>
      </c>
      <c r="H121" s="10" t="s">
        <v>1651</v>
      </c>
      <c r="I121" s="10" t="s">
        <v>133</v>
      </c>
      <c r="J121" s="10" t="s">
        <v>218</v>
      </c>
      <c r="K121" s="34">
        <v>193638</v>
      </c>
      <c r="L121" s="10">
        <v>53</v>
      </c>
      <c r="M121" s="10">
        <v>6915</v>
      </c>
      <c r="N121" s="34">
        <v>186723</v>
      </c>
      <c r="O121" s="62" t="s">
        <v>97</v>
      </c>
      <c r="P121" s="10" t="s">
        <v>98</v>
      </c>
      <c r="Q121" s="10" t="s">
        <v>79</v>
      </c>
      <c r="R121" s="10">
        <v>0.48399999999999999</v>
      </c>
      <c r="S121" s="10" t="s">
        <v>1709</v>
      </c>
      <c r="T121" s="10">
        <v>0.10299999999999999</v>
      </c>
      <c r="U121" s="10" t="s">
        <v>79</v>
      </c>
      <c r="V121" s="37">
        <v>1.9150000000000001E-5</v>
      </c>
      <c r="W121" s="10">
        <v>0.58599999999999997</v>
      </c>
      <c r="X121" s="10" t="s">
        <v>1710</v>
      </c>
      <c r="Y121" s="10">
        <v>0.27800000000000002</v>
      </c>
      <c r="Z121" s="10">
        <v>0.97199999999999998</v>
      </c>
      <c r="AA121" s="10" t="s">
        <v>1711</v>
      </c>
      <c r="AB121" s="10">
        <v>0.98499999999999999</v>
      </c>
      <c r="AC121" s="10" t="s">
        <v>140</v>
      </c>
      <c r="AD121" s="10" t="s">
        <v>145</v>
      </c>
    </row>
    <row r="122" spans="1:30" ht="14.25" hidden="1">
      <c r="A122" s="10" t="s">
        <v>52</v>
      </c>
      <c r="B122" s="10" t="s">
        <v>135</v>
      </c>
      <c r="C122" s="10" t="s">
        <v>74</v>
      </c>
      <c r="D122" s="10" t="s">
        <v>75</v>
      </c>
      <c r="E122" s="10"/>
      <c r="F122" s="10" t="s">
        <v>1655</v>
      </c>
      <c r="G122" s="10" t="s">
        <v>113</v>
      </c>
      <c r="H122" s="10" t="s">
        <v>1656</v>
      </c>
      <c r="I122" s="10" t="s">
        <v>133</v>
      </c>
      <c r="J122" s="10" t="s">
        <v>218</v>
      </c>
      <c r="K122" s="34">
        <v>198014</v>
      </c>
      <c r="L122" s="10">
        <v>53</v>
      </c>
      <c r="M122" s="10">
        <v>1028</v>
      </c>
      <c r="N122" s="34">
        <v>196986</v>
      </c>
      <c r="O122" s="62" t="s">
        <v>97</v>
      </c>
      <c r="P122" s="10" t="s">
        <v>98</v>
      </c>
      <c r="Q122" s="10" t="s">
        <v>79</v>
      </c>
      <c r="R122" s="10">
        <v>1.7729999999999999</v>
      </c>
      <c r="S122" s="10" t="s">
        <v>1712</v>
      </c>
      <c r="T122" s="10">
        <v>0.45500000000000002</v>
      </c>
      <c r="U122" s="10" t="s">
        <v>79</v>
      </c>
      <c r="V122" s="10">
        <v>0.66800000000000004</v>
      </c>
      <c r="W122" s="10">
        <v>6.2309999999999999</v>
      </c>
      <c r="X122" s="10" t="s">
        <v>1713</v>
      </c>
      <c r="Y122" s="10">
        <v>0.113</v>
      </c>
      <c r="Z122" s="10">
        <v>3.0649999999999999</v>
      </c>
      <c r="AA122" s="10" t="s">
        <v>1714</v>
      </c>
      <c r="AB122" s="10">
        <v>0.67100000000000004</v>
      </c>
      <c r="AC122" s="10" t="s">
        <v>140</v>
      </c>
      <c r="AD122" s="10" t="s">
        <v>145</v>
      </c>
    </row>
    <row r="123" spans="1:30" ht="14.25" hidden="1">
      <c r="A123" s="10" t="s">
        <v>52</v>
      </c>
      <c r="B123" s="10" t="s">
        <v>135</v>
      </c>
      <c r="C123" s="10" t="s">
        <v>74</v>
      </c>
      <c r="D123" s="10" t="s">
        <v>75</v>
      </c>
      <c r="E123" s="10"/>
      <c r="F123" s="10" t="s">
        <v>170</v>
      </c>
      <c r="G123" s="10" t="s">
        <v>113</v>
      </c>
      <c r="H123" s="10" t="s">
        <v>628</v>
      </c>
      <c r="I123" s="10" t="s">
        <v>133</v>
      </c>
      <c r="J123" s="10" t="s">
        <v>218</v>
      </c>
      <c r="K123" s="34">
        <v>156078</v>
      </c>
      <c r="L123" s="10">
        <v>53</v>
      </c>
      <c r="M123" s="34">
        <v>20629</v>
      </c>
      <c r="N123" s="34">
        <v>135449</v>
      </c>
      <c r="O123" s="62" t="s">
        <v>97</v>
      </c>
      <c r="P123" s="10" t="s">
        <v>98</v>
      </c>
      <c r="Q123" s="10" t="s">
        <v>79</v>
      </c>
      <c r="R123" s="10">
        <v>0.496</v>
      </c>
      <c r="S123" s="10" t="s">
        <v>1073</v>
      </c>
      <c r="T123" s="10">
        <v>0.21299999999999999</v>
      </c>
      <c r="U123" s="10" t="s">
        <v>79</v>
      </c>
      <c r="V123" s="10">
        <v>0.155</v>
      </c>
      <c r="W123" s="10">
        <v>0.46300000000000002</v>
      </c>
      <c r="X123" s="10" t="s">
        <v>1074</v>
      </c>
      <c r="Y123" s="10">
        <v>1.4999999999999999E-2</v>
      </c>
      <c r="Z123" s="10">
        <v>0.93700000000000006</v>
      </c>
      <c r="AA123" s="10" t="s">
        <v>1075</v>
      </c>
      <c r="AB123" s="69">
        <v>0.93</v>
      </c>
      <c r="AC123" s="10" t="s">
        <v>140</v>
      </c>
      <c r="AD123" s="10" t="s">
        <v>145</v>
      </c>
    </row>
    <row r="124" spans="1:30" ht="14.25" hidden="1">
      <c r="A124" s="10" t="s">
        <v>52</v>
      </c>
      <c r="B124" s="10" t="s">
        <v>135</v>
      </c>
      <c r="C124" s="10" t="s">
        <v>74</v>
      </c>
      <c r="D124" s="10" t="s">
        <v>75</v>
      </c>
      <c r="E124" s="10"/>
      <c r="F124" s="10" t="s">
        <v>1663</v>
      </c>
      <c r="G124" s="10" t="s">
        <v>113</v>
      </c>
      <c r="H124" s="10" t="s">
        <v>1664</v>
      </c>
      <c r="I124" s="10" t="s">
        <v>133</v>
      </c>
      <c r="J124" s="10" t="s">
        <v>218</v>
      </c>
      <c r="K124" s="34">
        <v>217995</v>
      </c>
      <c r="L124" s="10">
        <v>53</v>
      </c>
      <c r="M124" s="34">
        <v>16761</v>
      </c>
      <c r="N124" s="10" t="s">
        <v>1665</v>
      </c>
      <c r="O124" s="62" t="s">
        <v>97</v>
      </c>
      <c r="P124" s="10" t="s">
        <v>98</v>
      </c>
      <c r="Q124" s="10" t="s">
        <v>79</v>
      </c>
      <c r="R124" s="10">
        <v>1.1359999999999999</v>
      </c>
      <c r="S124" s="10" t="s">
        <v>1715</v>
      </c>
      <c r="T124" s="10">
        <v>0.68600000000000005</v>
      </c>
      <c r="U124" s="10" t="s">
        <v>79</v>
      </c>
      <c r="V124" s="10">
        <v>1E-3</v>
      </c>
      <c r="W124" s="10">
        <v>1.1830000000000001</v>
      </c>
      <c r="X124" s="10" t="s">
        <v>1716</v>
      </c>
      <c r="Y124" s="10">
        <v>0.621</v>
      </c>
      <c r="Z124" s="10">
        <v>1.7350000000000001</v>
      </c>
      <c r="AA124" s="10" t="s">
        <v>1717</v>
      </c>
      <c r="AB124" s="10">
        <v>0.61499999999999999</v>
      </c>
      <c r="AC124" s="10" t="s">
        <v>140</v>
      </c>
      <c r="AD124" s="10" t="s">
        <v>145</v>
      </c>
    </row>
    <row r="125" spans="1:30" ht="14.25" hidden="1">
      <c r="A125" s="14" t="s">
        <v>52</v>
      </c>
      <c r="B125" s="14" t="s">
        <v>139</v>
      </c>
      <c r="C125" s="14" t="s">
        <v>74</v>
      </c>
      <c r="D125" s="14" t="s">
        <v>246</v>
      </c>
      <c r="E125" s="14"/>
      <c r="F125" s="14" t="s">
        <v>411</v>
      </c>
      <c r="G125" s="14" t="s">
        <v>248</v>
      </c>
      <c r="H125" s="14" t="s">
        <v>1681</v>
      </c>
      <c r="I125" s="14" t="s">
        <v>133</v>
      </c>
      <c r="J125" s="14" t="s">
        <v>218</v>
      </c>
      <c r="K125" s="19">
        <v>218754</v>
      </c>
      <c r="L125" s="112">
        <v>17</v>
      </c>
      <c r="M125" s="19">
        <v>55917</v>
      </c>
      <c r="N125" s="19">
        <v>162837</v>
      </c>
      <c r="O125" s="62" t="s">
        <v>97</v>
      </c>
      <c r="P125" s="14" t="s">
        <v>98</v>
      </c>
      <c r="Q125" s="14">
        <v>20.678999999999998</v>
      </c>
      <c r="R125" s="113">
        <v>1.48</v>
      </c>
      <c r="S125" s="14" t="s">
        <v>1722</v>
      </c>
      <c r="T125" s="14">
        <v>0.38100000000000001</v>
      </c>
      <c r="U125" s="14">
        <v>58.323999999999998</v>
      </c>
      <c r="V125" s="14" t="s">
        <v>1723</v>
      </c>
      <c r="W125" s="14">
        <v>1.3720000000000001</v>
      </c>
      <c r="X125" s="14" t="s">
        <v>1724</v>
      </c>
      <c r="Y125" s="14">
        <v>0.35399999999999998</v>
      </c>
      <c r="Z125" s="14">
        <v>2.1589999999999998</v>
      </c>
      <c r="AA125" s="14" t="s">
        <v>1725</v>
      </c>
      <c r="AB125" s="14">
        <v>0.88100000000000001</v>
      </c>
      <c r="AC125" s="14" t="s">
        <v>140</v>
      </c>
      <c r="AD125" s="14" t="s">
        <v>1689</v>
      </c>
    </row>
    <row r="126" spans="1:30" ht="14.25">
      <c r="A126" s="53" t="s">
        <v>1585</v>
      </c>
      <c r="B126" s="53" t="s">
        <v>156</v>
      </c>
      <c r="C126" s="53" t="s">
        <v>74</v>
      </c>
      <c r="D126" s="53" t="s">
        <v>164</v>
      </c>
      <c r="E126" s="53" t="s">
        <v>1705</v>
      </c>
      <c r="F126" s="53" t="s">
        <v>477</v>
      </c>
      <c r="G126" s="53" t="s">
        <v>165</v>
      </c>
      <c r="H126" s="53" t="s">
        <v>1680</v>
      </c>
      <c r="I126" s="49" t="s">
        <v>133</v>
      </c>
      <c r="J126" s="53" t="s">
        <v>218</v>
      </c>
      <c r="K126" s="53">
        <v>177860</v>
      </c>
      <c r="L126" s="53">
        <v>41</v>
      </c>
      <c r="M126" s="53">
        <v>13178</v>
      </c>
      <c r="N126" s="53">
        <v>164682</v>
      </c>
      <c r="O126" s="53" t="s">
        <v>97</v>
      </c>
      <c r="P126" s="53" t="s">
        <v>98</v>
      </c>
      <c r="Q126" s="53" t="s">
        <v>79</v>
      </c>
      <c r="R126" s="53">
        <v>0.43</v>
      </c>
      <c r="S126" s="53" t="s">
        <v>1726</v>
      </c>
      <c r="T126" s="49">
        <v>8.0000000000000007E-5</v>
      </c>
      <c r="U126" s="53">
        <v>48.75</v>
      </c>
      <c r="V126" s="53">
        <v>0.16</v>
      </c>
      <c r="W126" s="53" t="s">
        <v>934</v>
      </c>
      <c r="X126" s="53" t="s">
        <v>1727</v>
      </c>
      <c r="Y126" s="53" t="s">
        <v>1728</v>
      </c>
      <c r="Z126" s="53" t="s">
        <v>1729</v>
      </c>
      <c r="AA126" s="53" t="s">
        <v>1730</v>
      </c>
      <c r="AB126" s="53" t="s">
        <v>1731</v>
      </c>
      <c r="AC126" s="53" t="s">
        <v>109</v>
      </c>
      <c r="AD126" s="53" t="s">
        <v>155</v>
      </c>
    </row>
    <row r="127" spans="1:30" ht="14.25">
      <c r="A127" s="49" t="s">
        <v>52</v>
      </c>
      <c r="B127" s="49" t="s">
        <v>135</v>
      </c>
      <c r="C127" s="49" t="s">
        <v>74</v>
      </c>
      <c r="D127" s="49" t="s">
        <v>164</v>
      </c>
      <c r="E127" s="49" t="s">
        <v>1732</v>
      </c>
      <c r="F127" s="49" t="s">
        <v>170</v>
      </c>
      <c r="G127" s="49" t="s">
        <v>165</v>
      </c>
      <c r="H127" s="49" t="s">
        <v>628</v>
      </c>
      <c r="I127" s="49" t="s">
        <v>133</v>
      </c>
      <c r="J127" s="49" t="s">
        <v>218</v>
      </c>
      <c r="K127" s="50">
        <v>156078</v>
      </c>
      <c r="L127" s="49">
        <v>41</v>
      </c>
      <c r="M127" s="50">
        <v>20629</v>
      </c>
      <c r="N127" s="50">
        <v>135449</v>
      </c>
      <c r="O127" s="49" t="s">
        <v>97</v>
      </c>
      <c r="P127" s="49" t="s">
        <v>98</v>
      </c>
      <c r="Q127" s="49" t="s">
        <v>79</v>
      </c>
      <c r="R127" s="49">
        <v>0.53900000000000003</v>
      </c>
      <c r="S127" s="49" t="s">
        <v>1733</v>
      </c>
      <c r="T127" s="49">
        <v>3.0000000000000001E-3</v>
      </c>
      <c r="U127" s="49" t="s">
        <v>79</v>
      </c>
      <c r="V127" s="49">
        <v>8.0000000000000002E-3</v>
      </c>
      <c r="W127" s="49">
        <v>0.48899999999999999</v>
      </c>
      <c r="X127" s="49" t="s">
        <v>1734</v>
      </c>
      <c r="Y127" s="49">
        <v>4.0000000000000001E-3</v>
      </c>
      <c r="Z127" s="49">
        <v>0.193</v>
      </c>
      <c r="AA127" s="49" t="s">
        <v>1735</v>
      </c>
      <c r="AB127" s="49">
        <v>8.8999999999999996E-2</v>
      </c>
      <c r="AC127" s="49" t="s">
        <v>140</v>
      </c>
      <c r="AD127" s="49" t="s">
        <v>145</v>
      </c>
    </row>
    <row r="128" spans="1:30" ht="14.25" hidden="1">
      <c r="A128" s="14" t="s">
        <v>52</v>
      </c>
      <c r="B128" s="14" t="s">
        <v>139</v>
      </c>
      <c r="C128" s="14" t="s">
        <v>74</v>
      </c>
      <c r="D128" s="14" t="s">
        <v>75</v>
      </c>
      <c r="E128" s="14"/>
      <c r="F128" s="14" t="s">
        <v>411</v>
      </c>
      <c r="G128" s="14" t="s">
        <v>113</v>
      </c>
      <c r="H128" s="14" t="s">
        <v>1681</v>
      </c>
      <c r="I128" s="14" t="s">
        <v>133</v>
      </c>
      <c r="J128" s="14" t="s">
        <v>218</v>
      </c>
      <c r="K128" s="19">
        <v>218754</v>
      </c>
      <c r="L128" s="14">
        <v>52</v>
      </c>
      <c r="M128" s="19">
        <v>55917</v>
      </c>
      <c r="N128" s="19">
        <v>162837</v>
      </c>
      <c r="O128" s="62" t="s">
        <v>97</v>
      </c>
      <c r="P128" s="14" t="s">
        <v>98</v>
      </c>
      <c r="Q128" s="14">
        <v>15.715999999999999</v>
      </c>
      <c r="R128" s="14">
        <v>0.97199999999999998</v>
      </c>
      <c r="S128" s="14" t="s">
        <v>1736</v>
      </c>
      <c r="T128" s="14">
        <v>0.89600000000000002</v>
      </c>
      <c r="U128" s="14">
        <v>103.747</v>
      </c>
      <c r="V128" s="14" t="s">
        <v>1723</v>
      </c>
      <c r="W128" s="14">
        <v>1.147</v>
      </c>
      <c r="X128" s="14" t="s">
        <v>1737</v>
      </c>
      <c r="Y128" s="14">
        <v>0.59299999999999997</v>
      </c>
      <c r="Z128" s="14">
        <v>3.0750000000000002</v>
      </c>
      <c r="AA128" s="14" t="s">
        <v>1738</v>
      </c>
      <c r="AB128" s="14">
        <v>0.13500000000000001</v>
      </c>
      <c r="AC128" s="14" t="s">
        <v>140</v>
      </c>
      <c r="AD128" s="14" t="s">
        <v>1689</v>
      </c>
    </row>
    <row r="129" spans="1:30" ht="14.25" hidden="1">
      <c r="A129" s="38" t="s">
        <v>52</v>
      </c>
      <c r="B129" s="38" t="s">
        <v>142</v>
      </c>
      <c r="C129" s="38" t="s">
        <v>74</v>
      </c>
      <c r="D129" s="38" t="s">
        <v>246</v>
      </c>
      <c r="E129" s="38"/>
      <c r="F129" s="38" t="s">
        <v>1206</v>
      </c>
      <c r="G129" s="38" t="s">
        <v>248</v>
      </c>
      <c r="H129" s="38" t="s">
        <v>1208</v>
      </c>
      <c r="I129" s="38" t="s">
        <v>133</v>
      </c>
      <c r="J129" s="38" t="s">
        <v>1209</v>
      </c>
      <c r="K129" s="38" t="s">
        <v>1210</v>
      </c>
      <c r="L129" s="38">
        <v>13</v>
      </c>
      <c r="M129" s="78">
        <v>18382</v>
      </c>
      <c r="N129" s="78">
        <v>27969</v>
      </c>
      <c r="O129" s="38" t="s">
        <v>97</v>
      </c>
      <c r="P129" s="38" t="s">
        <v>98</v>
      </c>
      <c r="Q129" s="38" t="s">
        <v>79</v>
      </c>
      <c r="R129" s="38">
        <v>1.1559999999999999</v>
      </c>
      <c r="S129" s="38" t="s">
        <v>1739</v>
      </c>
      <c r="T129" s="38">
        <v>0.79300000000000004</v>
      </c>
      <c r="U129" s="38" t="s">
        <v>79</v>
      </c>
      <c r="V129" s="38" t="s">
        <v>1220</v>
      </c>
      <c r="W129" s="38">
        <v>0.91</v>
      </c>
      <c r="X129" s="38" t="s">
        <v>1740</v>
      </c>
      <c r="Y129" s="38">
        <v>0.86599999999999999</v>
      </c>
      <c r="Z129" s="38">
        <v>2.508</v>
      </c>
      <c r="AA129" s="38" t="s">
        <v>1741</v>
      </c>
      <c r="AB129" s="38">
        <v>0.89200000000000002</v>
      </c>
      <c r="AC129" s="38" t="s">
        <v>140</v>
      </c>
      <c r="AD129" s="38" t="s">
        <v>112</v>
      </c>
    </row>
    <row r="130" spans="1:30" ht="14.25" hidden="1">
      <c r="A130" s="38" t="s">
        <v>52</v>
      </c>
      <c r="B130" s="38" t="s">
        <v>142</v>
      </c>
      <c r="C130" s="29" t="s">
        <v>74</v>
      </c>
      <c r="D130" s="33" t="s">
        <v>622</v>
      </c>
      <c r="E130" s="38"/>
      <c r="F130" s="38" t="s">
        <v>1206</v>
      </c>
      <c r="G130" s="38" t="s">
        <v>215</v>
      </c>
      <c r="H130" s="38" t="s">
        <v>1208</v>
      </c>
      <c r="I130" s="38" t="s">
        <v>133</v>
      </c>
      <c r="J130" s="38" t="s">
        <v>1209</v>
      </c>
      <c r="K130" s="38" t="s">
        <v>1210</v>
      </c>
      <c r="L130" s="38">
        <v>10</v>
      </c>
      <c r="M130" s="78">
        <v>18382</v>
      </c>
      <c r="N130" s="78">
        <v>27969</v>
      </c>
      <c r="O130" s="38" t="s">
        <v>97</v>
      </c>
      <c r="P130" s="38" t="s">
        <v>98</v>
      </c>
      <c r="Q130" s="38" t="s">
        <v>79</v>
      </c>
      <c r="R130" s="38">
        <v>1.6679999999999999</v>
      </c>
      <c r="S130" s="38" t="s">
        <v>1742</v>
      </c>
      <c r="T130" s="38">
        <v>0.313</v>
      </c>
      <c r="U130" s="38" t="s">
        <v>79</v>
      </c>
      <c r="V130" s="38" t="s">
        <v>1743</v>
      </c>
      <c r="W130" s="38">
        <v>3.0659999999999998</v>
      </c>
      <c r="X130" s="38" t="s">
        <v>1744</v>
      </c>
      <c r="Y130" s="38">
        <v>0.112</v>
      </c>
      <c r="Z130" s="38">
        <v>0.13600000000000001</v>
      </c>
      <c r="AA130" s="38" t="s">
        <v>1745</v>
      </c>
      <c r="AB130" s="38">
        <v>0.69499999999999995</v>
      </c>
      <c r="AC130" s="38" t="s">
        <v>140</v>
      </c>
      <c r="AD130" s="38" t="s">
        <v>112</v>
      </c>
    </row>
    <row r="131" spans="1:30" ht="14.25" hidden="1">
      <c r="A131" s="38" t="s">
        <v>52</v>
      </c>
      <c r="B131" s="38" t="s">
        <v>142</v>
      </c>
      <c r="C131" s="38" t="s">
        <v>74</v>
      </c>
      <c r="D131" s="38" t="s">
        <v>164</v>
      </c>
      <c r="E131" s="38"/>
      <c r="F131" s="38" t="s">
        <v>1206</v>
      </c>
      <c r="G131" s="33" t="s">
        <v>165</v>
      </c>
      <c r="H131" s="38" t="s">
        <v>1208</v>
      </c>
      <c r="I131" s="38" t="s">
        <v>133</v>
      </c>
      <c r="J131" s="38" t="s">
        <v>1209</v>
      </c>
      <c r="K131" s="38" t="s">
        <v>1210</v>
      </c>
      <c r="L131" s="38">
        <v>28</v>
      </c>
      <c r="M131" s="78">
        <v>18382</v>
      </c>
      <c r="N131" s="78">
        <v>27969</v>
      </c>
      <c r="O131" s="38" t="s">
        <v>97</v>
      </c>
      <c r="P131" s="38" t="s">
        <v>98</v>
      </c>
      <c r="Q131" s="38" t="s">
        <v>79</v>
      </c>
      <c r="R131" s="38">
        <v>2.1669999999999998</v>
      </c>
      <c r="S131" s="38" t="s">
        <v>1746</v>
      </c>
      <c r="T131" s="38">
        <v>2E-3</v>
      </c>
      <c r="U131" s="38" t="s">
        <v>79</v>
      </c>
      <c r="V131" s="38">
        <v>0.14899999999999999</v>
      </c>
      <c r="W131" s="38">
        <v>2.2010000000000001</v>
      </c>
      <c r="X131" s="38" t="s">
        <v>1747</v>
      </c>
      <c r="Y131" s="114">
        <v>0.03</v>
      </c>
      <c r="Z131" s="38">
        <v>1.875</v>
      </c>
      <c r="AA131" s="38" t="s">
        <v>1748</v>
      </c>
      <c r="AB131" s="38">
        <v>0.63900000000000001</v>
      </c>
      <c r="AC131" s="38" t="s">
        <v>140</v>
      </c>
      <c r="AD131" s="38" t="s">
        <v>112</v>
      </c>
    </row>
    <row r="132" spans="1:30" ht="14.25" hidden="1">
      <c r="A132" s="38" t="s">
        <v>52</v>
      </c>
      <c r="B132" s="38" t="s">
        <v>142</v>
      </c>
      <c r="C132" s="29" t="s">
        <v>74</v>
      </c>
      <c r="D132" s="38" t="s">
        <v>75</v>
      </c>
      <c r="E132" s="38"/>
      <c r="F132" s="38" t="s">
        <v>1206</v>
      </c>
      <c r="G132" s="38" t="s">
        <v>113</v>
      </c>
      <c r="H132" s="38" t="s">
        <v>1208</v>
      </c>
      <c r="I132" s="38" t="s">
        <v>133</v>
      </c>
      <c r="J132" s="38" t="s">
        <v>1209</v>
      </c>
      <c r="K132" s="38" t="s">
        <v>1210</v>
      </c>
      <c r="L132" s="38">
        <v>43</v>
      </c>
      <c r="M132" s="78">
        <v>18382</v>
      </c>
      <c r="N132" s="78">
        <v>27969</v>
      </c>
      <c r="O132" s="38" t="s">
        <v>97</v>
      </c>
      <c r="P132" s="38" t="s">
        <v>98</v>
      </c>
      <c r="Q132" s="38" t="s">
        <v>79</v>
      </c>
      <c r="R132" s="38">
        <v>1.792</v>
      </c>
      <c r="S132" s="38" t="s">
        <v>1219</v>
      </c>
      <c r="T132" s="38">
        <v>0.125</v>
      </c>
      <c r="U132" s="38" t="s">
        <v>79</v>
      </c>
      <c r="V132" s="38" t="s">
        <v>1220</v>
      </c>
      <c r="W132" s="38">
        <v>2.5550000000000002</v>
      </c>
      <c r="X132" s="38" t="s">
        <v>1222</v>
      </c>
      <c r="Y132" s="38">
        <v>2.9000000000000001E-2</v>
      </c>
      <c r="Z132" s="38">
        <v>1.0249999999999999</v>
      </c>
      <c r="AA132" s="38" t="s">
        <v>1224</v>
      </c>
      <c r="AB132" s="38">
        <v>0.98599999999999999</v>
      </c>
      <c r="AC132" s="38" t="s">
        <v>140</v>
      </c>
      <c r="AD132" s="38" t="s">
        <v>112</v>
      </c>
    </row>
    <row r="133" spans="1:30" ht="14.25" hidden="1">
      <c r="A133" s="23" t="s">
        <v>52</v>
      </c>
      <c r="B133" s="23" t="s">
        <v>148</v>
      </c>
      <c r="C133" s="23" t="s">
        <v>74</v>
      </c>
      <c r="D133" s="23" t="s">
        <v>246</v>
      </c>
      <c r="E133" s="23"/>
      <c r="F133" s="23" t="s">
        <v>1749</v>
      </c>
      <c r="G133" s="23" t="s">
        <v>248</v>
      </c>
      <c r="H133" s="115" t="s">
        <v>1750</v>
      </c>
      <c r="I133" s="23" t="s">
        <v>133</v>
      </c>
      <c r="J133" s="23"/>
      <c r="K133" s="25">
        <v>2597856</v>
      </c>
      <c r="L133" s="23">
        <v>10</v>
      </c>
      <c r="M133" s="25">
        <v>122616</v>
      </c>
      <c r="N133" s="25">
        <v>2475240</v>
      </c>
      <c r="O133" s="23" t="s">
        <v>97</v>
      </c>
      <c r="P133" s="23" t="s">
        <v>98</v>
      </c>
      <c r="Q133" s="23" t="s">
        <v>79</v>
      </c>
      <c r="R133" s="23">
        <v>1.07</v>
      </c>
      <c r="S133" s="23" t="s">
        <v>1751</v>
      </c>
      <c r="T133" s="23">
        <v>0.66700000000000004</v>
      </c>
      <c r="U133" s="23">
        <v>7.593</v>
      </c>
      <c r="V133" s="23">
        <v>0.57599999999999996</v>
      </c>
      <c r="W133" s="23">
        <v>0.95199999999999996</v>
      </c>
      <c r="X133" s="23" t="s">
        <v>1752</v>
      </c>
      <c r="Y133" s="23">
        <v>0.81799999999999995</v>
      </c>
      <c r="Z133" s="23">
        <v>4.3760000000000003</v>
      </c>
      <c r="AA133" s="23" t="s">
        <v>1753</v>
      </c>
      <c r="AB133" s="23">
        <v>0.39300000000000002</v>
      </c>
      <c r="AC133" s="23" t="s">
        <v>1754</v>
      </c>
      <c r="AD133" s="23" t="s">
        <v>145</v>
      </c>
    </row>
    <row r="134" spans="1:30" ht="14.25" hidden="1">
      <c r="A134" s="23" t="s">
        <v>52</v>
      </c>
      <c r="B134" s="23" t="s">
        <v>148</v>
      </c>
      <c r="C134" s="23" t="s">
        <v>74</v>
      </c>
      <c r="D134" s="23" t="s">
        <v>246</v>
      </c>
      <c r="E134" s="23"/>
      <c r="F134" s="23" t="s">
        <v>1755</v>
      </c>
      <c r="G134" s="23" t="s">
        <v>248</v>
      </c>
      <c r="H134" s="23" t="s">
        <v>1750</v>
      </c>
      <c r="I134" s="23" t="s">
        <v>133</v>
      </c>
      <c r="J134" s="23"/>
      <c r="K134" s="25">
        <v>2095324</v>
      </c>
      <c r="L134" s="23">
        <v>10</v>
      </c>
      <c r="M134" s="25">
        <v>32519</v>
      </c>
      <c r="N134" s="25">
        <v>2062805</v>
      </c>
      <c r="O134" s="23" t="s">
        <v>97</v>
      </c>
      <c r="P134" s="23" t="s">
        <v>98</v>
      </c>
      <c r="Q134" s="23" t="s">
        <v>79</v>
      </c>
      <c r="R134" s="23">
        <v>1.36</v>
      </c>
      <c r="S134" s="23" t="s">
        <v>1756</v>
      </c>
      <c r="T134" s="23">
        <v>0.42199999999999999</v>
      </c>
      <c r="U134" s="23">
        <v>11.488</v>
      </c>
      <c r="V134" s="23">
        <v>0.24399999999999999</v>
      </c>
      <c r="W134" s="23">
        <v>0.98899999999999999</v>
      </c>
      <c r="X134" s="23" t="s">
        <v>1757</v>
      </c>
      <c r="Y134" s="23">
        <v>0.98099999999999998</v>
      </c>
      <c r="Z134" s="23">
        <v>363.45100000000002</v>
      </c>
      <c r="AA134" s="23" t="s">
        <v>1758</v>
      </c>
      <c r="AB134" s="23">
        <v>0.154</v>
      </c>
      <c r="AC134" s="23" t="s">
        <v>1754</v>
      </c>
      <c r="AD134" s="23" t="s">
        <v>145</v>
      </c>
    </row>
    <row r="135" spans="1:30" ht="14.25" hidden="1">
      <c r="A135" s="23" t="s">
        <v>52</v>
      </c>
      <c r="B135" s="23" t="s">
        <v>148</v>
      </c>
      <c r="C135" s="23" t="s">
        <v>74</v>
      </c>
      <c r="D135" s="23" t="s">
        <v>246</v>
      </c>
      <c r="E135" s="23"/>
      <c r="F135" s="23" t="s">
        <v>1762</v>
      </c>
      <c r="G135" s="23" t="s">
        <v>248</v>
      </c>
      <c r="H135" s="23" t="s">
        <v>1750</v>
      </c>
      <c r="I135" s="23" t="s">
        <v>133</v>
      </c>
      <c r="J135" s="23"/>
      <c r="K135" s="25">
        <v>1086211</v>
      </c>
      <c r="L135" s="23">
        <v>10</v>
      </c>
      <c r="M135" s="25">
        <v>13769</v>
      </c>
      <c r="N135" s="25">
        <v>1072442</v>
      </c>
      <c r="O135" s="23" t="s">
        <v>97</v>
      </c>
      <c r="P135" s="23" t="s">
        <v>98</v>
      </c>
      <c r="Q135" s="23" t="s">
        <v>79</v>
      </c>
      <c r="R135" s="23">
        <v>1.37</v>
      </c>
      <c r="S135" s="23" t="s">
        <v>1763</v>
      </c>
      <c r="T135" s="23">
        <v>0.61499999999999999</v>
      </c>
      <c r="U135" s="23">
        <v>13.803000000000001</v>
      </c>
      <c r="V135" s="23">
        <v>0.129</v>
      </c>
      <c r="W135" s="23">
        <v>0.40799999999999997</v>
      </c>
      <c r="X135" s="23" t="s">
        <v>1764</v>
      </c>
      <c r="Y135" s="23">
        <v>0.221</v>
      </c>
      <c r="Z135" s="23">
        <v>0.246</v>
      </c>
      <c r="AA135" s="23" t="s">
        <v>1765</v>
      </c>
      <c r="AB135" s="23">
        <v>0.84</v>
      </c>
      <c r="AC135" s="23" t="s">
        <v>1754</v>
      </c>
      <c r="AD135" s="23" t="s">
        <v>145</v>
      </c>
    </row>
    <row r="136" spans="1:30" ht="14.25" hidden="1">
      <c r="A136" s="23" t="s">
        <v>52</v>
      </c>
      <c r="B136" s="23" t="s">
        <v>148</v>
      </c>
      <c r="C136" s="23" t="s">
        <v>74</v>
      </c>
      <c r="D136" s="23" t="s">
        <v>622</v>
      </c>
      <c r="E136" s="23"/>
      <c r="F136" s="23" t="s">
        <v>1749</v>
      </c>
      <c r="G136" s="23" t="s">
        <v>215</v>
      </c>
      <c r="H136" s="23" t="s">
        <v>1750</v>
      </c>
      <c r="I136" s="23" t="s">
        <v>133</v>
      </c>
      <c r="J136" s="23"/>
      <c r="K136" s="25">
        <v>2597856</v>
      </c>
      <c r="L136" s="23">
        <v>8</v>
      </c>
      <c r="M136" s="23">
        <v>122616</v>
      </c>
      <c r="N136" s="23">
        <v>2475240</v>
      </c>
      <c r="O136" s="23" t="s">
        <v>97</v>
      </c>
      <c r="P136" s="23" t="s">
        <v>98</v>
      </c>
      <c r="Q136" s="23" t="s">
        <v>79</v>
      </c>
      <c r="R136" s="23">
        <v>0.95</v>
      </c>
      <c r="S136" s="23" t="s">
        <v>1766</v>
      </c>
      <c r="T136" s="23">
        <v>0.88800000000000001</v>
      </c>
      <c r="U136" s="116">
        <v>22.91</v>
      </c>
      <c r="V136" s="23">
        <v>2E-3</v>
      </c>
      <c r="W136" s="23">
        <v>0.59699999999999998</v>
      </c>
      <c r="X136" s="23" t="s">
        <v>1767</v>
      </c>
      <c r="Y136" s="23">
        <v>0.115</v>
      </c>
      <c r="Z136" s="23">
        <v>0.65800000000000003</v>
      </c>
      <c r="AA136" s="23" t="s">
        <v>1768</v>
      </c>
      <c r="AB136" s="23">
        <v>0.88100000000000001</v>
      </c>
      <c r="AC136" s="23" t="s">
        <v>1754</v>
      </c>
      <c r="AD136" s="23" t="s">
        <v>145</v>
      </c>
    </row>
    <row r="137" spans="1:30" ht="14.25" hidden="1">
      <c r="A137" s="23" t="s">
        <v>52</v>
      </c>
      <c r="B137" s="23" t="s">
        <v>148</v>
      </c>
      <c r="C137" s="23" t="s">
        <v>74</v>
      </c>
      <c r="D137" s="23" t="s">
        <v>622</v>
      </c>
      <c r="E137" s="23"/>
      <c r="F137" s="23" t="s">
        <v>1755</v>
      </c>
      <c r="G137" s="23" t="s">
        <v>215</v>
      </c>
      <c r="H137" s="23" t="s">
        <v>1750</v>
      </c>
      <c r="I137" s="23" t="s">
        <v>133</v>
      </c>
      <c r="J137" s="23"/>
      <c r="K137" s="25">
        <v>2095324</v>
      </c>
      <c r="L137" s="23">
        <v>8</v>
      </c>
      <c r="M137" s="25">
        <v>32519</v>
      </c>
      <c r="N137" s="23">
        <v>2062805</v>
      </c>
      <c r="O137" s="23" t="s">
        <v>97</v>
      </c>
      <c r="P137" s="23" t="s">
        <v>98</v>
      </c>
      <c r="Q137" s="23" t="s">
        <v>79</v>
      </c>
      <c r="R137" s="23">
        <v>1.04</v>
      </c>
      <c r="S137" s="23" t="s">
        <v>1769</v>
      </c>
      <c r="T137" s="23">
        <v>0.95799999999999996</v>
      </c>
      <c r="U137" s="23">
        <v>19.873000000000001</v>
      </c>
      <c r="V137" s="23">
        <v>6.0000000000000001E-3</v>
      </c>
      <c r="W137" s="23">
        <v>1.0189999999999999</v>
      </c>
      <c r="X137" s="23" t="s">
        <v>1770</v>
      </c>
      <c r="Y137" s="23">
        <v>0.97699999999999998</v>
      </c>
      <c r="Z137" s="23">
        <v>195.63800000000001</v>
      </c>
      <c r="AA137" s="23" t="s">
        <v>1771</v>
      </c>
      <c r="AB137" s="23">
        <v>0.32</v>
      </c>
      <c r="AC137" s="23" t="s">
        <v>1754</v>
      </c>
      <c r="AD137" s="23" t="s">
        <v>145</v>
      </c>
    </row>
    <row r="138" spans="1:30" ht="14.25" hidden="1">
      <c r="A138" s="23" t="s">
        <v>52</v>
      </c>
      <c r="B138" s="23" t="s">
        <v>148</v>
      </c>
      <c r="C138" s="23" t="s">
        <v>74</v>
      </c>
      <c r="D138" s="23" t="s">
        <v>622</v>
      </c>
      <c r="E138" s="23"/>
      <c r="F138" s="23" t="s">
        <v>1762</v>
      </c>
      <c r="G138" s="23" t="s">
        <v>215</v>
      </c>
      <c r="H138" s="23" t="s">
        <v>1750</v>
      </c>
      <c r="I138" s="23" t="s">
        <v>133</v>
      </c>
      <c r="J138" s="23"/>
      <c r="K138" s="25">
        <v>1086211</v>
      </c>
      <c r="L138" s="25">
        <v>8</v>
      </c>
      <c r="M138" s="25">
        <v>13769</v>
      </c>
      <c r="N138" s="23">
        <v>1072442</v>
      </c>
      <c r="O138" s="23" t="s">
        <v>97</v>
      </c>
      <c r="P138" s="23" t="s">
        <v>98</v>
      </c>
      <c r="Q138" s="23" t="s">
        <v>79</v>
      </c>
      <c r="R138" s="23">
        <v>0.99</v>
      </c>
      <c r="S138" s="23" t="s">
        <v>1775</v>
      </c>
      <c r="T138" s="23">
        <v>0.98299999999999998</v>
      </c>
      <c r="U138" s="23">
        <v>6.8289999999999997</v>
      </c>
      <c r="V138" s="23">
        <v>0.44700000000000001</v>
      </c>
      <c r="W138" s="23">
        <v>0.93400000000000005</v>
      </c>
      <c r="X138" s="23" t="s">
        <v>1777</v>
      </c>
      <c r="Y138" s="23">
        <v>0.94299999999999995</v>
      </c>
      <c r="Z138" s="23">
        <v>19.099</v>
      </c>
      <c r="AA138" s="23" t="s">
        <v>1778</v>
      </c>
      <c r="AB138" s="116">
        <v>0.53</v>
      </c>
      <c r="AC138" s="23" t="s">
        <v>1754</v>
      </c>
      <c r="AD138" s="23" t="s">
        <v>145</v>
      </c>
    </row>
    <row r="139" spans="1:30" ht="14.25" hidden="1">
      <c r="A139" s="23" t="s">
        <v>52</v>
      </c>
      <c r="B139" s="23" t="s">
        <v>148</v>
      </c>
      <c r="C139" s="23" t="s">
        <v>74</v>
      </c>
      <c r="D139" s="23" t="s">
        <v>164</v>
      </c>
      <c r="E139" s="23"/>
      <c r="F139" s="23" t="s">
        <v>1749</v>
      </c>
      <c r="G139" s="23" t="s">
        <v>165</v>
      </c>
      <c r="H139" s="23" t="s">
        <v>1750</v>
      </c>
      <c r="I139" s="23" t="s">
        <v>133</v>
      </c>
      <c r="J139" s="23"/>
      <c r="K139" s="25">
        <v>2597856</v>
      </c>
      <c r="L139" s="23">
        <v>29</v>
      </c>
      <c r="M139" s="23">
        <v>122616</v>
      </c>
      <c r="N139" s="23">
        <v>2475240</v>
      </c>
      <c r="O139" s="23" t="s">
        <v>97</v>
      </c>
      <c r="P139" s="23" t="s">
        <v>98</v>
      </c>
      <c r="Q139" s="23" t="s">
        <v>79</v>
      </c>
      <c r="R139" s="23">
        <v>1.21</v>
      </c>
      <c r="S139" s="23" t="s">
        <v>1783</v>
      </c>
      <c r="T139" s="23">
        <v>8.4000000000000005E-2</v>
      </c>
      <c r="U139" s="23">
        <v>45.494999999999997</v>
      </c>
      <c r="V139" s="116">
        <v>0.02</v>
      </c>
      <c r="W139" s="23">
        <v>1.2310000000000001</v>
      </c>
      <c r="X139" s="23" t="s">
        <v>1786</v>
      </c>
      <c r="Y139" s="23">
        <v>0.122</v>
      </c>
      <c r="Z139" s="23">
        <v>1.0680000000000001</v>
      </c>
      <c r="AA139" s="23" t="s">
        <v>1787</v>
      </c>
      <c r="AB139" s="23">
        <v>0.91700000000000004</v>
      </c>
      <c r="AC139" s="23" t="s">
        <v>1754</v>
      </c>
      <c r="AD139" s="23" t="s">
        <v>145</v>
      </c>
    </row>
    <row r="140" spans="1:30" ht="14.25" hidden="1">
      <c r="A140" s="23" t="s">
        <v>52</v>
      </c>
      <c r="B140" s="23" t="s">
        <v>148</v>
      </c>
      <c r="C140" s="23" t="s">
        <v>74</v>
      </c>
      <c r="D140" s="23" t="s">
        <v>164</v>
      </c>
      <c r="E140" s="23"/>
      <c r="F140" s="23" t="s">
        <v>1755</v>
      </c>
      <c r="G140" s="23" t="s">
        <v>165</v>
      </c>
      <c r="H140" s="23" t="s">
        <v>1750</v>
      </c>
      <c r="I140" s="23" t="s">
        <v>133</v>
      </c>
      <c r="J140" s="23"/>
      <c r="K140" s="25">
        <v>2095324</v>
      </c>
      <c r="L140" s="23">
        <v>29</v>
      </c>
      <c r="M140" s="23">
        <v>32519</v>
      </c>
      <c r="N140" s="23">
        <v>2062805</v>
      </c>
      <c r="O140" s="23" t="s">
        <v>97</v>
      </c>
      <c r="P140" s="23" t="s">
        <v>98</v>
      </c>
      <c r="Q140" s="23" t="s">
        <v>79</v>
      </c>
      <c r="R140" s="23">
        <v>2.08</v>
      </c>
      <c r="S140" s="23" t="s">
        <v>1791</v>
      </c>
      <c r="T140" s="23">
        <v>1E-3</v>
      </c>
      <c r="U140" s="23">
        <v>37.896000000000001</v>
      </c>
      <c r="V140" s="116">
        <v>0.1</v>
      </c>
      <c r="W140" s="23">
        <v>2.1749999999999998</v>
      </c>
      <c r="X140" s="23" t="s">
        <v>1792</v>
      </c>
      <c r="Y140" s="23">
        <v>5.0000000000000001E-3</v>
      </c>
      <c r="Z140" s="23">
        <v>1.6220000000000001</v>
      </c>
      <c r="AA140" s="23" t="s">
        <v>1793</v>
      </c>
      <c r="AB140" s="23">
        <v>0.69799999999999995</v>
      </c>
      <c r="AC140" s="23" t="s">
        <v>1754</v>
      </c>
      <c r="AD140" s="23" t="s">
        <v>145</v>
      </c>
    </row>
    <row r="141" spans="1:30" ht="14.25" hidden="1">
      <c r="A141" s="23" t="s">
        <v>52</v>
      </c>
      <c r="B141" s="23" t="s">
        <v>148</v>
      </c>
      <c r="C141" s="23" t="s">
        <v>74</v>
      </c>
      <c r="D141" s="23" t="s">
        <v>164</v>
      </c>
      <c r="E141" s="23"/>
      <c r="F141" s="23" t="s">
        <v>1762</v>
      </c>
      <c r="G141" s="23" t="s">
        <v>165</v>
      </c>
      <c r="H141" s="23" t="s">
        <v>1750</v>
      </c>
      <c r="I141" s="23" t="s">
        <v>133</v>
      </c>
      <c r="J141" s="23"/>
      <c r="K141" s="25">
        <v>1086211</v>
      </c>
      <c r="L141" s="23">
        <v>29</v>
      </c>
      <c r="M141" s="23">
        <v>13769</v>
      </c>
      <c r="N141" s="23">
        <v>1072442</v>
      </c>
      <c r="O141" s="23" t="s">
        <v>97</v>
      </c>
      <c r="P141" s="23" t="s">
        <v>98</v>
      </c>
      <c r="Q141" s="23" t="s">
        <v>79</v>
      </c>
      <c r="R141" s="23">
        <v>1.98</v>
      </c>
      <c r="S141" s="23" t="s">
        <v>1798</v>
      </c>
      <c r="T141" s="23">
        <v>1.2E-2</v>
      </c>
      <c r="U141" s="23">
        <v>27.733000000000001</v>
      </c>
      <c r="V141" s="23">
        <v>0.47899999999999998</v>
      </c>
      <c r="W141" s="23">
        <v>1.633</v>
      </c>
      <c r="X141" s="23" t="s">
        <v>1799</v>
      </c>
      <c r="Y141" s="23">
        <v>0.20300000000000001</v>
      </c>
      <c r="Z141" s="23">
        <v>5.6779999999999999</v>
      </c>
      <c r="AA141" s="23" t="s">
        <v>1800</v>
      </c>
      <c r="AB141" s="23">
        <v>0.27900000000000003</v>
      </c>
      <c r="AC141" s="23" t="s">
        <v>1754</v>
      </c>
      <c r="AD141" s="23" t="s">
        <v>145</v>
      </c>
    </row>
    <row r="142" spans="1:30" ht="14.25" hidden="1">
      <c r="A142" s="23" t="s">
        <v>52</v>
      </c>
      <c r="B142" s="23" t="s">
        <v>148</v>
      </c>
      <c r="C142" s="23" t="s">
        <v>74</v>
      </c>
      <c r="D142" s="23" t="s">
        <v>75</v>
      </c>
      <c r="E142" s="23"/>
      <c r="F142" s="23" t="s">
        <v>1749</v>
      </c>
      <c r="G142" s="23" t="s">
        <v>113</v>
      </c>
      <c r="H142" s="23" t="s">
        <v>1750</v>
      </c>
      <c r="I142" s="23" t="s">
        <v>133</v>
      </c>
      <c r="J142" s="23"/>
      <c r="K142" s="25">
        <v>2597856</v>
      </c>
      <c r="L142" s="23">
        <v>32</v>
      </c>
      <c r="M142" s="23">
        <v>122616</v>
      </c>
      <c r="N142" s="23">
        <v>2475240</v>
      </c>
      <c r="O142" s="23" t="s">
        <v>97</v>
      </c>
      <c r="P142" s="23" t="s">
        <v>98</v>
      </c>
      <c r="Q142" s="23" t="s">
        <v>79</v>
      </c>
      <c r="R142" s="23">
        <v>1.18</v>
      </c>
      <c r="S142" s="23" t="s">
        <v>1802</v>
      </c>
      <c r="T142" s="23">
        <v>0.158</v>
      </c>
      <c r="U142" s="23">
        <v>38.790999999999997</v>
      </c>
      <c r="V142" s="23">
        <v>0.159</v>
      </c>
      <c r="W142" s="23">
        <v>1.19</v>
      </c>
      <c r="X142" s="23" t="s">
        <v>1804</v>
      </c>
      <c r="Y142" s="23">
        <v>0.28299999999999997</v>
      </c>
      <c r="Z142" s="23">
        <v>1.335</v>
      </c>
      <c r="AA142" s="23" t="s">
        <v>1805</v>
      </c>
      <c r="AB142" s="23">
        <v>0.51100000000000001</v>
      </c>
      <c r="AC142" s="23" t="s">
        <v>1754</v>
      </c>
      <c r="AD142" s="23" t="s">
        <v>145</v>
      </c>
    </row>
    <row r="143" spans="1:30" ht="14.25" hidden="1">
      <c r="A143" s="23" t="s">
        <v>52</v>
      </c>
      <c r="B143" s="23" t="s">
        <v>148</v>
      </c>
      <c r="C143" s="23" t="s">
        <v>74</v>
      </c>
      <c r="D143" s="23" t="s">
        <v>75</v>
      </c>
      <c r="E143" s="23"/>
      <c r="F143" s="23" t="s">
        <v>1755</v>
      </c>
      <c r="G143" s="23" t="s">
        <v>113</v>
      </c>
      <c r="H143" s="23" t="s">
        <v>1750</v>
      </c>
      <c r="I143" s="23" t="s">
        <v>133</v>
      </c>
      <c r="J143" s="23"/>
      <c r="K143" s="25">
        <v>2095324</v>
      </c>
      <c r="L143" s="23">
        <v>32</v>
      </c>
      <c r="M143" s="23">
        <v>32519</v>
      </c>
      <c r="N143" s="23">
        <v>2062805</v>
      </c>
      <c r="O143" s="23" t="s">
        <v>97</v>
      </c>
      <c r="P143" s="23" t="s">
        <v>98</v>
      </c>
      <c r="Q143" s="23" t="s">
        <v>79</v>
      </c>
      <c r="R143" s="23">
        <v>1.51</v>
      </c>
      <c r="S143" s="23" t="s">
        <v>1806</v>
      </c>
      <c r="T143" s="116">
        <v>0.16</v>
      </c>
      <c r="U143" s="23">
        <v>52.908000000000001</v>
      </c>
      <c r="V143" s="23">
        <v>8.0000000000000002E-3</v>
      </c>
      <c r="W143" s="23">
        <v>1.3080000000000001</v>
      </c>
      <c r="X143" s="23" t="s">
        <v>1807</v>
      </c>
      <c r="Y143" s="23">
        <v>0.45900000000000002</v>
      </c>
      <c r="Z143" s="23">
        <v>2.1139999999999999</v>
      </c>
      <c r="AA143" s="23" t="s">
        <v>1808</v>
      </c>
      <c r="AB143" s="23">
        <v>0.51900000000000002</v>
      </c>
      <c r="AC143" s="23" t="s">
        <v>1754</v>
      </c>
      <c r="AD143" s="23" t="s">
        <v>145</v>
      </c>
    </row>
    <row r="144" spans="1:30" ht="14.25" hidden="1">
      <c r="A144" s="23" t="s">
        <v>52</v>
      </c>
      <c r="B144" s="23" t="s">
        <v>148</v>
      </c>
      <c r="C144" s="23" t="s">
        <v>74</v>
      </c>
      <c r="D144" s="23" t="s">
        <v>75</v>
      </c>
      <c r="E144" s="23"/>
      <c r="F144" s="23" t="s">
        <v>1762</v>
      </c>
      <c r="G144" s="23" t="s">
        <v>113</v>
      </c>
      <c r="H144" s="23" t="s">
        <v>1750</v>
      </c>
      <c r="I144" s="23" t="s">
        <v>133</v>
      </c>
      <c r="J144" s="23"/>
      <c r="K144" s="25">
        <v>1086211</v>
      </c>
      <c r="L144" s="23">
        <v>32</v>
      </c>
      <c r="M144" s="23">
        <v>13769</v>
      </c>
      <c r="N144" s="23">
        <v>1072442</v>
      </c>
      <c r="O144" s="23" t="s">
        <v>97</v>
      </c>
      <c r="P144" s="23" t="s">
        <v>98</v>
      </c>
      <c r="Q144" s="23" t="s">
        <v>79</v>
      </c>
      <c r="R144" s="23">
        <v>1.38</v>
      </c>
      <c r="S144" s="23" t="s">
        <v>1811</v>
      </c>
      <c r="T144" s="23">
        <v>0.46600000000000003</v>
      </c>
      <c r="U144" s="23">
        <v>49.058999999999997</v>
      </c>
      <c r="V144" s="23">
        <v>2.1000000000000001E-2</v>
      </c>
      <c r="W144" s="23">
        <v>0.86799999999999999</v>
      </c>
      <c r="X144" s="23" t="s">
        <v>1812</v>
      </c>
      <c r="Y144" s="23">
        <v>0.79100000000000004</v>
      </c>
      <c r="Z144" s="23">
        <v>8.9410000000000007</v>
      </c>
      <c r="AA144" s="23" t="s">
        <v>1813</v>
      </c>
      <c r="AB144" s="23">
        <v>0.25</v>
      </c>
      <c r="AC144" s="23" t="s">
        <v>1754</v>
      </c>
      <c r="AD144" s="23" t="s">
        <v>145</v>
      </c>
    </row>
    <row r="145" spans="1:30" ht="14.25" hidden="1">
      <c r="A145" s="29" t="s">
        <v>52</v>
      </c>
      <c r="B145" s="29" t="s">
        <v>153</v>
      </c>
      <c r="C145" s="29" t="s">
        <v>74</v>
      </c>
      <c r="D145" s="29" t="s">
        <v>75</v>
      </c>
      <c r="E145" s="29"/>
      <c r="F145" s="29" t="s">
        <v>1650</v>
      </c>
      <c r="G145" s="29" t="s">
        <v>113</v>
      </c>
      <c r="H145" s="29"/>
      <c r="I145" s="29" t="s">
        <v>133</v>
      </c>
      <c r="J145" s="29" t="s">
        <v>1078</v>
      </c>
      <c r="K145" s="29">
        <f t="shared" ref="K145:K149" si="6">M145+N145</f>
        <v>299999</v>
      </c>
      <c r="L145" s="29">
        <v>43</v>
      </c>
      <c r="M145" s="29">
        <v>16410</v>
      </c>
      <c r="N145" s="29">
        <v>283589</v>
      </c>
      <c r="O145" s="29" t="s">
        <v>97</v>
      </c>
      <c r="P145" s="29" t="s">
        <v>98</v>
      </c>
      <c r="Q145" s="29" t="s">
        <v>79</v>
      </c>
      <c r="R145" s="29" t="s">
        <v>1241</v>
      </c>
      <c r="S145" s="29" t="s">
        <v>1822</v>
      </c>
      <c r="T145" s="29" t="s">
        <v>1823</v>
      </c>
      <c r="U145" s="29" t="s">
        <v>79</v>
      </c>
      <c r="V145" s="29">
        <v>0.106</v>
      </c>
      <c r="W145" s="29" t="s">
        <v>1824</v>
      </c>
      <c r="X145" s="29" t="s">
        <v>1825</v>
      </c>
      <c r="Y145" s="29" t="s">
        <v>1826</v>
      </c>
      <c r="Z145" s="29" t="s">
        <v>1827</v>
      </c>
      <c r="AA145" s="29" t="s">
        <v>1828</v>
      </c>
      <c r="AB145" s="29" t="s">
        <v>1829</v>
      </c>
      <c r="AC145" s="29" t="s">
        <v>140</v>
      </c>
      <c r="AD145" s="29" t="s">
        <v>145</v>
      </c>
    </row>
    <row r="146" spans="1:30" ht="14.25" hidden="1">
      <c r="A146" s="29" t="s">
        <v>52</v>
      </c>
      <c r="B146" s="29" t="s">
        <v>153</v>
      </c>
      <c r="C146" s="29" t="s">
        <v>74</v>
      </c>
      <c r="D146" s="29" t="s">
        <v>75</v>
      </c>
      <c r="E146" s="29"/>
      <c r="F146" s="29" t="s">
        <v>170</v>
      </c>
      <c r="G146" s="29" t="s">
        <v>113</v>
      </c>
      <c r="H146" s="29"/>
      <c r="I146" s="29" t="s">
        <v>133</v>
      </c>
      <c r="J146" s="29" t="s">
        <v>1078</v>
      </c>
      <c r="K146" s="29">
        <f t="shared" si="6"/>
        <v>224365</v>
      </c>
      <c r="L146" s="29">
        <v>45</v>
      </c>
      <c r="M146" s="29">
        <v>37253</v>
      </c>
      <c r="N146" s="29">
        <v>187112</v>
      </c>
      <c r="O146" s="29" t="s">
        <v>97</v>
      </c>
      <c r="P146" s="29" t="s">
        <v>98</v>
      </c>
      <c r="Q146" s="29" t="s">
        <v>79</v>
      </c>
      <c r="R146" s="29" t="s">
        <v>1080</v>
      </c>
      <c r="S146" s="29" t="s">
        <v>1081</v>
      </c>
      <c r="T146" s="29">
        <v>2E-3</v>
      </c>
      <c r="U146" s="29" t="s">
        <v>79</v>
      </c>
      <c r="V146" s="29">
        <v>2.7E-2</v>
      </c>
      <c r="W146" s="29" t="s">
        <v>1085</v>
      </c>
      <c r="X146" s="29" t="s">
        <v>1086</v>
      </c>
      <c r="Y146" s="29" t="s">
        <v>1087</v>
      </c>
      <c r="Z146" s="29" t="s">
        <v>1088</v>
      </c>
      <c r="AA146" s="29" t="s">
        <v>1089</v>
      </c>
      <c r="AB146" s="29" t="s">
        <v>1091</v>
      </c>
      <c r="AC146" s="29" t="s">
        <v>140</v>
      </c>
      <c r="AD146" s="29" t="s">
        <v>145</v>
      </c>
    </row>
    <row r="147" spans="1:30" ht="14.25" hidden="1">
      <c r="A147" s="29" t="s">
        <v>52</v>
      </c>
      <c r="B147" s="29" t="s">
        <v>153</v>
      </c>
      <c r="C147" s="29" t="s">
        <v>74</v>
      </c>
      <c r="D147" s="29" t="s">
        <v>75</v>
      </c>
      <c r="E147" s="29"/>
      <c r="F147" s="29" t="s">
        <v>1604</v>
      </c>
      <c r="G147" s="29" t="s">
        <v>113</v>
      </c>
      <c r="H147" s="29"/>
      <c r="I147" s="29" t="s">
        <v>133</v>
      </c>
      <c r="J147" s="29" t="s">
        <v>1078</v>
      </c>
      <c r="K147" s="29">
        <f t="shared" si="6"/>
        <v>342499</v>
      </c>
      <c r="L147" s="29">
        <v>52</v>
      </c>
      <c r="M147" s="29">
        <v>49078</v>
      </c>
      <c r="N147" s="29">
        <v>293421</v>
      </c>
      <c r="O147" s="29" t="s">
        <v>97</v>
      </c>
      <c r="P147" s="29" t="s">
        <v>98</v>
      </c>
      <c r="Q147" s="29" t="s">
        <v>79</v>
      </c>
      <c r="R147" s="29" t="s">
        <v>1608</v>
      </c>
      <c r="S147" s="29" t="s">
        <v>1609</v>
      </c>
      <c r="T147" s="29" t="s">
        <v>1610</v>
      </c>
      <c r="U147" s="29" t="s">
        <v>79</v>
      </c>
      <c r="V147" s="29">
        <v>0.24199999999999999</v>
      </c>
      <c r="W147" s="29" t="s">
        <v>1608</v>
      </c>
      <c r="X147" s="29" t="s">
        <v>1609</v>
      </c>
      <c r="Y147" s="29" t="s">
        <v>1610</v>
      </c>
      <c r="Z147" s="29" t="s">
        <v>1611</v>
      </c>
      <c r="AA147" s="29" t="s">
        <v>1612</v>
      </c>
      <c r="AB147" s="29" t="s">
        <v>1613</v>
      </c>
      <c r="AC147" s="29" t="s">
        <v>140</v>
      </c>
      <c r="AD147" s="29" t="s">
        <v>145</v>
      </c>
    </row>
    <row r="148" spans="1:30" ht="14.25" hidden="1">
      <c r="A148" s="29" t="s">
        <v>52</v>
      </c>
      <c r="B148" s="29" t="s">
        <v>153</v>
      </c>
      <c r="C148" s="29" t="s">
        <v>74</v>
      </c>
      <c r="D148" s="29" t="s">
        <v>75</v>
      </c>
      <c r="E148" s="29"/>
      <c r="F148" s="29" t="s">
        <v>1834</v>
      </c>
      <c r="G148" s="29" t="s">
        <v>113</v>
      </c>
      <c r="H148" s="29"/>
      <c r="I148" s="29" t="s">
        <v>133</v>
      </c>
      <c r="J148" s="29" t="s">
        <v>1078</v>
      </c>
      <c r="K148" s="29">
        <f t="shared" si="6"/>
        <v>285244</v>
      </c>
      <c r="L148" s="29">
        <v>52</v>
      </c>
      <c r="M148" s="29">
        <v>1655</v>
      </c>
      <c r="N148" s="29">
        <v>283589</v>
      </c>
      <c r="O148" s="29" t="s">
        <v>97</v>
      </c>
      <c r="P148" s="29" t="s">
        <v>98</v>
      </c>
      <c r="Q148" s="29" t="s">
        <v>79</v>
      </c>
      <c r="R148" s="29" t="s">
        <v>1837</v>
      </c>
      <c r="S148" s="29" t="s">
        <v>1838</v>
      </c>
      <c r="T148" s="29" t="s">
        <v>1839</v>
      </c>
      <c r="U148" s="29" t="s">
        <v>79</v>
      </c>
      <c r="V148" s="29">
        <v>0.80200000000000005</v>
      </c>
      <c r="W148" s="29" t="s">
        <v>1840</v>
      </c>
      <c r="X148" s="29" t="s">
        <v>1841</v>
      </c>
      <c r="Y148" s="29" t="s">
        <v>1842</v>
      </c>
      <c r="Z148" s="29" t="s">
        <v>1843</v>
      </c>
      <c r="AA148" s="29" t="s">
        <v>1844</v>
      </c>
      <c r="AB148" s="29" t="s">
        <v>1845</v>
      </c>
      <c r="AC148" s="29" t="s">
        <v>140</v>
      </c>
      <c r="AD148" s="29" t="s">
        <v>145</v>
      </c>
    </row>
    <row r="149" spans="1:30" ht="14.25">
      <c r="A149" s="29" t="s">
        <v>52</v>
      </c>
      <c r="B149" s="29" t="s">
        <v>153</v>
      </c>
      <c r="C149" s="29" t="s">
        <v>74</v>
      </c>
      <c r="D149" s="29" t="s">
        <v>164</v>
      </c>
      <c r="E149" s="29" t="s">
        <v>1732</v>
      </c>
      <c r="F149" s="29" t="s">
        <v>170</v>
      </c>
      <c r="G149" s="29" t="s">
        <v>165</v>
      </c>
      <c r="H149" s="29"/>
      <c r="I149" s="29" t="s">
        <v>133</v>
      </c>
      <c r="J149" s="29" t="s">
        <v>1078</v>
      </c>
      <c r="K149" s="29">
        <f t="shared" si="6"/>
        <v>224365</v>
      </c>
      <c r="L149" s="29">
        <v>31</v>
      </c>
      <c r="M149" s="29">
        <v>37253</v>
      </c>
      <c r="N149" s="29">
        <v>187112</v>
      </c>
      <c r="O149" s="29" t="s">
        <v>97</v>
      </c>
      <c r="P149" s="29" t="s">
        <v>98</v>
      </c>
      <c r="Q149" s="29" t="s">
        <v>79</v>
      </c>
      <c r="R149" s="29" t="s">
        <v>1850</v>
      </c>
      <c r="S149" s="29" t="s">
        <v>1851</v>
      </c>
      <c r="T149" s="29" t="s">
        <v>1165</v>
      </c>
      <c r="U149" s="29" t="s">
        <v>79</v>
      </c>
      <c r="V149" s="29">
        <v>0.184</v>
      </c>
      <c r="W149" s="29" t="s">
        <v>1085</v>
      </c>
      <c r="X149" s="29" t="s">
        <v>1852</v>
      </c>
      <c r="Y149" s="29" t="s">
        <v>1853</v>
      </c>
      <c r="Z149" s="29" t="s">
        <v>1854</v>
      </c>
      <c r="AA149" s="29" t="s">
        <v>1855</v>
      </c>
      <c r="AB149" s="29" t="s">
        <v>1856</v>
      </c>
      <c r="AC149" s="29" t="s">
        <v>140</v>
      </c>
      <c r="AD149" s="29" t="s">
        <v>145</v>
      </c>
    </row>
    <row r="150" spans="1:30" ht="14.25">
      <c r="A150" s="53" t="s">
        <v>70</v>
      </c>
      <c r="B150" s="76" t="s">
        <v>118</v>
      </c>
      <c r="C150" s="52" t="s">
        <v>74</v>
      </c>
      <c r="D150" s="76" t="s">
        <v>164</v>
      </c>
      <c r="E150" s="76" t="s">
        <v>1732</v>
      </c>
      <c r="F150" s="76" t="s">
        <v>170</v>
      </c>
      <c r="G150" s="76" t="s">
        <v>165</v>
      </c>
      <c r="H150" s="76" t="s">
        <v>628</v>
      </c>
      <c r="I150" s="76" t="s">
        <v>133</v>
      </c>
      <c r="J150" s="76" t="s">
        <v>218</v>
      </c>
      <c r="K150" s="76">
        <v>156.078</v>
      </c>
      <c r="L150" s="76">
        <v>39</v>
      </c>
      <c r="M150" s="76">
        <v>20.629000000000001</v>
      </c>
      <c r="N150" s="76">
        <v>135.44900000000001</v>
      </c>
      <c r="O150" s="76" t="s">
        <v>79</v>
      </c>
      <c r="P150" s="52" t="s">
        <v>98</v>
      </c>
      <c r="Q150" s="77">
        <v>25412</v>
      </c>
      <c r="R150" s="77">
        <v>521</v>
      </c>
      <c r="S150" s="76" t="s">
        <v>1859</v>
      </c>
      <c r="T150" s="77">
        <v>287</v>
      </c>
      <c r="U150" s="77">
        <v>64068</v>
      </c>
      <c r="V150" s="77">
        <v>514</v>
      </c>
      <c r="W150" s="77">
        <v>478</v>
      </c>
      <c r="X150" s="76" t="s">
        <v>1860</v>
      </c>
      <c r="Y150" s="77">
        <v>382</v>
      </c>
      <c r="Z150" s="77">
        <v>174</v>
      </c>
      <c r="AA150" s="76" t="s">
        <v>1861</v>
      </c>
      <c r="AB150" s="77">
        <v>78</v>
      </c>
      <c r="AC150" s="52" t="s">
        <v>140</v>
      </c>
      <c r="AD150" s="52" t="s">
        <v>145</v>
      </c>
    </row>
    <row r="151" spans="1:30" ht="14.25" hidden="1">
      <c r="A151" s="29" t="s">
        <v>52</v>
      </c>
      <c r="B151" s="29" t="s">
        <v>153</v>
      </c>
      <c r="C151" s="29" t="s">
        <v>74</v>
      </c>
      <c r="D151" s="29" t="s">
        <v>164</v>
      </c>
      <c r="E151" s="29"/>
      <c r="F151" s="29" t="s">
        <v>1604</v>
      </c>
      <c r="G151" s="29" t="s">
        <v>165</v>
      </c>
      <c r="H151" s="29"/>
      <c r="I151" s="29" t="s">
        <v>133</v>
      </c>
      <c r="J151" s="29" t="s">
        <v>1078</v>
      </c>
      <c r="K151" s="29">
        <f t="shared" ref="K151:K152" si="7">M151+N151</f>
        <v>342499</v>
      </c>
      <c r="L151" s="29">
        <v>36</v>
      </c>
      <c r="M151" s="29">
        <v>49078</v>
      </c>
      <c r="N151" s="29">
        <v>293421</v>
      </c>
      <c r="O151" s="29" t="s">
        <v>97</v>
      </c>
      <c r="P151" s="29" t="s">
        <v>98</v>
      </c>
      <c r="Q151" s="29" t="s">
        <v>79</v>
      </c>
      <c r="R151" s="29" t="s">
        <v>1864</v>
      </c>
      <c r="S151" s="29" t="s">
        <v>1865</v>
      </c>
      <c r="T151" s="29" t="s">
        <v>1165</v>
      </c>
      <c r="U151" s="29" t="s">
        <v>79</v>
      </c>
      <c r="V151" s="29">
        <v>0.48399999999999999</v>
      </c>
      <c r="W151" s="29" t="s">
        <v>1866</v>
      </c>
      <c r="X151" s="29" t="s">
        <v>1867</v>
      </c>
      <c r="Y151" s="29" t="s">
        <v>1868</v>
      </c>
      <c r="Z151" s="29" t="s">
        <v>1869</v>
      </c>
      <c r="AA151" s="29" t="s">
        <v>1870</v>
      </c>
      <c r="AB151" s="29" t="s">
        <v>1871</v>
      </c>
      <c r="AC151" s="29" t="s">
        <v>140</v>
      </c>
      <c r="AD151" s="29" t="s">
        <v>145</v>
      </c>
    </row>
    <row r="152" spans="1:30" ht="14.25" hidden="1">
      <c r="A152" s="29" t="s">
        <v>52</v>
      </c>
      <c r="B152" s="29" t="s">
        <v>153</v>
      </c>
      <c r="C152" s="29" t="s">
        <v>74</v>
      </c>
      <c r="D152" s="29" t="s">
        <v>164</v>
      </c>
      <c r="E152" s="29"/>
      <c r="F152" s="29" t="s">
        <v>1834</v>
      </c>
      <c r="G152" s="29" t="s">
        <v>165</v>
      </c>
      <c r="H152" s="29"/>
      <c r="I152" s="29" t="s">
        <v>133</v>
      </c>
      <c r="J152" s="29" t="s">
        <v>1078</v>
      </c>
      <c r="K152" s="29">
        <f t="shared" si="7"/>
        <v>285244</v>
      </c>
      <c r="L152" s="29">
        <v>36</v>
      </c>
      <c r="M152" s="29">
        <v>1655</v>
      </c>
      <c r="N152" s="29">
        <v>283589</v>
      </c>
      <c r="O152" s="29" t="s">
        <v>97</v>
      </c>
      <c r="P152" s="29" t="s">
        <v>98</v>
      </c>
      <c r="Q152" s="29" t="s">
        <v>79</v>
      </c>
      <c r="R152" s="29" t="s">
        <v>1872</v>
      </c>
      <c r="S152" s="29" t="s">
        <v>1874</v>
      </c>
      <c r="T152" s="29" t="s">
        <v>1165</v>
      </c>
      <c r="U152" s="29" t="s">
        <v>79</v>
      </c>
      <c r="V152" s="29">
        <v>0.92100000000000004</v>
      </c>
      <c r="W152" s="29" t="s">
        <v>1875</v>
      </c>
      <c r="X152" s="29" t="s">
        <v>1876</v>
      </c>
      <c r="Y152" s="29" t="s">
        <v>682</v>
      </c>
      <c r="Z152" s="29" t="s">
        <v>1877</v>
      </c>
      <c r="AA152" s="29" t="s">
        <v>1879</v>
      </c>
      <c r="AB152" s="29" t="s">
        <v>1610</v>
      </c>
      <c r="AC152" s="29" t="s">
        <v>140</v>
      </c>
      <c r="AD152" s="29" t="s">
        <v>145</v>
      </c>
    </row>
    <row r="153" spans="1:30" ht="14.25" hidden="1">
      <c r="A153" s="10" t="s">
        <v>52</v>
      </c>
      <c r="B153" s="10" t="s">
        <v>63</v>
      </c>
      <c r="C153" s="10" t="s">
        <v>74</v>
      </c>
      <c r="D153" s="10" t="s">
        <v>164</v>
      </c>
      <c r="E153" s="10"/>
      <c r="F153" s="10" t="s">
        <v>883</v>
      </c>
      <c r="G153" s="10" t="s">
        <v>165</v>
      </c>
      <c r="H153" s="10" t="s">
        <v>884</v>
      </c>
      <c r="I153" s="10" t="s">
        <v>133</v>
      </c>
      <c r="J153" s="10" t="s">
        <v>218</v>
      </c>
      <c r="K153" s="34">
        <v>342499</v>
      </c>
      <c r="L153" s="10">
        <v>24</v>
      </c>
      <c r="M153" s="34">
        <v>7759</v>
      </c>
      <c r="N153" s="34">
        <v>334740</v>
      </c>
      <c r="O153" s="10" t="s">
        <v>79</v>
      </c>
      <c r="P153" s="10" t="s">
        <v>98</v>
      </c>
      <c r="Q153" s="10" t="s">
        <v>79</v>
      </c>
      <c r="R153" s="10">
        <v>4.09</v>
      </c>
      <c r="S153" s="10" t="s">
        <v>1880</v>
      </c>
      <c r="T153" s="10" t="s">
        <v>1881</v>
      </c>
      <c r="U153" s="10" t="s">
        <v>79</v>
      </c>
      <c r="V153" s="10">
        <v>0.878</v>
      </c>
      <c r="W153" s="10">
        <v>2.68</v>
      </c>
      <c r="X153" s="10" t="s">
        <v>1882</v>
      </c>
      <c r="Y153" s="10">
        <v>3.1E-2</v>
      </c>
      <c r="Z153" s="10">
        <v>6.65</v>
      </c>
      <c r="AA153" s="10" t="s">
        <v>1883</v>
      </c>
      <c r="AB153" s="10">
        <v>0.36299999999999999</v>
      </c>
      <c r="AC153" s="10" t="s">
        <v>140</v>
      </c>
      <c r="AD153" s="10" t="s">
        <v>112</v>
      </c>
    </row>
    <row r="154" spans="1:30" ht="14.25" hidden="1">
      <c r="A154" s="10" t="s">
        <v>52</v>
      </c>
      <c r="B154" s="10" t="s">
        <v>63</v>
      </c>
      <c r="C154" s="10" t="s">
        <v>74</v>
      </c>
      <c r="D154" s="10" t="s">
        <v>75</v>
      </c>
      <c r="E154" s="10"/>
      <c r="F154" s="10" t="s">
        <v>883</v>
      </c>
      <c r="G154" s="10" t="s">
        <v>113</v>
      </c>
      <c r="H154" s="10" t="s">
        <v>884</v>
      </c>
      <c r="I154" s="10" t="s">
        <v>133</v>
      </c>
      <c r="J154" s="10" t="s">
        <v>218</v>
      </c>
      <c r="K154" s="34">
        <v>342499</v>
      </c>
      <c r="L154" s="10">
        <v>38</v>
      </c>
      <c r="M154" s="34">
        <v>7759</v>
      </c>
      <c r="N154" s="34">
        <v>334740</v>
      </c>
      <c r="O154" s="10" t="s">
        <v>79</v>
      </c>
      <c r="P154" s="10" t="s">
        <v>98</v>
      </c>
      <c r="Q154" s="10" t="s">
        <v>79</v>
      </c>
      <c r="R154" s="10">
        <v>0.97</v>
      </c>
      <c r="S154" s="10" t="s">
        <v>885</v>
      </c>
      <c r="T154" s="10">
        <v>0.93899999999999995</v>
      </c>
      <c r="U154" s="10" t="s">
        <v>79</v>
      </c>
      <c r="V154" s="10">
        <v>0.58199999999999996</v>
      </c>
      <c r="W154" s="10">
        <v>0.74</v>
      </c>
      <c r="X154" s="10" t="s">
        <v>887</v>
      </c>
      <c r="Y154" s="10">
        <v>0.55400000000000005</v>
      </c>
      <c r="Z154" s="10">
        <v>0.26</v>
      </c>
      <c r="AA154" s="10" t="s">
        <v>889</v>
      </c>
      <c r="AB154" s="69">
        <v>0.26</v>
      </c>
      <c r="AC154" s="10" t="s">
        <v>140</v>
      </c>
      <c r="AD154" s="10" t="s">
        <v>112</v>
      </c>
    </row>
    <row r="155" spans="1:30" ht="14.25" hidden="1">
      <c r="A155" s="62" t="s">
        <v>70</v>
      </c>
      <c r="B155" s="62" t="s">
        <v>19</v>
      </c>
      <c r="C155" s="62" t="s">
        <v>74</v>
      </c>
      <c r="D155" s="62" t="s">
        <v>246</v>
      </c>
      <c r="E155" s="62"/>
      <c r="F155" s="62" t="s">
        <v>1630</v>
      </c>
      <c r="G155" s="62" t="s">
        <v>248</v>
      </c>
      <c r="H155" s="62" t="s">
        <v>1632</v>
      </c>
      <c r="I155" s="62" t="s">
        <v>133</v>
      </c>
      <c r="J155" s="62" t="s">
        <v>218</v>
      </c>
      <c r="K155" s="109">
        <v>341725</v>
      </c>
      <c r="L155" s="62">
        <v>12</v>
      </c>
      <c r="M155" s="62">
        <v>8597</v>
      </c>
      <c r="N155" s="109">
        <f t="shared" ref="N155:N162" si="8">K155-M155</f>
        <v>333128</v>
      </c>
      <c r="O155" s="62" t="s">
        <v>97</v>
      </c>
      <c r="P155" s="62" t="s">
        <v>98</v>
      </c>
      <c r="Q155" s="62">
        <v>17.286300000000001</v>
      </c>
      <c r="R155" s="62">
        <v>0.97899999999999998</v>
      </c>
      <c r="S155" s="62" t="s">
        <v>1888</v>
      </c>
      <c r="T155" s="62">
        <v>0.97099999999999997</v>
      </c>
      <c r="U155" s="62">
        <v>34.570599999999999</v>
      </c>
      <c r="V155" s="62">
        <v>4.5500000000000002E-3</v>
      </c>
      <c r="W155" s="120">
        <v>0.68300000000000005</v>
      </c>
      <c r="X155" s="62" t="s">
        <v>1889</v>
      </c>
      <c r="Y155" s="62">
        <v>0.52100000000000002</v>
      </c>
      <c r="Z155" s="62">
        <v>0.11600000000000001</v>
      </c>
      <c r="AA155" s="62" t="s">
        <v>1890</v>
      </c>
      <c r="AB155" s="62">
        <v>0.747</v>
      </c>
      <c r="AC155" s="62" t="s">
        <v>109</v>
      </c>
      <c r="AD155" s="62" t="s">
        <v>145</v>
      </c>
    </row>
    <row r="156" spans="1:30" ht="14.25" hidden="1">
      <c r="A156" s="62" t="s">
        <v>70</v>
      </c>
      <c r="B156" s="62" t="s">
        <v>19</v>
      </c>
      <c r="C156" s="62" t="s">
        <v>74</v>
      </c>
      <c r="D156" s="62" t="s">
        <v>246</v>
      </c>
      <c r="E156" s="62"/>
      <c r="F156" s="62" t="s">
        <v>1697</v>
      </c>
      <c r="G156" s="62" t="s">
        <v>248</v>
      </c>
      <c r="H156" s="62" t="s">
        <v>1698</v>
      </c>
      <c r="I156" s="62" t="s">
        <v>133</v>
      </c>
      <c r="J156" s="62" t="s">
        <v>218</v>
      </c>
      <c r="K156" s="109">
        <v>334352</v>
      </c>
      <c r="L156" s="62">
        <v>12</v>
      </c>
      <c r="M156" s="62">
        <v>1224</v>
      </c>
      <c r="N156" s="109">
        <f t="shared" si="8"/>
        <v>333128</v>
      </c>
      <c r="O156" s="62" t="s">
        <v>97</v>
      </c>
      <c r="P156" s="62" t="s">
        <v>98</v>
      </c>
      <c r="Q156" s="62">
        <v>17.286300000000001</v>
      </c>
      <c r="R156" s="62">
        <v>0.28699999999999998</v>
      </c>
      <c r="S156" s="62" t="s">
        <v>1893</v>
      </c>
      <c r="T156" s="62">
        <v>0.22800000000000001</v>
      </c>
      <c r="U156" s="62">
        <v>11.5946</v>
      </c>
      <c r="V156" s="62">
        <v>0.77137999999999995</v>
      </c>
      <c r="W156" s="62">
        <v>0.13600000000000001</v>
      </c>
      <c r="X156" s="62" t="s">
        <v>1894</v>
      </c>
      <c r="Y156" s="62">
        <v>0.17</v>
      </c>
      <c r="Z156" s="62">
        <v>0.89400000000000002</v>
      </c>
      <c r="AA156" s="62" t="s">
        <v>1895</v>
      </c>
      <c r="AB156" s="62">
        <v>0.99199999999999999</v>
      </c>
      <c r="AC156" s="62" t="s">
        <v>109</v>
      </c>
      <c r="AD156" s="62" t="s">
        <v>145</v>
      </c>
    </row>
    <row r="157" spans="1:30" ht="14.25" hidden="1">
      <c r="A157" s="62" t="s">
        <v>70</v>
      </c>
      <c r="B157" s="62" t="s">
        <v>19</v>
      </c>
      <c r="C157" s="62" t="s">
        <v>74</v>
      </c>
      <c r="D157" s="62" t="s">
        <v>622</v>
      </c>
      <c r="E157" s="62"/>
      <c r="F157" s="62" t="s">
        <v>1630</v>
      </c>
      <c r="G157" s="62" t="s">
        <v>215</v>
      </c>
      <c r="H157" s="62" t="s">
        <v>1632</v>
      </c>
      <c r="I157" s="62" t="s">
        <v>133</v>
      </c>
      <c r="J157" s="62" t="s">
        <v>218</v>
      </c>
      <c r="K157" s="109">
        <v>341725</v>
      </c>
      <c r="L157" s="62">
        <v>9</v>
      </c>
      <c r="M157" s="62">
        <v>8597</v>
      </c>
      <c r="N157" s="109">
        <f t="shared" si="8"/>
        <v>333128</v>
      </c>
      <c r="O157" s="62" t="s">
        <v>97</v>
      </c>
      <c r="P157" s="62" t="s">
        <v>98</v>
      </c>
      <c r="Q157" s="62">
        <v>14.9826</v>
      </c>
      <c r="R157" s="62">
        <v>0.99</v>
      </c>
      <c r="S157" s="62" t="s">
        <v>1896</v>
      </c>
      <c r="T157" s="62">
        <v>0.98699999999999999</v>
      </c>
      <c r="U157" s="121">
        <v>49.825000000000003</v>
      </c>
      <c r="V157" s="62">
        <v>2.0000000000000001E-4</v>
      </c>
      <c r="W157" s="62">
        <v>0.36699999999999999</v>
      </c>
      <c r="X157" s="62" t="s">
        <v>1899</v>
      </c>
      <c r="Y157" s="62">
        <v>0.14599999999999999</v>
      </c>
      <c r="Z157" s="62">
        <v>1.883</v>
      </c>
      <c r="AA157" s="62" t="s">
        <v>1900</v>
      </c>
      <c r="AB157" s="62">
        <v>0.83899999999999997</v>
      </c>
      <c r="AC157" s="62" t="s">
        <v>109</v>
      </c>
      <c r="AD157" s="62" t="s">
        <v>145</v>
      </c>
    </row>
    <row r="158" spans="1:30" ht="14.25" hidden="1">
      <c r="A158" s="62" t="s">
        <v>70</v>
      </c>
      <c r="B158" s="62" t="s">
        <v>19</v>
      </c>
      <c r="C158" s="62" t="s">
        <v>74</v>
      </c>
      <c r="D158" s="62" t="s">
        <v>622</v>
      </c>
      <c r="E158" s="62"/>
      <c r="F158" s="62" t="s">
        <v>1697</v>
      </c>
      <c r="G158" s="62" t="s">
        <v>215</v>
      </c>
      <c r="H158" s="62" t="s">
        <v>1698</v>
      </c>
      <c r="I158" s="62" t="s">
        <v>133</v>
      </c>
      <c r="J158" s="62" t="s">
        <v>218</v>
      </c>
      <c r="K158" s="109">
        <v>334352</v>
      </c>
      <c r="L158" s="62">
        <v>9</v>
      </c>
      <c r="M158" s="62">
        <v>1224</v>
      </c>
      <c r="N158" s="109">
        <f t="shared" si="8"/>
        <v>333128</v>
      </c>
      <c r="O158" s="62" t="s">
        <v>97</v>
      </c>
      <c r="P158" s="62" t="s">
        <v>98</v>
      </c>
      <c r="Q158" s="62">
        <v>14.9826</v>
      </c>
      <c r="R158" s="62">
        <v>5.3369999999999997</v>
      </c>
      <c r="S158" s="62" t="s">
        <v>1901</v>
      </c>
      <c r="T158" s="62">
        <v>0.23599999999999999</v>
      </c>
      <c r="U158" s="121">
        <v>33.582999999999998</v>
      </c>
      <c r="V158" s="62">
        <v>2.9100000000000001E-2</v>
      </c>
      <c r="W158" s="62">
        <v>0.871</v>
      </c>
      <c r="X158" s="62" t="s">
        <v>1902</v>
      </c>
      <c r="Y158" s="62">
        <v>0.93600000000000005</v>
      </c>
      <c r="Z158" s="62">
        <v>3.6709999999999998</v>
      </c>
      <c r="AA158" s="62" t="s">
        <v>1903</v>
      </c>
      <c r="AB158" s="62">
        <v>0.84599999999999997</v>
      </c>
      <c r="AC158" s="62" t="s">
        <v>109</v>
      </c>
      <c r="AD158" s="62" t="s">
        <v>145</v>
      </c>
    </row>
    <row r="159" spans="1:30" ht="14.25" hidden="1">
      <c r="A159" s="62" t="s">
        <v>70</v>
      </c>
      <c r="B159" s="62" t="s">
        <v>19</v>
      </c>
      <c r="C159" s="62" t="s">
        <v>74</v>
      </c>
      <c r="D159" s="62" t="s">
        <v>164</v>
      </c>
      <c r="E159" s="62"/>
      <c r="F159" s="62" t="s">
        <v>1630</v>
      </c>
      <c r="G159" s="62" t="s">
        <v>165</v>
      </c>
      <c r="H159" s="62" t="s">
        <v>1632</v>
      </c>
      <c r="I159" s="62" t="s">
        <v>133</v>
      </c>
      <c r="J159" s="62" t="s">
        <v>218</v>
      </c>
      <c r="K159" s="109">
        <v>341725</v>
      </c>
      <c r="L159" s="62">
        <v>30</v>
      </c>
      <c r="M159" s="62">
        <v>8597</v>
      </c>
      <c r="N159" s="109">
        <f t="shared" si="8"/>
        <v>333128</v>
      </c>
      <c r="O159" s="62" t="s">
        <v>97</v>
      </c>
      <c r="P159" s="62" t="s">
        <v>98</v>
      </c>
      <c r="Q159" s="62">
        <v>15.7614</v>
      </c>
      <c r="R159" s="62">
        <v>0.72099999999999997</v>
      </c>
      <c r="S159" s="62" t="s">
        <v>1906</v>
      </c>
      <c r="T159" s="62">
        <v>0.22800000000000001</v>
      </c>
      <c r="U159" s="62">
        <v>70.743099999999998</v>
      </c>
      <c r="V159" s="62">
        <v>6.45E-3</v>
      </c>
      <c r="W159" s="62">
        <v>1.018</v>
      </c>
      <c r="X159" s="62" t="s">
        <v>1907</v>
      </c>
      <c r="Y159" s="62">
        <v>0.95599999999999996</v>
      </c>
      <c r="Z159" s="62">
        <v>5.8999999999999997E-2</v>
      </c>
      <c r="AA159" s="62" t="s">
        <v>1908</v>
      </c>
      <c r="AB159" s="62">
        <v>2.1999999999999999E-2</v>
      </c>
      <c r="AC159" s="62" t="s">
        <v>109</v>
      </c>
      <c r="AD159" s="62" t="s">
        <v>145</v>
      </c>
    </row>
    <row r="160" spans="1:30" ht="14.25" hidden="1">
      <c r="A160" s="62" t="s">
        <v>70</v>
      </c>
      <c r="B160" s="62" t="s">
        <v>19</v>
      </c>
      <c r="C160" s="62" t="s">
        <v>74</v>
      </c>
      <c r="D160" s="62" t="s">
        <v>164</v>
      </c>
      <c r="E160" s="62"/>
      <c r="F160" s="62" t="s">
        <v>1697</v>
      </c>
      <c r="G160" s="62" t="s">
        <v>165</v>
      </c>
      <c r="H160" s="62" t="s">
        <v>1698</v>
      </c>
      <c r="I160" s="62" t="s">
        <v>133</v>
      </c>
      <c r="J160" s="62" t="s">
        <v>218</v>
      </c>
      <c r="K160" s="109">
        <v>334352</v>
      </c>
      <c r="L160" s="62">
        <v>30</v>
      </c>
      <c r="M160" s="62">
        <v>1224</v>
      </c>
      <c r="N160" s="109">
        <f t="shared" si="8"/>
        <v>333128</v>
      </c>
      <c r="O160" s="62" t="s">
        <v>97</v>
      </c>
      <c r="P160" s="62" t="s">
        <v>98</v>
      </c>
      <c r="Q160" s="62">
        <v>15.7614</v>
      </c>
      <c r="R160" s="62">
        <v>0.72199999999999998</v>
      </c>
      <c r="S160" s="62" t="s">
        <v>1909</v>
      </c>
      <c r="T160" s="62">
        <v>0.63300000000000001</v>
      </c>
      <c r="U160" s="62">
        <v>65.641999999999996</v>
      </c>
      <c r="V160" s="62">
        <v>1.882E-2</v>
      </c>
      <c r="W160" s="62">
        <v>0.78500000000000003</v>
      </c>
      <c r="X160" s="62" t="s">
        <v>1912</v>
      </c>
      <c r="Y160" s="62">
        <v>0.77600000000000002</v>
      </c>
      <c r="Z160" s="62">
        <v>4.0000000000000001E-3</v>
      </c>
      <c r="AA160" s="62" t="s">
        <v>1913</v>
      </c>
      <c r="AB160" s="62">
        <v>7.8E-2</v>
      </c>
      <c r="AC160" s="62" t="s">
        <v>109</v>
      </c>
      <c r="AD160" s="62" t="s">
        <v>145</v>
      </c>
    </row>
    <row r="161" spans="1:30" ht="14.25" hidden="1">
      <c r="A161" s="62" t="s">
        <v>70</v>
      </c>
      <c r="B161" s="62" t="s">
        <v>19</v>
      </c>
      <c r="C161" s="62" t="s">
        <v>74</v>
      </c>
      <c r="D161" s="62" t="s">
        <v>75</v>
      </c>
      <c r="E161" s="62"/>
      <c r="F161" s="62" t="s">
        <v>1630</v>
      </c>
      <c r="G161" s="62" t="s">
        <v>113</v>
      </c>
      <c r="H161" s="62" t="s">
        <v>1632</v>
      </c>
      <c r="I161" s="62" t="s">
        <v>133</v>
      </c>
      <c r="J161" s="62" t="s">
        <v>218</v>
      </c>
      <c r="K161" s="109">
        <v>341725</v>
      </c>
      <c r="L161" s="62">
        <v>38</v>
      </c>
      <c r="M161" s="62">
        <v>8597</v>
      </c>
      <c r="N161" s="109">
        <f t="shared" si="8"/>
        <v>333128</v>
      </c>
      <c r="O161" s="62" t="s">
        <v>97</v>
      </c>
      <c r="P161" s="62" t="s">
        <v>98</v>
      </c>
      <c r="Q161" s="62">
        <v>19.537700000000001</v>
      </c>
      <c r="R161" s="62">
        <v>0.35799999999999998</v>
      </c>
      <c r="S161" s="62" t="s">
        <v>1633</v>
      </c>
      <c r="T161" s="62">
        <v>2E-3</v>
      </c>
      <c r="U161" s="62">
        <v>103.4684</v>
      </c>
      <c r="V161" s="62">
        <v>1.6000000000000001E-4</v>
      </c>
      <c r="W161" s="62">
        <v>0.29499999999999998</v>
      </c>
      <c r="X161" s="62" t="s">
        <v>1635</v>
      </c>
      <c r="Y161" s="62">
        <v>2E-3</v>
      </c>
      <c r="Z161" s="62">
        <v>0.104</v>
      </c>
      <c r="AA161" s="62" t="s">
        <v>1636</v>
      </c>
      <c r="AB161" s="62">
        <v>6.3E-2</v>
      </c>
      <c r="AC161" s="62" t="s">
        <v>109</v>
      </c>
      <c r="AD161" s="62" t="s">
        <v>145</v>
      </c>
    </row>
    <row r="162" spans="1:30" ht="14.25" hidden="1">
      <c r="A162" s="62" t="s">
        <v>70</v>
      </c>
      <c r="B162" s="62" t="s">
        <v>19</v>
      </c>
      <c r="C162" s="62" t="s">
        <v>74</v>
      </c>
      <c r="D162" s="62" t="s">
        <v>75</v>
      </c>
      <c r="E162" s="62"/>
      <c r="F162" s="62" t="s">
        <v>1697</v>
      </c>
      <c r="G162" s="62" t="s">
        <v>113</v>
      </c>
      <c r="H162" s="62" t="s">
        <v>1698</v>
      </c>
      <c r="I162" s="62" t="s">
        <v>133</v>
      </c>
      <c r="J162" s="62" t="s">
        <v>218</v>
      </c>
      <c r="K162" s="109">
        <v>334352</v>
      </c>
      <c r="L162" s="62">
        <v>38</v>
      </c>
      <c r="M162" s="62">
        <v>1224</v>
      </c>
      <c r="N162" s="109">
        <f t="shared" si="8"/>
        <v>333128</v>
      </c>
      <c r="O162" s="62" t="s">
        <v>97</v>
      </c>
      <c r="P162" s="62" t="s">
        <v>98</v>
      </c>
      <c r="Q162" s="62">
        <v>19.537700000000001</v>
      </c>
      <c r="R162" s="62">
        <v>0.247</v>
      </c>
      <c r="S162" s="62" t="s">
        <v>1702</v>
      </c>
      <c r="T162" s="62">
        <v>3.2000000000000001E-2</v>
      </c>
      <c r="U162" s="62">
        <v>53.109000000000002</v>
      </c>
      <c r="V162" s="62">
        <v>0.62180000000000002</v>
      </c>
      <c r="W162" s="62">
        <v>0.126</v>
      </c>
      <c r="X162" s="62" t="s">
        <v>1703</v>
      </c>
      <c r="Y162" s="62">
        <v>3.4000000000000002E-2</v>
      </c>
      <c r="Z162" s="62">
        <v>6.0000000000000001E-3</v>
      </c>
      <c r="AA162" s="62" t="s">
        <v>1704</v>
      </c>
      <c r="AB162" s="62">
        <v>3.3000000000000002E-2</v>
      </c>
      <c r="AC162" s="62" t="s">
        <v>109</v>
      </c>
      <c r="AD162" s="62" t="s">
        <v>145</v>
      </c>
    </row>
    <row r="163" spans="1:30" ht="14.25">
      <c r="A163" s="49" t="s">
        <v>52</v>
      </c>
      <c r="B163" s="49" t="s">
        <v>139</v>
      </c>
      <c r="C163" s="49" t="s">
        <v>74</v>
      </c>
      <c r="D163" s="49" t="s">
        <v>164</v>
      </c>
      <c r="E163" s="49" t="s">
        <v>1920</v>
      </c>
      <c r="F163" s="49" t="s">
        <v>411</v>
      </c>
      <c r="G163" s="49" t="s">
        <v>165</v>
      </c>
      <c r="H163" s="49" t="s">
        <v>1681</v>
      </c>
      <c r="I163" s="49" t="s">
        <v>133</v>
      </c>
      <c r="J163" s="49" t="s">
        <v>218</v>
      </c>
      <c r="K163" s="50">
        <v>218754</v>
      </c>
      <c r="L163" s="49">
        <v>39</v>
      </c>
      <c r="M163" s="50">
        <v>55917</v>
      </c>
      <c r="N163" s="50">
        <v>162837</v>
      </c>
      <c r="O163" s="49" t="s">
        <v>97</v>
      </c>
      <c r="P163" s="49" t="s">
        <v>98</v>
      </c>
      <c r="Q163" s="49">
        <v>25.347999999999999</v>
      </c>
      <c r="R163" s="49">
        <v>0.53100000000000003</v>
      </c>
      <c r="S163" s="49" t="s">
        <v>1814</v>
      </c>
      <c r="T163" s="49" t="s">
        <v>1815</v>
      </c>
      <c r="U163" s="49">
        <v>90.638000000000005</v>
      </c>
      <c r="V163" s="49" t="s">
        <v>1723</v>
      </c>
      <c r="W163" s="49">
        <v>0.38600000000000001</v>
      </c>
      <c r="X163" s="49" t="s">
        <v>1816</v>
      </c>
      <c r="Y163" s="49" t="s">
        <v>1723</v>
      </c>
      <c r="Z163" s="49">
        <v>0.129</v>
      </c>
      <c r="AA163" s="49" t="s">
        <v>1817</v>
      </c>
      <c r="AB163" s="49">
        <v>2.6800000000000001E-2</v>
      </c>
      <c r="AC163" s="49" t="s">
        <v>140</v>
      </c>
      <c r="AD163" s="49" t="s">
        <v>1689</v>
      </c>
    </row>
    <row r="164" spans="1:30" ht="14.25" hidden="1">
      <c r="A164" s="23" t="s">
        <v>1585</v>
      </c>
      <c r="B164" s="23" t="s">
        <v>156</v>
      </c>
      <c r="C164" s="23" t="s">
        <v>74</v>
      </c>
      <c r="D164" s="23" t="s">
        <v>246</v>
      </c>
      <c r="E164" s="23"/>
      <c r="F164" s="23" t="s">
        <v>477</v>
      </c>
      <c r="G164" s="23" t="s">
        <v>248</v>
      </c>
      <c r="H164" s="23" t="s">
        <v>1680</v>
      </c>
      <c r="I164" s="14" t="s">
        <v>133</v>
      </c>
      <c r="J164" s="23" t="s">
        <v>218</v>
      </c>
      <c r="K164" s="23">
        <v>177860</v>
      </c>
      <c r="L164" s="23">
        <v>17</v>
      </c>
      <c r="M164" s="23">
        <v>13178</v>
      </c>
      <c r="N164" s="23">
        <v>164682</v>
      </c>
      <c r="O164" s="23" t="s">
        <v>97</v>
      </c>
      <c r="P164" s="23" t="s">
        <v>98</v>
      </c>
      <c r="Q164" s="23" t="s">
        <v>79</v>
      </c>
      <c r="R164" s="23">
        <v>1.82</v>
      </c>
      <c r="S164" s="23" t="s">
        <v>1924</v>
      </c>
      <c r="T164" s="23">
        <v>0.1</v>
      </c>
      <c r="U164" s="23">
        <v>17.22</v>
      </c>
      <c r="V164" s="23">
        <v>0.37</v>
      </c>
      <c r="W164" s="23">
        <v>2.21</v>
      </c>
      <c r="X164" s="23" t="s">
        <v>1925</v>
      </c>
      <c r="Y164" s="23">
        <v>0.1</v>
      </c>
      <c r="Z164" s="23">
        <v>402.69</v>
      </c>
      <c r="AA164" s="23" t="s">
        <v>1926</v>
      </c>
      <c r="AB164" s="23">
        <v>0.14000000000000001</v>
      </c>
      <c r="AC164" s="23" t="s">
        <v>109</v>
      </c>
      <c r="AD164" s="23" t="s">
        <v>155</v>
      </c>
    </row>
    <row r="165" spans="1:30" ht="14.25" hidden="1">
      <c r="A165" s="23" t="s">
        <v>1585</v>
      </c>
      <c r="B165" s="23" t="s">
        <v>156</v>
      </c>
      <c r="C165" s="23" t="s">
        <v>74</v>
      </c>
      <c r="D165" s="23" t="s">
        <v>622</v>
      </c>
      <c r="E165" s="23"/>
      <c r="F165" s="23" t="s">
        <v>477</v>
      </c>
      <c r="G165" s="23" t="s">
        <v>215</v>
      </c>
      <c r="H165" s="23" t="s">
        <v>1680</v>
      </c>
      <c r="I165" s="14" t="s">
        <v>133</v>
      </c>
      <c r="J165" s="23" t="s">
        <v>218</v>
      </c>
      <c r="K165" s="23">
        <v>177860</v>
      </c>
      <c r="L165" s="23">
        <v>19</v>
      </c>
      <c r="M165" s="23">
        <v>13178</v>
      </c>
      <c r="N165" s="23">
        <v>164682</v>
      </c>
      <c r="O165" s="23" t="s">
        <v>97</v>
      </c>
      <c r="P165" s="23" t="s">
        <v>98</v>
      </c>
      <c r="Q165" s="23" t="s">
        <v>79</v>
      </c>
      <c r="R165" s="23">
        <v>0.74</v>
      </c>
      <c r="S165" s="23" t="s">
        <v>1935</v>
      </c>
      <c r="T165" s="23">
        <v>0.53</v>
      </c>
      <c r="U165" s="23">
        <v>27.87</v>
      </c>
      <c r="V165" s="23">
        <v>0.06</v>
      </c>
      <c r="W165" s="23">
        <v>1.04</v>
      </c>
      <c r="X165" s="14" t="s">
        <v>1936</v>
      </c>
      <c r="Y165" s="23">
        <v>0.95</v>
      </c>
      <c r="Z165" s="23">
        <v>0.91</v>
      </c>
      <c r="AA165" s="23" t="s">
        <v>1937</v>
      </c>
      <c r="AB165" s="23">
        <v>0.97</v>
      </c>
      <c r="AC165" s="23" t="s">
        <v>109</v>
      </c>
      <c r="AD165" s="23" t="s">
        <v>155</v>
      </c>
    </row>
    <row r="166" spans="1:30" ht="14.25" hidden="1">
      <c r="A166" s="23" t="s">
        <v>52</v>
      </c>
      <c r="B166" s="23" t="s">
        <v>160</v>
      </c>
      <c r="C166" s="23" t="s">
        <v>74</v>
      </c>
      <c r="D166" s="23" t="s">
        <v>246</v>
      </c>
      <c r="E166" s="14"/>
      <c r="F166" s="14" t="s">
        <v>496</v>
      </c>
      <c r="G166" s="23" t="s">
        <v>248</v>
      </c>
      <c r="H166" s="23" t="s">
        <v>79</v>
      </c>
      <c r="I166" s="23" t="s">
        <v>133</v>
      </c>
      <c r="J166" s="23" t="s">
        <v>133</v>
      </c>
      <c r="K166" s="23" t="s">
        <v>79</v>
      </c>
      <c r="L166" s="23">
        <v>15</v>
      </c>
      <c r="M166" s="23" t="s">
        <v>79</v>
      </c>
      <c r="N166" s="23" t="s">
        <v>79</v>
      </c>
      <c r="O166" s="23" t="s">
        <v>97</v>
      </c>
      <c r="P166" s="23" t="s">
        <v>98</v>
      </c>
      <c r="Q166" s="23" t="s">
        <v>79</v>
      </c>
      <c r="R166" s="23">
        <v>0.99</v>
      </c>
      <c r="S166" s="23" t="s">
        <v>1942</v>
      </c>
      <c r="T166" s="23">
        <v>6.0000000000000001E-3</v>
      </c>
      <c r="U166" s="23">
        <v>10.212</v>
      </c>
      <c r="V166" s="23">
        <v>0.14699999999999999</v>
      </c>
      <c r="W166" s="23">
        <v>0.98699999999999999</v>
      </c>
      <c r="X166" s="23" t="s">
        <v>1943</v>
      </c>
      <c r="Y166" s="23">
        <v>1.4999999999999999E-2</v>
      </c>
      <c r="Z166" s="23">
        <v>0.98499999999999999</v>
      </c>
      <c r="AA166" s="23" t="s">
        <v>1944</v>
      </c>
      <c r="AB166" s="23">
        <v>0.72799999999999998</v>
      </c>
      <c r="AC166" s="23" t="s">
        <v>109</v>
      </c>
      <c r="AD166" s="23" t="s">
        <v>145</v>
      </c>
    </row>
    <row r="167" spans="1:30" ht="14.25" hidden="1">
      <c r="A167" s="23" t="s">
        <v>52</v>
      </c>
      <c r="B167" s="23" t="s">
        <v>160</v>
      </c>
      <c r="C167" s="23" t="s">
        <v>74</v>
      </c>
      <c r="D167" s="14" t="s">
        <v>622</v>
      </c>
      <c r="E167" s="14"/>
      <c r="F167" s="14" t="s">
        <v>496</v>
      </c>
      <c r="G167" s="23" t="s">
        <v>215</v>
      </c>
      <c r="H167" s="23" t="s">
        <v>79</v>
      </c>
      <c r="I167" s="23" t="s">
        <v>133</v>
      </c>
      <c r="J167" s="23" t="s">
        <v>133</v>
      </c>
      <c r="K167" s="23" t="s">
        <v>79</v>
      </c>
      <c r="L167" s="23">
        <v>11</v>
      </c>
      <c r="M167" s="23" t="s">
        <v>79</v>
      </c>
      <c r="N167" s="23" t="s">
        <v>79</v>
      </c>
      <c r="O167" s="23" t="s">
        <v>97</v>
      </c>
      <c r="P167" s="23" t="s">
        <v>98</v>
      </c>
      <c r="Q167" s="23" t="s">
        <v>79</v>
      </c>
      <c r="R167" s="23">
        <v>0.997</v>
      </c>
      <c r="S167" s="23" t="s">
        <v>1948</v>
      </c>
      <c r="T167" s="23">
        <v>0.53700000000000003</v>
      </c>
      <c r="U167" s="23">
        <v>12.48</v>
      </c>
      <c r="V167" s="23">
        <v>0.188</v>
      </c>
      <c r="W167" s="23">
        <v>0.995</v>
      </c>
      <c r="X167" s="23" t="s">
        <v>1950</v>
      </c>
      <c r="Y167" s="23">
        <v>0.46200000000000002</v>
      </c>
      <c r="Z167" s="23">
        <v>1.022</v>
      </c>
      <c r="AA167" s="23" t="s">
        <v>1951</v>
      </c>
      <c r="AB167" s="23">
        <v>0.623</v>
      </c>
      <c r="AC167" s="23" t="s">
        <v>109</v>
      </c>
      <c r="AD167" s="23" t="s">
        <v>145</v>
      </c>
    </row>
    <row r="168" spans="1:30" ht="14.25" hidden="1">
      <c r="A168" s="23" t="s">
        <v>52</v>
      </c>
      <c r="B168" s="23" t="s">
        <v>160</v>
      </c>
      <c r="C168" s="23" t="s">
        <v>74</v>
      </c>
      <c r="D168" s="23" t="s">
        <v>164</v>
      </c>
      <c r="E168" s="14"/>
      <c r="F168" s="14" t="s">
        <v>496</v>
      </c>
      <c r="G168" s="14" t="s">
        <v>165</v>
      </c>
      <c r="H168" s="23" t="s">
        <v>79</v>
      </c>
      <c r="I168" s="23" t="s">
        <v>133</v>
      </c>
      <c r="J168" s="23" t="s">
        <v>133</v>
      </c>
      <c r="K168" s="23" t="s">
        <v>79</v>
      </c>
      <c r="L168" s="23">
        <v>28</v>
      </c>
      <c r="M168" s="23" t="s">
        <v>79</v>
      </c>
      <c r="N168" s="23" t="s">
        <v>79</v>
      </c>
      <c r="O168" s="23" t="s">
        <v>97</v>
      </c>
      <c r="P168" s="23" t="s">
        <v>98</v>
      </c>
      <c r="Q168" s="23" t="s">
        <v>79</v>
      </c>
      <c r="R168" s="23">
        <v>0.99199999999999999</v>
      </c>
      <c r="S168" s="23" t="s">
        <v>1952</v>
      </c>
      <c r="T168" s="23">
        <v>1E-3</v>
      </c>
      <c r="U168" s="23">
        <v>17.286000000000001</v>
      </c>
      <c r="V168" s="23">
        <v>0.92400000000000004</v>
      </c>
      <c r="W168" s="23">
        <v>0.99199999999999999</v>
      </c>
      <c r="X168" s="23" t="s">
        <v>1953</v>
      </c>
      <c r="Y168" s="23">
        <v>1.6E-2</v>
      </c>
      <c r="Z168" s="23">
        <v>1</v>
      </c>
      <c r="AA168" s="23" t="s">
        <v>1954</v>
      </c>
      <c r="AB168" s="23">
        <v>0.999</v>
      </c>
      <c r="AC168" s="23" t="s">
        <v>109</v>
      </c>
      <c r="AD168" s="23" t="s">
        <v>145</v>
      </c>
    </row>
    <row r="169" spans="1:30" ht="14.25" hidden="1">
      <c r="A169" s="23" t="s">
        <v>52</v>
      </c>
      <c r="B169" s="23" t="s">
        <v>160</v>
      </c>
      <c r="C169" s="23" t="s">
        <v>74</v>
      </c>
      <c r="D169" s="23" t="s">
        <v>75</v>
      </c>
      <c r="E169" s="14"/>
      <c r="F169" s="14" t="s">
        <v>496</v>
      </c>
      <c r="G169" s="23" t="s">
        <v>113</v>
      </c>
      <c r="H169" s="23" t="s">
        <v>79</v>
      </c>
      <c r="I169" s="23" t="s">
        <v>133</v>
      </c>
      <c r="J169" s="23" t="s">
        <v>133</v>
      </c>
      <c r="K169" s="23" t="s">
        <v>79</v>
      </c>
      <c r="L169" s="23">
        <v>43</v>
      </c>
      <c r="M169" s="23" t="s">
        <v>79</v>
      </c>
      <c r="N169" s="23" t="s">
        <v>79</v>
      </c>
      <c r="O169" s="23" t="s">
        <v>97</v>
      </c>
      <c r="P169" s="23" t="s">
        <v>98</v>
      </c>
      <c r="Q169" s="23" t="s">
        <v>79</v>
      </c>
      <c r="R169" s="23">
        <v>0.998</v>
      </c>
      <c r="S169" s="23" t="s">
        <v>1773</v>
      </c>
      <c r="T169" s="23">
        <v>0.42</v>
      </c>
      <c r="U169" s="23">
        <v>43.997999999999998</v>
      </c>
      <c r="V169" s="23">
        <v>0.38700000000000001</v>
      </c>
      <c r="W169" s="23">
        <v>0.999</v>
      </c>
      <c r="X169" s="23" t="s">
        <v>1774</v>
      </c>
      <c r="Y169" s="23">
        <v>0.76700000000000002</v>
      </c>
      <c r="Z169" s="23">
        <v>0.996</v>
      </c>
      <c r="AA169" s="23" t="s">
        <v>1776</v>
      </c>
      <c r="AB169" s="23">
        <v>0.70899999999999996</v>
      </c>
      <c r="AC169" s="23" t="s">
        <v>109</v>
      </c>
      <c r="AD169" s="23" t="s">
        <v>145</v>
      </c>
    </row>
    <row r="170" spans="1:30" ht="14.25" hidden="1">
      <c r="A170" s="29" t="s">
        <v>52</v>
      </c>
      <c r="B170" s="29" t="s">
        <v>161</v>
      </c>
      <c r="C170" s="29" t="s">
        <v>74</v>
      </c>
      <c r="D170" s="29" t="s">
        <v>246</v>
      </c>
      <c r="E170" s="29"/>
      <c r="F170" s="29" t="s">
        <v>505</v>
      </c>
      <c r="G170" s="29" t="s">
        <v>248</v>
      </c>
      <c r="H170" s="29" t="s">
        <v>1955</v>
      </c>
      <c r="I170" s="29" t="s">
        <v>133</v>
      </c>
      <c r="J170" s="29" t="s">
        <v>834</v>
      </c>
      <c r="K170" s="29">
        <v>403124</v>
      </c>
      <c r="L170" s="29">
        <v>11</v>
      </c>
      <c r="M170" s="29">
        <v>24955</v>
      </c>
      <c r="N170" s="29">
        <v>378169</v>
      </c>
      <c r="O170" s="29" t="s">
        <v>97</v>
      </c>
      <c r="P170" s="29" t="s">
        <v>98</v>
      </c>
      <c r="Q170" s="29" t="s">
        <v>79</v>
      </c>
      <c r="R170" s="29">
        <v>1.5</v>
      </c>
      <c r="S170" s="29" t="s">
        <v>1956</v>
      </c>
      <c r="T170" s="29" t="s">
        <v>1613</v>
      </c>
      <c r="U170" s="29" t="s">
        <v>1957</v>
      </c>
      <c r="V170" s="29" t="s">
        <v>1958</v>
      </c>
      <c r="W170" s="29" t="s">
        <v>1959</v>
      </c>
      <c r="X170" s="29" t="s">
        <v>1960</v>
      </c>
      <c r="Y170" s="29" t="s">
        <v>1961</v>
      </c>
      <c r="Z170" s="29">
        <v>4.54</v>
      </c>
      <c r="AA170" s="29" t="s">
        <v>1962</v>
      </c>
      <c r="AB170" s="29" t="s">
        <v>1963</v>
      </c>
      <c r="AC170" s="29" t="s">
        <v>140</v>
      </c>
      <c r="AD170" s="29" t="s">
        <v>155</v>
      </c>
    </row>
    <row r="171" spans="1:30" ht="14.25" hidden="1">
      <c r="A171" s="29" t="s">
        <v>52</v>
      </c>
      <c r="B171" s="29" t="s">
        <v>161</v>
      </c>
      <c r="C171" s="29" t="s">
        <v>74</v>
      </c>
      <c r="D171" s="29" t="s">
        <v>75</v>
      </c>
      <c r="E171" s="29"/>
      <c r="F171" s="29" t="s">
        <v>505</v>
      </c>
      <c r="G171" s="29" t="s">
        <v>113</v>
      </c>
      <c r="H171" s="29" t="s">
        <v>1955</v>
      </c>
      <c r="I171" s="29" t="s">
        <v>133</v>
      </c>
      <c r="J171" s="29" t="s">
        <v>834</v>
      </c>
      <c r="K171" s="29">
        <v>403124</v>
      </c>
      <c r="L171" s="29">
        <v>43</v>
      </c>
      <c r="M171" s="29">
        <v>24955</v>
      </c>
      <c r="N171" s="29">
        <v>378169</v>
      </c>
      <c r="O171" s="29" t="s">
        <v>97</v>
      </c>
      <c r="P171" s="29" t="s">
        <v>98</v>
      </c>
      <c r="Q171" s="29" t="s">
        <v>79</v>
      </c>
      <c r="R171" s="29">
        <v>0.92</v>
      </c>
      <c r="S171" s="29" t="s">
        <v>1964</v>
      </c>
      <c r="T171" s="29" t="s">
        <v>1965</v>
      </c>
      <c r="U171" s="29" t="s">
        <v>1966</v>
      </c>
      <c r="V171" s="29" t="s">
        <v>1967</v>
      </c>
      <c r="W171" s="29" t="s">
        <v>1968</v>
      </c>
      <c r="X171" s="29" t="s">
        <v>1969</v>
      </c>
      <c r="Y171" s="29" t="s">
        <v>1970</v>
      </c>
      <c r="Z171" s="29">
        <v>0.73</v>
      </c>
      <c r="AA171" s="29" t="s">
        <v>1971</v>
      </c>
      <c r="AB171" s="29" t="s">
        <v>1972</v>
      </c>
      <c r="AC171" s="29" t="s">
        <v>140</v>
      </c>
      <c r="AD171" s="29" t="s">
        <v>155</v>
      </c>
    </row>
    <row r="172" spans="1:30" ht="14.25" hidden="1">
      <c r="A172" s="29" t="s">
        <v>52</v>
      </c>
      <c r="B172" s="29" t="s">
        <v>161</v>
      </c>
      <c r="C172" s="29" t="s">
        <v>74</v>
      </c>
      <c r="D172" s="29" t="s">
        <v>459</v>
      </c>
      <c r="E172" s="29"/>
      <c r="F172" s="29" t="s">
        <v>505</v>
      </c>
      <c r="G172" s="29" t="s">
        <v>215</v>
      </c>
      <c r="H172" s="29" t="s">
        <v>1955</v>
      </c>
      <c r="I172" s="29" t="s">
        <v>133</v>
      </c>
      <c r="J172" s="29" t="s">
        <v>834</v>
      </c>
      <c r="K172" s="29">
        <v>403124</v>
      </c>
      <c r="L172" s="29">
        <v>14</v>
      </c>
      <c r="M172" s="29">
        <v>24955</v>
      </c>
      <c r="N172" s="29">
        <v>378169</v>
      </c>
      <c r="O172" s="29" t="s">
        <v>97</v>
      </c>
      <c r="P172" s="29" t="s">
        <v>98</v>
      </c>
      <c r="Q172" s="29" t="s">
        <v>79</v>
      </c>
      <c r="R172" s="29">
        <v>0.71</v>
      </c>
      <c r="S172" s="29" t="s">
        <v>1973</v>
      </c>
      <c r="T172" s="29" t="s">
        <v>1974</v>
      </c>
      <c r="U172" s="29" t="s">
        <v>1975</v>
      </c>
      <c r="V172" s="29" t="s">
        <v>1729</v>
      </c>
      <c r="W172" s="29" t="s">
        <v>1976</v>
      </c>
      <c r="X172" s="29" t="s">
        <v>1977</v>
      </c>
      <c r="Y172" s="29" t="s">
        <v>478</v>
      </c>
      <c r="Z172" s="29">
        <v>0.13</v>
      </c>
      <c r="AA172" s="29" t="s">
        <v>1978</v>
      </c>
      <c r="AB172" s="29" t="s">
        <v>1979</v>
      </c>
      <c r="AC172" s="29" t="s">
        <v>140</v>
      </c>
      <c r="AD172" s="29" t="s">
        <v>155</v>
      </c>
    </row>
    <row r="173" spans="1:30" ht="14.25" hidden="1">
      <c r="A173" s="29" t="s">
        <v>52</v>
      </c>
      <c r="B173" s="29" t="s">
        <v>161</v>
      </c>
      <c r="C173" s="29" t="s">
        <v>74</v>
      </c>
      <c r="D173" s="29" t="s">
        <v>164</v>
      </c>
      <c r="E173" s="29"/>
      <c r="F173" s="29" t="s">
        <v>505</v>
      </c>
      <c r="G173" s="29" t="s">
        <v>165</v>
      </c>
      <c r="H173" s="29" t="s">
        <v>1955</v>
      </c>
      <c r="I173" s="29" t="s">
        <v>133</v>
      </c>
      <c r="J173" s="29" t="s">
        <v>834</v>
      </c>
      <c r="K173" s="29">
        <v>403124</v>
      </c>
      <c r="L173" s="29">
        <v>30</v>
      </c>
      <c r="M173" s="29">
        <v>24955</v>
      </c>
      <c r="N173" s="29">
        <v>378169</v>
      </c>
      <c r="O173" s="29" t="s">
        <v>97</v>
      </c>
      <c r="P173" s="29" t="s">
        <v>98</v>
      </c>
      <c r="Q173" s="29" t="s">
        <v>79</v>
      </c>
      <c r="R173" s="29">
        <v>0.46</v>
      </c>
      <c r="S173" s="29" t="s">
        <v>1986</v>
      </c>
      <c r="T173" s="125">
        <v>5.1679999999999999E-4</v>
      </c>
      <c r="U173" s="29" t="s">
        <v>1987</v>
      </c>
      <c r="V173" s="29" t="s">
        <v>1988</v>
      </c>
      <c r="W173" s="29">
        <v>0.44</v>
      </c>
      <c r="X173" s="29" t="s">
        <v>1989</v>
      </c>
      <c r="Y173" s="125">
        <v>1.6230000000000001E-3</v>
      </c>
      <c r="Z173" s="29">
        <v>0.48</v>
      </c>
      <c r="AA173" s="29" t="s">
        <v>1990</v>
      </c>
      <c r="AB173" s="125">
        <v>0.50319999999999998</v>
      </c>
      <c r="AC173" s="29" t="s">
        <v>140</v>
      </c>
      <c r="AD173" s="29" t="s">
        <v>155</v>
      </c>
    </row>
    <row r="174" spans="1:30" ht="14.25" hidden="1">
      <c r="A174" s="33" t="s">
        <v>52</v>
      </c>
      <c r="B174" s="33" t="s">
        <v>163</v>
      </c>
      <c r="C174" s="33" t="s">
        <v>74</v>
      </c>
      <c r="D174" s="33" t="s">
        <v>1991</v>
      </c>
      <c r="E174" s="33"/>
      <c r="F174" s="33" t="s">
        <v>1923</v>
      </c>
      <c r="G174" s="33" t="s">
        <v>248</v>
      </c>
      <c r="H174" s="33" t="s">
        <v>79</v>
      </c>
      <c r="I174" s="33" t="s">
        <v>133</v>
      </c>
      <c r="J174" s="33" t="s">
        <v>218</v>
      </c>
      <c r="K174" s="35">
        <f t="shared" ref="K174:K181" si="9">N174+M174</f>
        <v>276101</v>
      </c>
      <c r="L174" s="33">
        <v>17</v>
      </c>
      <c r="M174" s="33">
        <v>2659</v>
      </c>
      <c r="N174" s="33">
        <v>273442</v>
      </c>
      <c r="O174" s="33" t="s">
        <v>97</v>
      </c>
      <c r="P174" s="33" t="s">
        <v>98</v>
      </c>
      <c r="Q174" s="35">
        <v>37584</v>
      </c>
      <c r="R174" s="39" t="s">
        <v>1992</v>
      </c>
      <c r="S174" s="33" t="s">
        <v>1993</v>
      </c>
      <c r="T174" s="33">
        <v>0.18099999999999999</v>
      </c>
      <c r="U174" s="33" t="s">
        <v>79</v>
      </c>
      <c r="V174" s="33">
        <v>0.223</v>
      </c>
      <c r="W174" s="33" t="s">
        <v>1994</v>
      </c>
      <c r="X174" s="33" t="s">
        <v>1995</v>
      </c>
      <c r="Y174" s="33">
        <v>6.8000000000000005E-2</v>
      </c>
      <c r="Z174" s="33" t="s">
        <v>1996</v>
      </c>
      <c r="AA174" s="33" t="s">
        <v>1997</v>
      </c>
      <c r="AB174" s="33">
        <v>0.69899999999999995</v>
      </c>
      <c r="AC174" s="33" t="s">
        <v>140</v>
      </c>
      <c r="AD174" s="33" t="s">
        <v>385</v>
      </c>
    </row>
    <row r="175" spans="1:30" ht="14.25" hidden="1">
      <c r="A175" s="33" t="s">
        <v>52</v>
      </c>
      <c r="B175" s="33" t="s">
        <v>163</v>
      </c>
      <c r="C175" s="33" t="s">
        <v>74</v>
      </c>
      <c r="D175" s="33" t="s">
        <v>1998</v>
      </c>
      <c r="E175" s="33"/>
      <c r="F175" s="33" t="s">
        <v>1923</v>
      </c>
      <c r="G175" s="33" t="s">
        <v>165</v>
      </c>
      <c r="H175" s="33" t="s">
        <v>79</v>
      </c>
      <c r="I175" s="33" t="s">
        <v>133</v>
      </c>
      <c r="J175" s="33" t="s">
        <v>218</v>
      </c>
      <c r="K175" s="35">
        <f t="shared" si="9"/>
        <v>276101</v>
      </c>
      <c r="L175" s="33">
        <v>42</v>
      </c>
      <c r="M175" s="33">
        <v>2659</v>
      </c>
      <c r="N175" s="33">
        <v>273442</v>
      </c>
      <c r="O175" s="33" t="s">
        <v>97</v>
      </c>
      <c r="P175" s="33" t="s">
        <v>98</v>
      </c>
      <c r="Q175" s="35">
        <v>42065</v>
      </c>
      <c r="R175" s="39" t="s">
        <v>1999</v>
      </c>
      <c r="S175" s="33" t="s">
        <v>2000</v>
      </c>
      <c r="T175" s="33">
        <v>8.9999999999999993E-3</v>
      </c>
      <c r="U175" s="33" t="s">
        <v>79</v>
      </c>
      <c r="V175" s="33">
        <v>0.78800000000000003</v>
      </c>
      <c r="W175" s="33" t="s">
        <v>2001</v>
      </c>
      <c r="X175" s="33" t="s">
        <v>2002</v>
      </c>
      <c r="Y175" s="33">
        <v>1.6E-2</v>
      </c>
      <c r="Z175" s="33" t="s">
        <v>2003</v>
      </c>
      <c r="AA175" s="33" t="s">
        <v>2004</v>
      </c>
      <c r="AB175" s="33">
        <v>9.9000000000000005E-2</v>
      </c>
      <c r="AC175" s="33" t="s">
        <v>140</v>
      </c>
      <c r="AD175" s="33" t="s">
        <v>385</v>
      </c>
    </row>
    <row r="176" spans="1:30" ht="14.25" hidden="1">
      <c r="A176" s="33" t="s">
        <v>52</v>
      </c>
      <c r="B176" s="33" t="s">
        <v>163</v>
      </c>
      <c r="C176" s="33" t="s">
        <v>74</v>
      </c>
      <c r="D176" s="33" t="s">
        <v>363</v>
      </c>
      <c r="E176" s="33"/>
      <c r="F176" s="33" t="s">
        <v>1923</v>
      </c>
      <c r="G176" s="33" t="s">
        <v>113</v>
      </c>
      <c r="H176" s="33" t="s">
        <v>79</v>
      </c>
      <c r="I176" s="33" t="s">
        <v>133</v>
      </c>
      <c r="J176" s="33" t="s">
        <v>218</v>
      </c>
      <c r="K176" s="35">
        <f t="shared" si="9"/>
        <v>276101</v>
      </c>
      <c r="L176" s="33">
        <v>56</v>
      </c>
      <c r="M176" s="33">
        <v>2659</v>
      </c>
      <c r="N176" s="33">
        <v>273442</v>
      </c>
      <c r="O176" s="33" t="s">
        <v>97</v>
      </c>
      <c r="P176" s="33" t="s">
        <v>98</v>
      </c>
      <c r="Q176" s="35">
        <v>45242</v>
      </c>
      <c r="R176" s="39" t="s">
        <v>1927</v>
      </c>
      <c r="S176" s="33" t="s">
        <v>1928</v>
      </c>
      <c r="T176" s="33">
        <v>0.14000000000000001</v>
      </c>
      <c r="U176" s="33" t="s">
        <v>79</v>
      </c>
      <c r="V176" s="33">
        <v>0.06</v>
      </c>
      <c r="W176" s="33" t="s">
        <v>1929</v>
      </c>
      <c r="X176" s="33" t="s">
        <v>1930</v>
      </c>
      <c r="Y176" s="33">
        <v>0.95299999999999996</v>
      </c>
      <c r="Z176" s="33" t="s">
        <v>1933</v>
      </c>
      <c r="AA176" s="33" t="s">
        <v>1934</v>
      </c>
      <c r="AB176" s="33">
        <v>0.21</v>
      </c>
      <c r="AC176" s="33" t="s">
        <v>140</v>
      </c>
      <c r="AD176" s="33" t="s">
        <v>385</v>
      </c>
    </row>
    <row r="177" spans="1:30" ht="14.25" hidden="1">
      <c r="A177" s="33" t="s">
        <v>52</v>
      </c>
      <c r="B177" s="33" t="s">
        <v>163</v>
      </c>
      <c r="C177" s="33" t="s">
        <v>74</v>
      </c>
      <c r="D177" s="33" t="s">
        <v>622</v>
      </c>
      <c r="E177" s="33"/>
      <c r="F177" s="33" t="s">
        <v>1923</v>
      </c>
      <c r="G177" s="33" t="s">
        <v>215</v>
      </c>
      <c r="H177" s="33" t="s">
        <v>79</v>
      </c>
      <c r="I177" s="33" t="s">
        <v>133</v>
      </c>
      <c r="J177" s="33" t="s">
        <v>218</v>
      </c>
      <c r="K177" s="35">
        <f t="shared" si="9"/>
        <v>276101</v>
      </c>
      <c r="L177" s="33">
        <v>17</v>
      </c>
      <c r="M177" s="33">
        <v>2659</v>
      </c>
      <c r="N177" s="33">
        <v>273442</v>
      </c>
      <c r="O177" s="33" t="s">
        <v>97</v>
      </c>
      <c r="P177" s="33" t="s">
        <v>98</v>
      </c>
      <c r="Q177" s="35">
        <v>39582</v>
      </c>
      <c r="R177" s="39" t="s">
        <v>2005</v>
      </c>
      <c r="S177" s="33" t="s">
        <v>2006</v>
      </c>
      <c r="T177" s="33">
        <v>0.121</v>
      </c>
      <c r="U177" s="33" t="s">
        <v>79</v>
      </c>
      <c r="V177" s="33">
        <v>0.189</v>
      </c>
      <c r="W177" s="33" t="s">
        <v>2007</v>
      </c>
      <c r="X177" s="33" t="s">
        <v>2008</v>
      </c>
      <c r="Y177" s="33">
        <v>0.41599999999999998</v>
      </c>
      <c r="Z177" s="33" t="s">
        <v>2009</v>
      </c>
      <c r="AA177" s="33" t="s">
        <v>2010</v>
      </c>
      <c r="AB177" s="33">
        <v>0.56899999999999995</v>
      </c>
      <c r="AC177" s="33" t="s">
        <v>140</v>
      </c>
      <c r="AD177" s="33" t="s">
        <v>385</v>
      </c>
    </row>
    <row r="178" spans="1:30" ht="14.25" hidden="1">
      <c r="A178" s="33" t="s">
        <v>52</v>
      </c>
      <c r="B178" s="33" t="s">
        <v>163</v>
      </c>
      <c r="C178" s="33" t="s">
        <v>74</v>
      </c>
      <c r="D178" s="33" t="s">
        <v>1991</v>
      </c>
      <c r="E178" s="33"/>
      <c r="F178" s="33" t="s">
        <v>365</v>
      </c>
      <c r="G178" s="33" t="s">
        <v>248</v>
      </c>
      <c r="H178" s="33" t="s">
        <v>79</v>
      </c>
      <c r="I178" s="33" t="s">
        <v>133</v>
      </c>
      <c r="J178" s="33" t="s">
        <v>218</v>
      </c>
      <c r="K178" s="35">
        <f t="shared" si="9"/>
        <v>278090</v>
      </c>
      <c r="L178" s="33">
        <v>17</v>
      </c>
      <c r="M178" s="33">
        <v>4648</v>
      </c>
      <c r="N178" s="33">
        <v>273442</v>
      </c>
      <c r="O178" s="33" t="s">
        <v>97</v>
      </c>
      <c r="P178" s="33" t="s">
        <v>98</v>
      </c>
      <c r="Q178" s="35">
        <v>37584</v>
      </c>
      <c r="R178" s="39" t="s">
        <v>2011</v>
      </c>
      <c r="S178" s="33" t="s">
        <v>2012</v>
      </c>
      <c r="T178" s="33">
        <v>0.14199999999999999</v>
      </c>
      <c r="U178" s="33" t="s">
        <v>79</v>
      </c>
      <c r="V178" s="33">
        <v>6.6000000000000003E-2</v>
      </c>
      <c r="W178" s="33" t="s">
        <v>2013</v>
      </c>
      <c r="X178" s="33" t="s">
        <v>2014</v>
      </c>
      <c r="Y178" s="33">
        <v>5.1999999999999998E-2</v>
      </c>
      <c r="Z178" s="33" t="s">
        <v>2015</v>
      </c>
      <c r="AA178" s="33" t="s">
        <v>2016</v>
      </c>
      <c r="AB178" s="33">
        <v>7.2999999999999995E-2</v>
      </c>
      <c r="AC178" s="33" t="s">
        <v>109</v>
      </c>
      <c r="AD178" s="33" t="s">
        <v>385</v>
      </c>
    </row>
    <row r="179" spans="1:30" ht="14.25" hidden="1">
      <c r="A179" s="33" t="s">
        <v>52</v>
      </c>
      <c r="B179" s="33" t="s">
        <v>163</v>
      </c>
      <c r="C179" s="33" t="s">
        <v>74</v>
      </c>
      <c r="D179" s="33" t="s">
        <v>1998</v>
      </c>
      <c r="E179" s="33"/>
      <c r="F179" s="33" t="s">
        <v>365</v>
      </c>
      <c r="G179" s="33" t="s">
        <v>165</v>
      </c>
      <c r="H179" s="33" t="s">
        <v>79</v>
      </c>
      <c r="I179" s="33" t="s">
        <v>133</v>
      </c>
      <c r="J179" s="33" t="s">
        <v>218</v>
      </c>
      <c r="K179" s="35">
        <f t="shared" si="9"/>
        <v>278090</v>
      </c>
      <c r="L179" s="33">
        <v>42</v>
      </c>
      <c r="M179" s="33">
        <v>4648</v>
      </c>
      <c r="N179" s="33">
        <v>273442</v>
      </c>
      <c r="O179" s="33" t="s">
        <v>97</v>
      </c>
      <c r="P179" s="33" t="s">
        <v>98</v>
      </c>
      <c r="Q179" s="35">
        <v>42065</v>
      </c>
      <c r="R179" s="39" t="s">
        <v>2017</v>
      </c>
      <c r="S179" s="33" t="s">
        <v>2018</v>
      </c>
      <c r="T179" s="33" t="s">
        <v>2019</v>
      </c>
      <c r="U179" s="33" t="s">
        <v>79</v>
      </c>
      <c r="V179" s="33">
        <v>0.46</v>
      </c>
      <c r="W179" s="33" t="s">
        <v>2020</v>
      </c>
      <c r="X179" s="33" t="s">
        <v>2021</v>
      </c>
      <c r="Y179" s="33">
        <v>1E-3</v>
      </c>
      <c r="Z179" s="33" t="s">
        <v>2022</v>
      </c>
      <c r="AA179" s="33" t="s">
        <v>2023</v>
      </c>
      <c r="AB179" s="33">
        <v>0.14000000000000001</v>
      </c>
      <c r="AC179" s="33" t="s">
        <v>109</v>
      </c>
      <c r="AD179" s="33" t="s">
        <v>385</v>
      </c>
    </row>
    <row r="180" spans="1:30" ht="14.25" hidden="1">
      <c r="A180" s="33" t="s">
        <v>52</v>
      </c>
      <c r="B180" s="33" t="s">
        <v>163</v>
      </c>
      <c r="C180" s="33" t="s">
        <v>74</v>
      </c>
      <c r="D180" s="33" t="s">
        <v>363</v>
      </c>
      <c r="E180" s="33"/>
      <c r="F180" s="33" t="s">
        <v>365</v>
      </c>
      <c r="G180" s="33" t="s">
        <v>113</v>
      </c>
      <c r="H180" s="33" t="s">
        <v>79</v>
      </c>
      <c r="I180" s="33" t="s">
        <v>133</v>
      </c>
      <c r="J180" s="33" t="s">
        <v>218</v>
      </c>
      <c r="K180" s="35">
        <f t="shared" si="9"/>
        <v>278090</v>
      </c>
      <c r="L180" s="33">
        <v>56</v>
      </c>
      <c r="M180" s="33">
        <v>4648</v>
      </c>
      <c r="N180" s="33">
        <v>273442</v>
      </c>
      <c r="O180" s="33" t="s">
        <v>97</v>
      </c>
      <c r="P180" s="33" t="s">
        <v>98</v>
      </c>
      <c r="Q180" s="35">
        <v>45242</v>
      </c>
      <c r="R180" s="39" t="s">
        <v>376</v>
      </c>
      <c r="S180" s="33" t="s">
        <v>377</v>
      </c>
      <c r="T180" s="33">
        <v>3.4000000000000002E-2</v>
      </c>
      <c r="U180" s="33" t="s">
        <v>79</v>
      </c>
      <c r="V180" s="33">
        <v>9.0999999999999998E-2</v>
      </c>
      <c r="W180" s="33" t="s">
        <v>379</v>
      </c>
      <c r="X180" s="33" t="s">
        <v>381</v>
      </c>
      <c r="Y180" s="33">
        <v>0.20799999999999999</v>
      </c>
      <c r="Z180" s="33">
        <v>13.047000000000001</v>
      </c>
      <c r="AA180" s="33" t="s">
        <v>383</v>
      </c>
      <c r="AB180" s="33">
        <v>4.3999999999999997E-2</v>
      </c>
      <c r="AC180" s="33" t="s">
        <v>109</v>
      </c>
      <c r="AD180" s="33" t="s">
        <v>385</v>
      </c>
    </row>
    <row r="181" spans="1:30" ht="14.25" hidden="1">
      <c r="A181" s="33" t="s">
        <v>52</v>
      </c>
      <c r="B181" s="33" t="s">
        <v>163</v>
      </c>
      <c r="C181" s="33" t="s">
        <v>74</v>
      </c>
      <c r="D181" s="33" t="s">
        <v>622</v>
      </c>
      <c r="E181" s="33"/>
      <c r="F181" s="33" t="s">
        <v>365</v>
      </c>
      <c r="G181" s="33" t="s">
        <v>215</v>
      </c>
      <c r="H181" s="33" t="s">
        <v>79</v>
      </c>
      <c r="I181" s="33" t="s">
        <v>133</v>
      </c>
      <c r="J181" s="33" t="s">
        <v>218</v>
      </c>
      <c r="K181" s="35">
        <f t="shared" si="9"/>
        <v>278090</v>
      </c>
      <c r="L181" s="33">
        <v>17</v>
      </c>
      <c r="M181" s="33">
        <v>4648</v>
      </c>
      <c r="N181" s="33">
        <v>273442</v>
      </c>
      <c r="O181" s="33" t="s">
        <v>97</v>
      </c>
      <c r="P181" s="33" t="s">
        <v>98</v>
      </c>
      <c r="Q181" s="35">
        <v>39582</v>
      </c>
      <c r="R181" s="39" t="s">
        <v>2024</v>
      </c>
      <c r="S181" s="33" t="s">
        <v>2025</v>
      </c>
      <c r="T181" s="33">
        <v>0.161</v>
      </c>
      <c r="U181" s="33" t="s">
        <v>79</v>
      </c>
      <c r="V181" s="33">
        <v>3.5000000000000003E-2</v>
      </c>
      <c r="W181" s="33" t="s">
        <v>2026</v>
      </c>
      <c r="X181" s="33" t="s">
        <v>2027</v>
      </c>
      <c r="Y181" s="33">
        <v>0.54</v>
      </c>
      <c r="Z181" s="33" t="s">
        <v>2028</v>
      </c>
      <c r="AA181" s="33" t="s">
        <v>2029</v>
      </c>
      <c r="AB181" s="33">
        <v>0.83599999999999997</v>
      </c>
      <c r="AC181" s="33" t="s">
        <v>109</v>
      </c>
      <c r="AD181" s="33" t="s">
        <v>385</v>
      </c>
    </row>
    <row r="182" spans="1:30" ht="14.25" hidden="1">
      <c r="A182" s="23" t="s">
        <v>52</v>
      </c>
      <c r="B182" s="23" t="s">
        <v>167</v>
      </c>
      <c r="C182" s="23" t="s">
        <v>74</v>
      </c>
      <c r="D182" s="23" t="s">
        <v>75</v>
      </c>
      <c r="E182" s="23"/>
      <c r="F182" s="23" t="s">
        <v>2030</v>
      </c>
      <c r="G182" s="23" t="s">
        <v>113</v>
      </c>
      <c r="H182" s="23" t="s">
        <v>2031</v>
      </c>
      <c r="I182" s="23" t="s">
        <v>133</v>
      </c>
      <c r="J182" s="23" t="s">
        <v>1264</v>
      </c>
      <c r="K182" s="23">
        <v>309154</v>
      </c>
      <c r="L182" s="23">
        <v>55</v>
      </c>
      <c r="M182" s="23">
        <v>8060</v>
      </c>
      <c r="N182" s="23">
        <v>301094</v>
      </c>
      <c r="O182" s="23" t="s">
        <v>97</v>
      </c>
      <c r="P182" s="23" t="s">
        <v>98</v>
      </c>
      <c r="Q182" s="23" t="s">
        <v>79</v>
      </c>
      <c r="R182" s="23" t="s">
        <v>2032</v>
      </c>
      <c r="S182" s="23" t="s">
        <v>2033</v>
      </c>
      <c r="T182" s="23" t="s">
        <v>2034</v>
      </c>
      <c r="U182" s="23" t="s">
        <v>2035</v>
      </c>
      <c r="V182" s="23" t="s">
        <v>1875</v>
      </c>
      <c r="W182" s="23" t="s">
        <v>2038</v>
      </c>
      <c r="X182" s="23" t="s">
        <v>2039</v>
      </c>
      <c r="Y182" s="23" t="s">
        <v>2040</v>
      </c>
      <c r="Z182" s="126" t="s">
        <v>579</v>
      </c>
      <c r="AA182" s="23" t="s">
        <v>2041</v>
      </c>
      <c r="AB182" s="23" t="s">
        <v>2042</v>
      </c>
      <c r="AC182" s="23" t="s">
        <v>109</v>
      </c>
      <c r="AD182" s="23" t="s">
        <v>145</v>
      </c>
    </row>
    <row r="183" spans="1:30" ht="14.25" hidden="1">
      <c r="A183" s="33" t="s">
        <v>70</v>
      </c>
      <c r="B183" s="33" t="s">
        <v>175</v>
      </c>
      <c r="C183" s="33" t="s">
        <v>74</v>
      </c>
      <c r="D183" s="33" t="s">
        <v>2043</v>
      </c>
      <c r="E183" s="33"/>
      <c r="F183" s="33" t="s">
        <v>562</v>
      </c>
      <c r="G183" s="33" t="s">
        <v>248</v>
      </c>
      <c r="H183" s="33" t="s">
        <v>2044</v>
      </c>
      <c r="I183" s="33" t="s">
        <v>133</v>
      </c>
      <c r="J183" s="33" t="s">
        <v>218</v>
      </c>
      <c r="K183" s="35">
        <v>214620</v>
      </c>
      <c r="L183" s="33">
        <v>17</v>
      </c>
      <c r="M183" s="35">
        <v>4320</v>
      </c>
      <c r="N183" s="35">
        <f t="shared" ref="N183:N185" si="10">K183-M183</f>
        <v>210300</v>
      </c>
      <c r="O183" s="33" t="s">
        <v>79</v>
      </c>
      <c r="P183" s="33" t="s">
        <v>98</v>
      </c>
      <c r="Q183" s="33" t="s">
        <v>79</v>
      </c>
      <c r="R183" s="33">
        <v>1.742</v>
      </c>
      <c r="S183" s="33" t="s">
        <v>2045</v>
      </c>
      <c r="T183" s="33">
        <v>0.33700000000000002</v>
      </c>
      <c r="U183" s="33">
        <v>18.312000000000001</v>
      </c>
      <c r="V183" s="33">
        <v>0.30599999999999999</v>
      </c>
      <c r="W183" s="33">
        <v>1.129</v>
      </c>
      <c r="X183" s="33" t="s">
        <v>2047</v>
      </c>
      <c r="Y183" s="33">
        <v>0.88100000000000001</v>
      </c>
      <c r="Z183" s="33" t="s">
        <v>1165</v>
      </c>
      <c r="AA183" s="33" t="s">
        <v>2049</v>
      </c>
      <c r="AB183" s="33">
        <v>0.108</v>
      </c>
      <c r="AC183" s="10" t="s">
        <v>140</v>
      </c>
      <c r="AD183" s="33" t="s">
        <v>385</v>
      </c>
    </row>
    <row r="184" spans="1:30" ht="14.25" hidden="1">
      <c r="A184" s="33" t="s">
        <v>70</v>
      </c>
      <c r="B184" s="33" t="s">
        <v>175</v>
      </c>
      <c r="C184" s="33" t="s">
        <v>74</v>
      </c>
      <c r="D184" s="33" t="s">
        <v>164</v>
      </c>
      <c r="E184" s="33"/>
      <c r="F184" s="33" t="s">
        <v>562</v>
      </c>
      <c r="G184" s="33" t="s">
        <v>165</v>
      </c>
      <c r="H184" s="33" t="s">
        <v>2044</v>
      </c>
      <c r="I184" s="33" t="s">
        <v>133</v>
      </c>
      <c r="J184" s="33" t="s">
        <v>218</v>
      </c>
      <c r="K184" s="35">
        <v>214620</v>
      </c>
      <c r="L184" s="33">
        <v>41</v>
      </c>
      <c r="M184" s="35">
        <v>4320</v>
      </c>
      <c r="N184" s="35">
        <f t="shared" si="10"/>
        <v>210300</v>
      </c>
      <c r="O184" s="33" t="s">
        <v>79</v>
      </c>
      <c r="P184" s="33" t="s">
        <v>98</v>
      </c>
      <c r="Q184" s="33" t="s">
        <v>79</v>
      </c>
      <c r="R184" s="33">
        <v>0.48799999999999999</v>
      </c>
      <c r="S184" s="33" t="s">
        <v>2050</v>
      </c>
      <c r="T184" s="33">
        <v>2.5000000000000001E-2</v>
      </c>
      <c r="U184" s="129">
        <v>49.7</v>
      </c>
      <c r="V184" s="129">
        <v>0.14000000000000001</v>
      </c>
      <c r="W184" s="33">
        <v>0.73299999999999998</v>
      </c>
      <c r="X184" s="33" t="s">
        <v>2051</v>
      </c>
      <c r="Y184" s="33">
        <v>0.505</v>
      </c>
      <c r="Z184" s="33">
        <v>0.307</v>
      </c>
      <c r="AA184" s="33" t="s">
        <v>2052</v>
      </c>
      <c r="AB184" s="129">
        <v>0.47</v>
      </c>
      <c r="AC184" s="10" t="s">
        <v>140</v>
      </c>
      <c r="AD184" s="33" t="s">
        <v>385</v>
      </c>
    </row>
    <row r="185" spans="1:30" ht="14.25" hidden="1">
      <c r="A185" s="33" t="s">
        <v>70</v>
      </c>
      <c r="B185" s="33" t="s">
        <v>175</v>
      </c>
      <c r="C185" s="33" t="s">
        <v>74</v>
      </c>
      <c r="D185" s="33" t="s">
        <v>75</v>
      </c>
      <c r="E185" s="33"/>
      <c r="F185" s="33" t="s">
        <v>562</v>
      </c>
      <c r="G185" s="33" t="s">
        <v>113</v>
      </c>
      <c r="H185" s="33" t="s">
        <v>2044</v>
      </c>
      <c r="I185" s="33" t="s">
        <v>133</v>
      </c>
      <c r="J185" s="33" t="s">
        <v>218</v>
      </c>
      <c r="K185" s="35">
        <v>214620</v>
      </c>
      <c r="L185" s="33">
        <v>53</v>
      </c>
      <c r="M185" s="35">
        <v>4320</v>
      </c>
      <c r="N185" s="35">
        <f t="shared" si="10"/>
        <v>210300</v>
      </c>
      <c r="O185" s="33" t="s">
        <v>79</v>
      </c>
      <c r="P185" s="33" t="s">
        <v>98</v>
      </c>
      <c r="Q185" s="33" t="s">
        <v>79</v>
      </c>
      <c r="R185" s="33">
        <v>0.97699999999999998</v>
      </c>
      <c r="S185" s="33" t="s">
        <v>2053</v>
      </c>
      <c r="T185" s="33">
        <v>0.95199999999999996</v>
      </c>
      <c r="U185" s="33">
        <v>49.505000000000003</v>
      </c>
      <c r="V185" s="33">
        <v>0.57299999999999995</v>
      </c>
      <c r="W185" s="33">
        <v>0.76500000000000001</v>
      </c>
      <c r="X185" s="33" t="s">
        <v>2054</v>
      </c>
      <c r="Y185" s="33">
        <v>0.63900000000000001</v>
      </c>
      <c r="Z185" s="129">
        <v>0.19</v>
      </c>
      <c r="AA185" s="33" t="s">
        <v>2055</v>
      </c>
      <c r="AB185" s="33">
        <v>0.20599999999999999</v>
      </c>
      <c r="AC185" s="10" t="s">
        <v>140</v>
      </c>
      <c r="AD185" s="33" t="s">
        <v>385</v>
      </c>
    </row>
    <row r="186" spans="1:30" ht="14.25" hidden="1">
      <c r="A186" s="14" t="s">
        <v>70</v>
      </c>
      <c r="B186" s="14" t="s">
        <v>211</v>
      </c>
      <c r="C186" s="14" t="s">
        <v>74</v>
      </c>
      <c r="D186" s="14" t="s">
        <v>246</v>
      </c>
      <c r="E186" s="14"/>
      <c r="F186" s="14" t="s">
        <v>411</v>
      </c>
      <c r="G186" s="14" t="s">
        <v>248</v>
      </c>
      <c r="H186" s="14" t="s">
        <v>1693</v>
      </c>
      <c r="I186" s="14" t="s">
        <v>133</v>
      </c>
      <c r="J186" s="14" t="s">
        <v>218</v>
      </c>
      <c r="K186" s="19">
        <v>361088</v>
      </c>
      <c r="L186" s="14">
        <v>17</v>
      </c>
      <c r="M186" s="19">
        <v>95462</v>
      </c>
      <c r="N186" s="19">
        <v>265626</v>
      </c>
      <c r="O186" s="14" t="s">
        <v>79</v>
      </c>
      <c r="P186" s="14" t="s">
        <v>98</v>
      </c>
      <c r="Q186" s="14" t="s">
        <v>79</v>
      </c>
      <c r="R186" s="14">
        <v>1.01</v>
      </c>
      <c r="S186" s="14" t="s">
        <v>2061</v>
      </c>
      <c r="T186" s="14">
        <v>0.97099999999999997</v>
      </c>
      <c r="U186" s="14">
        <v>8.3800000000000008</v>
      </c>
      <c r="V186" s="14">
        <v>0.81799999999999995</v>
      </c>
      <c r="W186" s="14">
        <v>0.94</v>
      </c>
      <c r="X186" s="14" t="s">
        <v>2062</v>
      </c>
      <c r="Y186" s="14">
        <v>0.80400000000000005</v>
      </c>
      <c r="Z186" s="14">
        <v>0.15</v>
      </c>
      <c r="AA186" s="14" t="s">
        <v>2063</v>
      </c>
      <c r="AB186" s="14">
        <v>0.36199999999999999</v>
      </c>
      <c r="AC186" s="14" t="s">
        <v>140</v>
      </c>
      <c r="AD186" s="14" t="s">
        <v>1689</v>
      </c>
    </row>
    <row r="187" spans="1:30" ht="14.25">
      <c r="A187" s="14" t="s">
        <v>70</v>
      </c>
      <c r="B187" s="14" t="s">
        <v>211</v>
      </c>
      <c r="C187" s="14" t="s">
        <v>74</v>
      </c>
      <c r="D187" s="14" t="s">
        <v>164</v>
      </c>
      <c r="E187" s="14" t="s">
        <v>1920</v>
      </c>
      <c r="F187" s="14" t="s">
        <v>411</v>
      </c>
      <c r="G187" s="14" t="s">
        <v>165</v>
      </c>
      <c r="H187" s="14" t="s">
        <v>1693</v>
      </c>
      <c r="I187" s="14" t="s">
        <v>133</v>
      </c>
      <c r="J187" s="14" t="s">
        <v>218</v>
      </c>
      <c r="K187" s="19">
        <v>361088</v>
      </c>
      <c r="L187" s="14">
        <v>43</v>
      </c>
      <c r="M187" s="19">
        <v>95462</v>
      </c>
      <c r="N187" s="19">
        <v>265626</v>
      </c>
      <c r="O187" s="14" t="s">
        <v>79</v>
      </c>
      <c r="P187" s="14" t="s">
        <v>98</v>
      </c>
      <c r="Q187" s="14" t="s">
        <v>79</v>
      </c>
      <c r="R187" s="14">
        <v>0.51</v>
      </c>
      <c r="S187" s="14" t="s">
        <v>2064</v>
      </c>
      <c r="T187" s="46">
        <v>2.3099999999999999E-5</v>
      </c>
      <c r="U187" s="14">
        <v>64.92</v>
      </c>
      <c r="V187" s="46">
        <v>2.24E-4</v>
      </c>
      <c r="W187" s="14">
        <v>0.46</v>
      </c>
      <c r="X187" s="14" t="s">
        <v>2065</v>
      </c>
      <c r="Y187" s="14" t="s">
        <v>2066</v>
      </c>
      <c r="Z187" s="14">
        <v>0.15</v>
      </c>
      <c r="AA187" s="14" t="s">
        <v>2067</v>
      </c>
      <c r="AB187" s="14">
        <v>0.01</v>
      </c>
      <c r="AC187" s="14" t="s">
        <v>140</v>
      </c>
      <c r="AD187" s="14" t="s">
        <v>1689</v>
      </c>
    </row>
    <row r="188" spans="1:30" ht="14.25">
      <c r="A188" s="14" t="s">
        <v>52</v>
      </c>
      <c r="B188" s="14" t="s">
        <v>67</v>
      </c>
      <c r="C188" s="14" t="s">
        <v>74</v>
      </c>
      <c r="D188" s="14" t="s">
        <v>164</v>
      </c>
      <c r="E188" s="14" t="s">
        <v>2068</v>
      </c>
      <c r="F188" s="14" t="s">
        <v>389</v>
      </c>
      <c r="G188" s="14" t="s">
        <v>165</v>
      </c>
      <c r="H188" s="14" t="s">
        <v>390</v>
      </c>
      <c r="I188" s="14" t="s">
        <v>133</v>
      </c>
      <c r="J188" s="14" t="s">
        <v>394</v>
      </c>
      <c r="K188" s="14">
        <f>M188+N188</f>
        <v>228951</v>
      </c>
      <c r="L188" s="14">
        <v>38</v>
      </c>
      <c r="M188" s="14">
        <v>122977</v>
      </c>
      <c r="N188" s="14">
        <v>105974</v>
      </c>
      <c r="O188" s="14" t="s">
        <v>97</v>
      </c>
      <c r="P188" s="14" t="s">
        <v>98</v>
      </c>
      <c r="Q188" s="14">
        <v>24.745999999999999</v>
      </c>
      <c r="R188" s="45" t="s">
        <v>407</v>
      </c>
      <c r="S188" s="45" t="s">
        <v>409</v>
      </c>
      <c r="T188" s="45" t="s">
        <v>412</v>
      </c>
      <c r="U188" s="45" t="s">
        <v>414</v>
      </c>
      <c r="V188" s="45" t="s">
        <v>415</v>
      </c>
      <c r="W188" s="45" t="s">
        <v>416</v>
      </c>
      <c r="X188" s="45" t="s">
        <v>417</v>
      </c>
      <c r="Y188" s="45" t="s">
        <v>418</v>
      </c>
      <c r="Z188" s="45" t="s">
        <v>419</v>
      </c>
      <c r="AA188" s="45" t="s">
        <v>420</v>
      </c>
      <c r="AB188" s="45" t="s">
        <v>421</v>
      </c>
      <c r="AC188" s="14" t="s">
        <v>140</v>
      </c>
      <c r="AD188" s="14" t="s">
        <v>204</v>
      </c>
    </row>
    <row r="189" spans="1:30" ht="14.25" hidden="1">
      <c r="A189" s="23" t="s">
        <v>52</v>
      </c>
      <c r="B189" s="23" t="s">
        <v>24</v>
      </c>
      <c r="C189" s="23" t="s">
        <v>74</v>
      </c>
      <c r="D189" s="23" t="s">
        <v>246</v>
      </c>
      <c r="E189" s="23"/>
      <c r="F189" s="23" t="s">
        <v>1534</v>
      </c>
      <c r="G189" s="23" t="s">
        <v>248</v>
      </c>
      <c r="H189" s="131" t="s">
        <v>1533</v>
      </c>
      <c r="I189" s="23" t="s">
        <v>133</v>
      </c>
      <c r="J189" s="23" t="s">
        <v>256</v>
      </c>
      <c r="K189" s="23">
        <v>602604</v>
      </c>
      <c r="L189" s="25">
        <v>9</v>
      </c>
      <c r="M189" s="25">
        <v>129080</v>
      </c>
      <c r="N189" s="25">
        <v>473524</v>
      </c>
      <c r="O189" s="23" t="s">
        <v>97</v>
      </c>
      <c r="P189" s="23" t="s">
        <v>98</v>
      </c>
      <c r="Q189" s="23">
        <v>10.983000000000001</v>
      </c>
      <c r="R189" s="23">
        <v>1.87</v>
      </c>
      <c r="S189" s="23" t="s">
        <v>2069</v>
      </c>
      <c r="T189" s="128">
        <v>1E-3</v>
      </c>
      <c r="U189" s="23">
        <v>9.86</v>
      </c>
      <c r="V189" s="23">
        <v>0.27500000000000002</v>
      </c>
      <c r="W189" s="23">
        <v>1.56</v>
      </c>
      <c r="X189" s="23" t="s">
        <v>2070</v>
      </c>
      <c r="Y189" s="23">
        <v>8.1000000000000003E-2</v>
      </c>
      <c r="Z189" s="23">
        <v>0.71</v>
      </c>
      <c r="AA189" s="23" t="s">
        <v>2071</v>
      </c>
      <c r="AB189" s="23">
        <v>0.88500000000000001</v>
      </c>
      <c r="AC189" s="23" t="s">
        <v>109</v>
      </c>
      <c r="AD189" s="23" t="s">
        <v>385</v>
      </c>
    </row>
    <row r="190" spans="1:30" ht="14.25" hidden="1">
      <c r="A190" s="23" t="s">
        <v>52</v>
      </c>
      <c r="B190" s="23" t="s">
        <v>24</v>
      </c>
      <c r="C190" s="23" t="s">
        <v>74</v>
      </c>
      <c r="D190" s="23" t="s">
        <v>459</v>
      </c>
      <c r="E190" s="23"/>
      <c r="F190" s="23" t="s">
        <v>1534</v>
      </c>
      <c r="G190" s="23" t="s">
        <v>215</v>
      </c>
      <c r="H190" s="131" t="s">
        <v>1533</v>
      </c>
      <c r="I190" s="23" t="s">
        <v>133</v>
      </c>
      <c r="J190" s="23" t="s">
        <v>256</v>
      </c>
      <c r="K190" s="23">
        <v>602604</v>
      </c>
      <c r="L190" s="25">
        <v>10</v>
      </c>
      <c r="M190" s="25">
        <v>129080</v>
      </c>
      <c r="N190" s="25">
        <v>473524</v>
      </c>
      <c r="O190" s="23" t="s">
        <v>97</v>
      </c>
      <c r="P190" s="23" t="s">
        <v>98</v>
      </c>
      <c r="Q190" s="23">
        <v>18.628</v>
      </c>
      <c r="R190" s="23">
        <v>0.84</v>
      </c>
      <c r="S190" s="23" t="s">
        <v>2072</v>
      </c>
      <c r="T190" s="23">
        <v>0.309</v>
      </c>
      <c r="U190" s="23">
        <v>9.26</v>
      </c>
      <c r="V190" s="23">
        <v>0.41399999999999998</v>
      </c>
      <c r="W190" s="23">
        <v>0.9</v>
      </c>
      <c r="X190" s="23" t="s">
        <v>2073</v>
      </c>
      <c r="Y190" s="23">
        <v>0.63900000000000001</v>
      </c>
      <c r="Z190" s="23">
        <v>2.39</v>
      </c>
      <c r="AA190" s="23" t="s">
        <v>2074</v>
      </c>
      <c r="AB190" s="23">
        <v>0.35199999999999998</v>
      </c>
      <c r="AC190" s="23" t="s">
        <v>109</v>
      </c>
      <c r="AD190" s="23" t="s">
        <v>385</v>
      </c>
    </row>
    <row r="191" spans="1:30" ht="14.25" hidden="1">
      <c r="A191" s="23" t="s">
        <v>52</v>
      </c>
      <c r="B191" s="23" t="s">
        <v>24</v>
      </c>
      <c r="C191" s="23" t="s">
        <v>74</v>
      </c>
      <c r="D191" s="23" t="s">
        <v>75</v>
      </c>
      <c r="E191" s="23"/>
      <c r="F191" s="23" t="s">
        <v>1534</v>
      </c>
      <c r="G191" s="23" t="s">
        <v>113</v>
      </c>
      <c r="H191" s="131" t="s">
        <v>1533</v>
      </c>
      <c r="I191" s="23" t="s">
        <v>133</v>
      </c>
      <c r="J191" s="23" t="s">
        <v>256</v>
      </c>
      <c r="K191" s="23">
        <v>602604</v>
      </c>
      <c r="L191" s="25">
        <v>37</v>
      </c>
      <c r="M191" s="25">
        <v>129080</v>
      </c>
      <c r="N191" s="25">
        <v>473524</v>
      </c>
      <c r="O191" s="23" t="s">
        <v>97</v>
      </c>
      <c r="P191" s="23" t="s">
        <v>98</v>
      </c>
      <c r="Q191" s="23">
        <v>18.132000000000001</v>
      </c>
      <c r="R191" s="23">
        <v>0.79</v>
      </c>
      <c r="S191" s="23" t="s">
        <v>2075</v>
      </c>
      <c r="T191" s="23">
        <v>0.17799999999999999</v>
      </c>
      <c r="U191" s="23">
        <v>124</v>
      </c>
      <c r="V191" s="128">
        <v>1.35E-11</v>
      </c>
      <c r="W191" s="23">
        <v>0.87</v>
      </c>
      <c r="X191" s="23" t="s">
        <v>2076</v>
      </c>
      <c r="Y191" s="23">
        <v>0.47199999999999998</v>
      </c>
      <c r="Z191" s="23">
        <v>1.65</v>
      </c>
      <c r="AA191" s="23" t="s">
        <v>2077</v>
      </c>
      <c r="AB191" s="23">
        <v>0.443</v>
      </c>
      <c r="AC191" s="23" t="s">
        <v>109</v>
      </c>
      <c r="AD191" s="23" t="s">
        <v>385</v>
      </c>
    </row>
    <row r="192" spans="1:30" ht="14.25" hidden="1">
      <c r="A192" s="23" t="s">
        <v>52</v>
      </c>
      <c r="B192" s="23" t="s">
        <v>24</v>
      </c>
      <c r="C192" s="23" t="s">
        <v>74</v>
      </c>
      <c r="D192" s="23" t="s">
        <v>164</v>
      </c>
      <c r="E192" s="23"/>
      <c r="F192" s="23" t="s">
        <v>1534</v>
      </c>
      <c r="G192" s="23" t="s">
        <v>165</v>
      </c>
      <c r="H192" s="131" t="s">
        <v>1533</v>
      </c>
      <c r="I192" s="23" t="s">
        <v>133</v>
      </c>
      <c r="J192" s="23" t="s">
        <v>256</v>
      </c>
      <c r="K192" s="23">
        <v>602604</v>
      </c>
      <c r="L192" s="25">
        <v>26</v>
      </c>
      <c r="M192" s="25">
        <v>129080</v>
      </c>
      <c r="N192" s="25">
        <v>473524</v>
      </c>
      <c r="O192" s="23" t="s">
        <v>97</v>
      </c>
      <c r="P192" s="23" t="s">
        <v>98</v>
      </c>
      <c r="Q192" s="23">
        <v>12.061999999999999</v>
      </c>
      <c r="R192" s="23">
        <v>0.37</v>
      </c>
      <c r="S192" s="23" t="s">
        <v>2078</v>
      </c>
      <c r="T192" s="128">
        <v>6.2700000000000001E-11</v>
      </c>
      <c r="U192" s="23">
        <v>69.47</v>
      </c>
      <c r="V192" s="128">
        <v>4.6099999999999999E-6</v>
      </c>
      <c r="W192" s="23">
        <v>0.44</v>
      </c>
      <c r="X192" s="23" t="s">
        <v>2079</v>
      </c>
      <c r="Y192" s="128">
        <v>8.9999999999999996E-7</v>
      </c>
      <c r="Z192" s="23">
        <v>0.13</v>
      </c>
      <c r="AA192" s="23" t="s">
        <v>2080</v>
      </c>
      <c r="AB192" s="23">
        <v>4.4999999999999998E-2</v>
      </c>
      <c r="AC192" s="23" t="s">
        <v>109</v>
      </c>
      <c r="AD192" s="23" t="s">
        <v>385</v>
      </c>
    </row>
    <row r="193" spans="1:30" ht="14.25" hidden="1">
      <c r="A193" s="29" t="s">
        <v>52</v>
      </c>
      <c r="B193" s="29" t="s">
        <v>33</v>
      </c>
      <c r="C193" s="29" t="s">
        <v>74</v>
      </c>
      <c r="D193" s="29" t="s">
        <v>2081</v>
      </c>
      <c r="E193" s="29"/>
      <c r="F193" s="29" t="s">
        <v>2082</v>
      </c>
      <c r="G193" s="133" t="s">
        <v>2083</v>
      </c>
      <c r="H193" s="29" t="s">
        <v>2084</v>
      </c>
      <c r="I193" s="29" t="s">
        <v>79</v>
      </c>
      <c r="J193" s="33" t="s">
        <v>133</v>
      </c>
      <c r="K193" s="29">
        <v>336473</v>
      </c>
      <c r="L193" s="42">
        <v>41</v>
      </c>
      <c r="M193" s="29">
        <v>16183</v>
      </c>
      <c r="N193" s="29">
        <f t="shared" ref="N193:N200" si="11">K193-M193</f>
        <v>320290</v>
      </c>
      <c r="O193" s="29" t="s">
        <v>79</v>
      </c>
      <c r="P193" s="29" t="s">
        <v>98</v>
      </c>
      <c r="Q193" s="29" t="s">
        <v>62</v>
      </c>
      <c r="R193" s="29">
        <v>0.92</v>
      </c>
      <c r="S193" s="29" t="s">
        <v>2085</v>
      </c>
      <c r="T193" s="29" t="s">
        <v>2086</v>
      </c>
      <c r="U193" s="29" t="s">
        <v>2084</v>
      </c>
      <c r="V193" s="29" t="s">
        <v>2084</v>
      </c>
      <c r="W193" s="29" t="s">
        <v>2084</v>
      </c>
      <c r="X193" s="29" t="s">
        <v>2084</v>
      </c>
      <c r="Y193" s="29" t="s">
        <v>2084</v>
      </c>
      <c r="Z193" s="29" t="s">
        <v>2084</v>
      </c>
      <c r="AA193" s="29" t="s">
        <v>2084</v>
      </c>
      <c r="AB193" s="29" t="s">
        <v>2084</v>
      </c>
      <c r="AC193" s="29" t="s">
        <v>140</v>
      </c>
      <c r="AD193" s="29" t="s">
        <v>2087</v>
      </c>
    </row>
    <row r="194" spans="1:30" ht="14.25" hidden="1">
      <c r="A194" s="29" t="s">
        <v>52</v>
      </c>
      <c r="B194" s="29" t="s">
        <v>33</v>
      </c>
      <c r="C194" s="29" t="s">
        <v>74</v>
      </c>
      <c r="D194" s="29" t="s">
        <v>298</v>
      </c>
      <c r="E194" s="29"/>
      <c r="F194" s="29" t="s">
        <v>2082</v>
      </c>
      <c r="G194" s="29" t="s">
        <v>79</v>
      </c>
      <c r="H194" s="29" t="s">
        <v>2084</v>
      </c>
      <c r="I194" s="33" t="s">
        <v>133</v>
      </c>
      <c r="J194" s="33" t="s">
        <v>133</v>
      </c>
      <c r="K194" s="29">
        <v>336473</v>
      </c>
      <c r="L194" s="42">
        <v>22</v>
      </c>
      <c r="M194" s="29">
        <v>16183</v>
      </c>
      <c r="N194" s="29">
        <f t="shared" si="11"/>
        <v>320290</v>
      </c>
      <c r="O194" s="29" t="s">
        <v>79</v>
      </c>
      <c r="P194" s="29" t="s">
        <v>98</v>
      </c>
      <c r="Q194" s="29" t="s">
        <v>62</v>
      </c>
      <c r="R194" s="29">
        <v>0.98</v>
      </c>
      <c r="S194" s="29" t="s">
        <v>2088</v>
      </c>
      <c r="T194" s="29">
        <v>0.16900000000000001</v>
      </c>
      <c r="U194" s="29" t="s">
        <v>2084</v>
      </c>
      <c r="V194" s="29" t="s">
        <v>2084</v>
      </c>
      <c r="W194" s="29" t="s">
        <v>2084</v>
      </c>
      <c r="X194" s="29" t="s">
        <v>2084</v>
      </c>
      <c r="Y194" s="29" t="s">
        <v>2084</v>
      </c>
      <c r="Z194" s="29" t="s">
        <v>2084</v>
      </c>
      <c r="AA194" s="29" t="s">
        <v>2084</v>
      </c>
      <c r="AB194" s="29" t="s">
        <v>2084</v>
      </c>
      <c r="AC194" s="29" t="s">
        <v>140</v>
      </c>
      <c r="AD194" s="29" t="s">
        <v>2087</v>
      </c>
    </row>
    <row r="195" spans="1:30" ht="14.25" hidden="1">
      <c r="A195" s="29" t="s">
        <v>52</v>
      </c>
      <c r="B195" s="29" t="s">
        <v>33</v>
      </c>
      <c r="C195" s="29" t="s">
        <v>74</v>
      </c>
      <c r="D195" s="29" t="s">
        <v>2081</v>
      </c>
      <c r="E195" s="29"/>
      <c r="F195" s="29" t="s">
        <v>2089</v>
      </c>
      <c r="G195" s="133" t="s">
        <v>2083</v>
      </c>
      <c r="H195" s="29" t="s">
        <v>2084</v>
      </c>
      <c r="I195" s="29" t="s">
        <v>79</v>
      </c>
      <c r="J195" s="29" t="s">
        <v>218</v>
      </c>
      <c r="K195" s="29">
        <v>215654</v>
      </c>
      <c r="L195" s="42">
        <v>41</v>
      </c>
      <c r="M195" s="29">
        <v>32469</v>
      </c>
      <c r="N195" s="29">
        <f t="shared" si="11"/>
        <v>183185</v>
      </c>
      <c r="O195" s="29" t="s">
        <v>79</v>
      </c>
      <c r="P195" s="29" t="s">
        <v>98</v>
      </c>
      <c r="Q195" s="29" t="s">
        <v>62</v>
      </c>
      <c r="R195" s="29">
        <v>0.28999999999999998</v>
      </c>
      <c r="S195" s="29" t="s">
        <v>2090</v>
      </c>
      <c r="T195" s="29" t="s">
        <v>2086</v>
      </c>
      <c r="U195" s="29" t="s">
        <v>2084</v>
      </c>
      <c r="V195" s="29" t="s">
        <v>2084</v>
      </c>
      <c r="W195" s="29" t="s">
        <v>2084</v>
      </c>
      <c r="X195" s="29" t="s">
        <v>2084</v>
      </c>
      <c r="Y195" s="29" t="s">
        <v>2084</v>
      </c>
      <c r="Z195" s="29" t="s">
        <v>2084</v>
      </c>
      <c r="AA195" s="29" t="s">
        <v>2084</v>
      </c>
      <c r="AB195" s="29" t="s">
        <v>2084</v>
      </c>
      <c r="AC195" s="29" t="s">
        <v>140</v>
      </c>
      <c r="AD195" s="29" t="s">
        <v>2087</v>
      </c>
    </row>
    <row r="196" spans="1:30" ht="14.25" hidden="1">
      <c r="A196" s="29" t="s">
        <v>52</v>
      </c>
      <c r="B196" s="29" t="s">
        <v>33</v>
      </c>
      <c r="C196" s="29" t="s">
        <v>74</v>
      </c>
      <c r="D196" s="29" t="s">
        <v>298</v>
      </c>
      <c r="E196" s="29"/>
      <c r="F196" s="29" t="s">
        <v>2089</v>
      </c>
      <c r="G196" s="29" t="s">
        <v>79</v>
      </c>
      <c r="H196" s="29" t="s">
        <v>2084</v>
      </c>
      <c r="I196" s="33" t="s">
        <v>133</v>
      </c>
      <c r="J196" s="29" t="s">
        <v>218</v>
      </c>
      <c r="K196" s="29">
        <v>215654</v>
      </c>
      <c r="L196" s="42">
        <v>22</v>
      </c>
      <c r="M196" s="29">
        <v>32469</v>
      </c>
      <c r="N196" s="29">
        <f t="shared" si="11"/>
        <v>183185</v>
      </c>
      <c r="O196" s="29" t="s">
        <v>79</v>
      </c>
      <c r="P196" s="29" t="s">
        <v>98</v>
      </c>
      <c r="Q196" s="29" t="s">
        <v>62</v>
      </c>
      <c r="R196" s="29">
        <v>1.24</v>
      </c>
      <c r="S196" s="29" t="s">
        <v>2091</v>
      </c>
      <c r="T196" s="42" t="s">
        <v>2092</v>
      </c>
      <c r="U196" s="29" t="s">
        <v>2084</v>
      </c>
      <c r="V196" s="29" t="s">
        <v>2084</v>
      </c>
      <c r="W196" s="29" t="s">
        <v>2084</v>
      </c>
      <c r="X196" s="29" t="s">
        <v>2084</v>
      </c>
      <c r="Y196" s="29" t="s">
        <v>2084</v>
      </c>
      <c r="Z196" s="29" t="s">
        <v>2084</v>
      </c>
      <c r="AA196" s="29" t="s">
        <v>2084</v>
      </c>
      <c r="AB196" s="29" t="s">
        <v>2084</v>
      </c>
      <c r="AC196" s="29" t="s">
        <v>140</v>
      </c>
      <c r="AD196" s="29" t="s">
        <v>2087</v>
      </c>
    </row>
    <row r="197" spans="1:30" ht="14.25" hidden="1">
      <c r="A197" s="14" t="s">
        <v>52</v>
      </c>
      <c r="B197" s="14" t="s">
        <v>40</v>
      </c>
      <c r="C197" s="14" t="s">
        <v>74</v>
      </c>
      <c r="D197" s="14" t="s">
        <v>246</v>
      </c>
      <c r="E197" s="14"/>
      <c r="F197" s="14" t="s">
        <v>618</v>
      </c>
      <c r="G197" s="14" t="s">
        <v>248</v>
      </c>
      <c r="H197" s="14" t="s">
        <v>79</v>
      </c>
      <c r="I197" s="14" t="s">
        <v>133</v>
      </c>
      <c r="J197" s="14" t="s">
        <v>1264</v>
      </c>
      <c r="K197" s="14">
        <v>249351</v>
      </c>
      <c r="L197" s="14">
        <v>17</v>
      </c>
      <c r="M197" s="14">
        <v>8489</v>
      </c>
      <c r="N197" s="14">
        <f t="shared" si="11"/>
        <v>240862</v>
      </c>
      <c r="O197" s="14" t="s">
        <v>97</v>
      </c>
      <c r="P197" s="14" t="s">
        <v>98</v>
      </c>
      <c r="Q197" s="14" t="s">
        <v>79</v>
      </c>
      <c r="R197" s="14">
        <v>1.2792968</v>
      </c>
      <c r="S197" s="14" t="s">
        <v>2093</v>
      </c>
      <c r="T197" s="14">
        <v>0.63579680000000005</v>
      </c>
      <c r="U197" s="14" t="s">
        <v>2094</v>
      </c>
      <c r="V197" s="14" t="s">
        <v>2095</v>
      </c>
      <c r="W197" s="14">
        <v>2.0952541</v>
      </c>
      <c r="X197" s="14" t="s">
        <v>2096</v>
      </c>
      <c r="Y197" s="14">
        <v>0.22960050000000001</v>
      </c>
      <c r="Z197" s="14">
        <v>0.42065950000000002</v>
      </c>
      <c r="AA197" s="14" t="s">
        <v>2097</v>
      </c>
      <c r="AB197" s="14">
        <v>0.88463170000000002</v>
      </c>
      <c r="AC197" s="14" t="s">
        <v>109</v>
      </c>
      <c r="AD197" s="14" t="s">
        <v>2087</v>
      </c>
    </row>
    <row r="198" spans="1:30" ht="14.25" hidden="1">
      <c r="A198" s="14" t="s">
        <v>52</v>
      </c>
      <c r="B198" s="14" t="s">
        <v>40</v>
      </c>
      <c r="C198" s="14" t="s">
        <v>74</v>
      </c>
      <c r="D198" s="14" t="s">
        <v>75</v>
      </c>
      <c r="E198" s="14"/>
      <c r="F198" s="14" t="s">
        <v>618</v>
      </c>
      <c r="G198" s="14" t="s">
        <v>113</v>
      </c>
      <c r="H198" s="14" t="s">
        <v>79</v>
      </c>
      <c r="I198" s="14" t="s">
        <v>133</v>
      </c>
      <c r="J198" s="14" t="s">
        <v>1264</v>
      </c>
      <c r="K198" s="14">
        <v>249351</v>
      </c>
      <c r="L198" s="14">
        <v>51</v>
      </c>
      <c r="M198" s="14">
        <v>8489</v>
      </c>
      <c r="N198" s="14">
        <f t="shared" si="11"/>
        <v>240862</v>
      </c>
      <c r="O198" s="14" t="s">
        <v>97</v>
      </c>
      <c r="P198" s="14" t="s">
        <v>98</v>
      </c>
      <c r="Q198" s="14" t="s">
        <v>79</v>
      </c>
      <c r="R198" s="14">
        <v>1.008756</v>
      </c>
      <c r="S198" s="14" t="s">
        <v>2098</v>
      </c>
      <c r="T198" s="14">
        <v>0.98233250000000005</v>
      </c>
      <c r="U198" s="14">
        <v>104.4806</v>
      </c>
      <c r="V198" s="14" t="s">
        <v>2099</v>
      </c>
      <c r="W198" s="14">
        <v>0.80304600000000004</v>
      </c>
      <c r="X198" s="14" t="s">
        <v>2100</v>
      </c>
      <c r="Y198" s="14">
        <v>0.62576200000000004</v>
      </c>
      <c r="Z198" s="14">
        <v>2.545023</v>
      </c>
      <c r="AA198" s="14" t="s">
        <v>2101</v>
      </c>
      <c r="AB198" s="14">
        <v>0.49317840000000002</v>
      </c>
      <c r="AC198" s="14" t="s">
        <v>109</v>
      </c>
      <c r="AD198" s="14" t="s">
        <v>2087</v>
      </c>
    </row>
    <row r="199" spans="1:30" ht="14.25" hidden="1">
      <c r="A199" s="14" t="s">
        <v>52</v>
      </c>
      <c r="B199" s="14" t="s">
        <v>40</v>
      </c>
      <c r="C199" s="14" t="s">
        <v>74</v>
      </c>
      <c r="D199" s="14" t="s">
        <v>459</v>
      </c>
      <c r="E199" s="14"/>
      <c r="F199" s="14" t="s">
        <v>618</v>
      </c>
      <c r="G199" s="14" t="s">
        <v>215</v>
      </c>
      <c r="H199" s="14" t="s">
        <v>79</v>
      </c>
      <c r="I199" s="14" t="s">
        <v>133</v>
      </c>
      <c r="J199" s="14" t="s">
        <v>1264</v>
      </c>
      <c r="K199" s="14">
        <v>249351</v>
      </c>
      <c r="L199" s="14">
        <v>17</v>
      </c>
      <c r="M199" s="14">
        <v>8489</v>
      </c>
      <c r="N199" s="14">
        <f t="shared" si="11"/>
        <v>240862</v>
      </c>
      <c r="O199" s="14" t="s">
        <v>97</v>
      </c>
      <c r="P199" s="14" t="s">
        <v>98</v>
      </c>
      <c r="Q199" s="14" t="s">
        <v>79</v>
      </c>
      <c r="R199" s="14">
        <v>1.5600090799999999</v>
      </c>
      <c r="S199" s="14" t="s">
        <v>2102</v>
      </c>
      <c r="T199" s="14">
        <v>0.48051983999999998</v>
      </c>
      <c r="U199" s="14">
        <v>28.230499999999999</v>
      </c>
      <c r="V199" s="14">
        <v>2.967204E-2</v>
      </c>
      <c r="W199" s="14">
        <v>2.3323616710000001</v>
      </c>
      <c r="X199" s="14" t="s">
        <v>2103</v>
      </c>
      <c r="Y199" s="14">
        <v>0.24853048999999999</v>
      </c>
      <c r="Z199" s="14">
        <v>4.5463669999999999E-3</v>
      </c>
      <c r="AA199" s="14" t="s">
        <v>2104</v>
      </c>
      <c r="AB199" s="14">
        <v>5.587831E-2</v>
      </c>
      <c r="AC199" s="14" t="s">
        <v>109</v>
      </c>
      <c r="AD199" s="14" t="s">
        <v>2087</v>
      </c>
    </row>
    <row r="200" spans="1:30" ht="14.25" hidden="1">
      <c r="A200" s="14" t="s">
        <v>52</v>
      </c>
      <c r="B200" s="14" t="s">
        <v>40</v>
      </c>
      <c r="C200" s="14" t="s">
        <v>74</v>
      </c>
      <c r="D200" s="14" t="s">
        <v>164</v>
      </c>
      <c r="E200" s="14"/>
      <c r="F200" s="14" t="s">
        <v>618</v>
      </c>
      <c r="G200" s="14" t="s">
        <v>165</v>
      </c>
      <c r="H200" s="14" t="s">
        <v>79</v>
      </c>
      <c r="I200" s="14" t="s">
        <v>133</v>
      </c>
      <c r="J200" s="14" t="s">
        <v>1264</v>
      </c>
      <c r="K200" s="14">
        <v>249351</v>
      </c>
      <c r="L200" s="14">
        <v>39</v>
      </c>
      <c r="M200" s="14">
        <v>8489</v>
      </c>
      <c r="N200" s="14">
        <f t="shared" si="11"/>
        <v>240862</v>
      </c>
      <c r="O200" s="14" t="s">
        <v>97</v>
      </c>
      <c r="P200" s="14" t="s">
        <v>98</v>
      </c>
      <c r="Q200" s="14" t="s">
        <v>79</v>
      </c>
      <c r="R200" s="14">
        <v>0.53295590000000004</v>
      </c>
      <c r="S200" s="14" t="s">
        <v>2105</v>
      </c>
      <c r="T200" s="14">
        <v>4.7207190000000003E-2</v>
      </c>
      <c r="U200" s="14">
        <v>70.334609999999998</v>
      </c>
      <c r="V200" s="14">
        <v>1.0992949999999999E-3</v>
      </c>
      <c r="W200" s="14">
        <v>0.60422419999999999</v>
      </c>
      <c r="X200" s="14" t="s">
        <v>2106</v>
      </c>
      <c r="Y200" s="14">
        <v>0.16190990999999999</v>
      </c>
      <c r="Z200" s="14">
        <v>3.8417899999999998E-2</v>
      </c>
      <c r="AA200" s="14" t="s">
        <v>2107</v>
      </c>
      <c r="AB200" s="14">
        <v>2.2466630000000001E-2</v>
      </c>
      <c r="AC200" s="14" t="s">
        <v>109</v>
      </c>
      <c r="AD200" s="14" t="s">
        <v>2087</v>
      </c>
    </row>
    <row r="201" spans="1:30" ht="14.25" hidden="1">
      <c r="A201" s="23" t="s">
        <v>52</v>
      </c>
      <c r="B201" s="23" t="s">
        <v>71</v>
      </c>
      <c r="C201" s="23" t="s">
        <v>74</v>
      </c>
      <c r="D201" s="23" t="s">
        <v>246</v>
      </c>
      <c r="E201" s="23"/>
      <c r="F201" s="23" t="s">
        <v>492</v>
      </c>
      <c r="G201" s="23" t="s">
        <v>248</v>
      </c>
      <c r="H201" s="23" t="s">
        <v>493</v>
      </c>
      <c r="I201" s="23" t="s">
        <v>133</v>
      </c>
      <c r="J201" s="23" t="s">
        <v>218</v>
      </c>
      <c r="K201" s="23">
        <v>195.762</v>
      </c>
      <c r="L201" s="23">
        <v>17</v>
      </c>
      <c r="M201" s="23" t="s">
        <v>79</v>
      </c>
      <c r="N201" s="23" t="s">
        <v>79</v>
      </c>
      <c r="O201" s="23" t="s">
        <v>97</v>
      </c>
      <c r="P201" s="23" t="s">
        <v>98</v>
      </c>
      <c r="Q201" s="23" t="s">
        <v>79</v>
      </c>
      <c r="R201" s="23" t="s">
        <v>2108</v>
      </c>
      <c r="S201" s="23" t="s">
        <v>2109</v>
      </c>
      <c r="T201" s="23" t="s">
        <v>1112</v>
      </c>
      <c r="U201" s="23" t="s">
        <v>62</v>
      </c>
      <c r="V201" s="23" t="s">
        <v>62</v>
      </c>
      <c r="W201" s="23" t="s">
        <v>62</v>
      </c>
      <c r="X201" s="23" t="s">
        <v>62</v>
      </c>
      <c r="Y201" s="23" t="s">
        <v>62</v>
      </c>
      <c r="Z201" s="23" t="s">
        <v>62</v>
      </c>
      <c r="AA201" s="23" t="s">
        <v>62</v>
      </c>
      <c r="AB201" s="23" t="s">
        <v>62</v>
      </c>
      <c r="AC201" s="23" t="s">
        <v>109</v>
      </c>
      <c r="AD201" s="23" t="s">
        <v>145</v>
      </c>
    </row>
    <row r="202" spans="1:30" ht="14.25" hidden="1">
      <c r="A202" s="23" t="s">
        <v>52</v>
      </c>
      <c r="B202" s="23" t="s">
        <v>71</v>
      </c>
      <c r="C202" s="23" t="s">
        <v>74</v>
      </c>
      <c r="D202" s="23" t="s">
        <v>622</v>
      </c>
      <c r="E202" s="23"/>
      <c r="F202" s="23" t="s">
        <v>492</v>
      </c>
      <c r="G202" s="23" t="s">
        <v>215</v>
      </c>
      <c r="H202" s="23" t="s">
        <v>493</v>
      </c>
      <c r="I202" s="23" t="s">
        <v>133</v>
      </c>
      <c r="J202" s="23" t="s">
        <v>218</v>
      </c>
      <c r="K202" s="23">
        <v>195.762</v>
      </c>
      <c r="L202" s="23">
        <v>22</v>
      </c>
      <c r="M202" s="23" t="s">
        <v>79</v>
      </c>
      <c r="N202" s="23" t="s">
        <v>79</v>
      </c>
      <c r="O202" s="23" t="s">
        <v>97</v>
      </c>
      <c r="P202" s="23" t="s">
        <v>98</v>
      </c>
      <c r="Q202" s="23" t="s">
        <v>79</v>
      </c>
      <c r="R202" s="23" t="s">
        <v>2110</v>
      </c>
      <c r="S202" s="23" t="s">
        <v>2111</v>
      </c>
      <c r="T202" s="23" t="s">
        <v>2112</v>
      </c>
      <c r="U202" s="23" t="s">
        <v>62</v>
      </c>
      <c r="V202" s="23" t="s">
        <v>62</v>
      </c>
      <c r="W202" s="23" t="s">
        <v>62</v>
      </c>
      <c r="X202" s="23" t="s">
        <v>62</v>
      </c>
      <c r="Y202" s="23" t="s">
        <v>62</v>
      </c>
      <c r="Z202" s="23" t="s">
        <v>62</v>
      </c>
      <c r="AA202" s="23" t="s">
        <v>62</v>
      </c>
      <c r="AB202" s="23" t="s">
        <v>62</v>
      </c>
      <c r="AC202" s="23" t="s">
        <v>109</v>
      </c>
      <c r="AD202" s="23" t="s">
        <v>145</v>
      </c>
    </row>
    <row r="203" spans="1:30" ht="14.25" hidden="1">
      <c r="A203" s="23" t="s">
        <v>52</v>
      </c>
      <c r="B203" s="23" t="s">
        <v>71</v>
      </c>
      <c r="C203" s="23" t="s">
        <v>74</v>
      </c>
      <c r="D203" s="23" t="s">
        <v>75</v>
      </c>
      <c r="E203" s="23"/>
      <c r="F203" s="23" t="s">
        <v>492</v>
      </c>
      <c r="G203" s="23" t="s">
        <v>113</v>
      </c>
      <c r="H203" s="23" t="s">
        <v>493</v>
      </c>
      <c r="I203" s="23" t="s">
        <v>133</v>
      </c>
      <c r="J203" s="23" t="s">
        <v>218</v>
      </c>
      <c r="K203" s="23">
        <v>195.762</v>
      </c>
      <c r="L203" s="23">
        <v>55</v>
      </c>
      <c r="M203" s="23" t="s">
        <v>79</v>
      </c>
      <c r="N203" s="23" t="s">
        <v>79</v>
      </c>
      <c r="O203" s="23" t="s">
        <v>97</v>
      </c>
      <c r="P203" s="23" t="s">
        <v>98</v>
      </c>
      <c r="Q203" s="23" t="s">
        <v>79</v>
      </c>
      <c r="R203" s="23" t="s">
        <v>494</v>
      </c>
      <c r="S203" s="23" t="s">
        <v>495</v>
      </c>
      <c r="T203" s="23" t="s">
        <v>350</v>
      </c>
      <c r="U203" s="23" t="s">
        <v>62</v>
      </c>
      <c r="V203" s="23" t="s">
        <v>62</v>
      </c>
      <c r="W203" s="23" t="s">
        <v>62</v>
      </c>
      <c r="X203" s="23" t="s">
        <v>62</v>
      </c>
      <c r="Y203" s="23" t="s">
        <v>62</v>
      </c>
      <c r="Z203" s="23" t="s">
        <v>62</v>
      </c>
      <c r="AA203" s="23" t="s">
        <v>62</v>
      </c>
      <c r="AB203" s="23" t="s">
        <v>62</v>
      </c>
      <c r="AC203" s="23" t="s">
        <v>109</v>
      </c>
      <c r="AD203" s="23" t="s">
        <v>145</v>
      </c>
    </row>
    <row r="204" spans="1:30" ht="14.25" hidden="1">
      <c r="A204" s="23" t="s">
        <v>52</v>
      </c>
      <c r="B204" s="23" t="s">
        <v>71</v>
      </c>
      <c r="C204" s="23" t="s">
        <v>74</v>
      </c>
      <c r="D204" s="23" t="s">
        <v>164</v>
      </c>
      <c r="E204" s="23"/>
      <c r="F204" s="23" t="s">
        <v>492</v>
      </c>
      <c r="G204" s="23" t="s">
        <v>165</v>
      </c>
      <c r="H204" s="23" t="s">
        <v>493</v>
      </c>
      <c r="I204" s="23" t="s">
        <v>133</v>
      </c>
      <c r="J204" s="23" t="s">
        <v>218</v>
      </c>
      <c r="K204" s="23">
        <v>195.762</v>
      </c>
      <c r="L204" s="23">
        <v>43</v>
      </c>
      <c r="M204" s="23" t="s">
        <v>79</v>
      </c>
      <c r="N204" s="23" t="s">
        <v>79</v>
      </c>
      <c r="O204" s="23" t="s">
        <v>97</v>
      </c>
      <c r="P204" s="23" t="s">
        <v>98</v>
      </c>
      <c r="Q204" s="23" t="s">
        <v>79</v>
      </c>
      <c r="R204" s="23" t="s">
        <v>2115</v>
      </c>
      <c r="S204" s="23" t="s">
        <v>2116</v>
      </c>
      <c r="T204" s="23" t="s">
        <v>2117</v>
      </c>
      <c r="U204" s="23" t="s">
        <v>62</v>
      </c>
      <c r="V204" s="23" t="s">
        <v>62</v>
      </c>
      <c r="W204" s="23" t="s">
        <v>62</v>
      </c>
      <c r="X204" s="23" t="s">
        <v>62</v>
      </c>
      <c r="Y204" s="23" t="s">
        <v>62</v>
      </c>
      <c r="Z204" s="23" t="s">
        <v>62</v>
      </c>
      <c r="AA204" s="23" t="s">
        <v>62</v>
      </c>
      <c r="AB204" s="23" t="s">
        <v>62</v>
      </c>
      <c r="AC204" s="23" t="s">
        <v>109</v>
      </c>
      <c r="AD204" s="23" t="s">
        <v>145</v>
      </c>
    </row>
    <row r="205" spans="1:30" ht="14.25" hidden="1">
      <c r="A205" s="23" t="s">
        <v>52</v>
      </c>
      <c r="B205" s="23" t="s">
        <v>71</v>
      </c>
      <c r="C205" s="23" t="s">
        <v>74</v>
      </c>
      <c r="D205" s="23" t="s">
        <v>246</v>
      </c>
      <c r="E205" s="23"/>
      <c r="F205" s="23" t="s">
        <v>1938</v>
      </c>
      <c r="G205" s="23" t="s">
        <v>248</v>
      </c>
      <c r="H205" s="23" t="s">
        <v>1939</v>
      </c>
      <c r="I205" s="23" t="s">
        <v>133</v>
      </c>
      <c r="J205" s="23" t="s">
        <v>218</v>
      </c>
      <c r="K205" s="23">
        <v>198.441</v>
      </c>
      <c r="L205" s="23">
        <v>17</v>
      </c>
      <c r="M205" s="23" t="s">
        <v>79</v>
      </c>
      <c r="N205" s="23" t="s">
        <v>79</v>
      </c>
      <c r="O205" s="23" t="s">
        <v>97</v>
      </c>
      <c r="P205" s="23" t="s">
        <v>98</v>
      </c>
      <c r="Q205" s="23" t="s">
        <v>79</v>
      </c>
      <c r="R205" s="23" t="s">
        <v>880</v>
      </c>
      <c r="S205" s="23" t="s">
        <v>2120</v>
      </c>
      <c r="T205" s="23" t="s">
        <v>2121</v>
      </c>
      <c r="U205" s="23" t="s">
        <v>62</v>
      </c>
      <c r="V205" s="23" t="s">
        <v>62</v>
      </c>
      <c r="W205" s="23" t="s">
        <v>62</v>
      </c>
      <c r="X205" s="23" t="s">
        <v>62</v>
      </c>
      <c r="Y205" s="23" t="s">
        <v>62</v>
      </c>
      <c r="Z205" s="23" t="s">
        <v>62</v>
      </c>
      <c r="AA205" s="23" t="s">
        <v>62</v>
      </c>
      <c r="AB205" s="23" t="s">
        <v>62</v>
      </c>
      <c r="AC205" s="23" t="s">
        <v>140</v>
      </c>
      <c r="AD205" s="23" t="s">
        <v>145</v>
      </c>
    </row>
    <row r="206" spans="1:30" ht="14.25" hidden="1">
      <c r="A206" s="23" t="s">
        <v>52</v>
      </c>
      <c r="B206" s="23" t="s">
        <v>71</v>
      </c>
      <c r="C206" s="23" t="s">
        <v>74</v>
      </c>
      <c r="D206" s="23" t="s">
        <v>622</v>
      </c>
      <c r="E206" s="23"/>
      <c r="F206" s="23" t="s">
        <v>1938</v>
      </c>
      <c r="G206" s="23" t="s">
        <v>215</v>
      </c>
      <c r="H206" s="23" t="s">
        <v>1939</v>
      </c>
      <c r="I206" s="23" t="s">
        <v>133</v>
      </c>
      <c r="J206" s="23" t="s">
        <v>218</v>
      </c>
      <c r="K206" s="23">
        <v>198.441</v>
      </c>
      <c r="L206" s="23">
        <v>22</v>
      </c>
      <c r="M206" s="23" t="s">
        <v>79</v>
      </c>
      <c r="N206" s="23" t="s">
        <v>79</v>
      </c>
      <c r="O206" s="23" t="s">
        <v>97</v>
      </c>
      <c r="P206" s="23" t="s">
        <v>98</v>
      </c>
      <c r="Q206" s="23" t="s">
        <v>79</v>
      </c>
      <c r="R206" s="23" t="s">
        <v>1968</v>
      </c>
      <c r="S206" s="23" t="s">
        <v>2122</v>
      </c>
      <c r="T206" s="23" t="s">
        <v>2123</v>
      </c>
      <c r="U206" s="23" t="s">
        <v>62</v>
      </c>
      <c r="V206" s="23" t="s">
        <v>62</v>
      </c>
      <c r="W206" s="23" t="s">
        <v>62</v>
      </c>
      <c r="X206" s="23" t="s">
        <v>62</v>
      </c>
      <c r="Y206" s="23" t="s">
        <v>62</v>
      </c>
      <c r="Z206" s="23" t="s">
        <v>62</v>
      </c>
      <c r="AA206" s="23" t="s">
        <v>62</v>
      </c>
      <c r="AB206" s="23" t="s">
        <v>62</v>
      </c>
      <c r="AC206" s="23" t="s">
        <v>140</v>
      </c>
      <c r="AD206" s="23" t="s">
        <v>145</v>
      </c>
    </row>
    <row r="207" spans="1:30" ht="14.25" hidden="1">
      <c r="A207" s="23" t="s">
        <v>52</v>
      </c>
      <c r="B207" s="23" t="s">
        <v>71</v>
      </c>
      <c r="C207" s="23" t="s">
        <v>74</v>
      </c>
      <c r="D207" s="23" t="s">
        <v>75</v>
      </c>
      <c r="E207" s="23"/>
      <c r="F207" s="23" t="s">
        <v>1938</v>
      </c>
      <c r="G207" s="23" t="s">
        <v>113</v>
      </c>
      <c r="H207" s="23" t="s">
        <v>1939</v>
      </c>
      <c r="I207" s="23" t="s">
        <v>133</v>
      </c>
      <c r="J207" s="23" t="s">
        <v>218</v>
      </c>
      <c r="K207" s="23">
        <v>198.441</v>
      </c>
      <c r="L207" s="23">
        <v>55</v>
      </c>
      <c r="M207" s="23" t="s">
        <v>79</v>
      </c>
      <c r="N207" s="23" t="s">
        <v>79</v>
      </c>
      <c r="O207" s="23" t="s">
        <v>97</v>
      </c>
      <c r="P207" s="23" t="s">
        <v>98</v>
      </c>
      <c r="Q207" s="23" t="s">
        <v>79</v>
      </c>
      <c r="R207" s="23" t="s">
        <v>946</v>
      </c>
      <c r="S207" s="23" t="s">
        <v>1940</v>
      </c>
      <c r="T207" s="23" t="s">
        <v>1941</v>
      </c>
      <c r="U207" s="23" t="s">
        <v>62</v>
      </c>
      <c r="V207" s="23" t="s">
        <v>62</v>
      </c>
      <c r="W207" s="23" t="s">
        <v>62</v>
      </c>
      <c r="X207" s="23" t="s">
        <v>62</v>
      </c>
      <c r="Y207" s="23" t="s">
        <v>62</v>
      </c>
      <c r="Z207" s="23" t="s">
        <v>62</v>
      </c>
      <c r="AA207" s="23" t="s">
        <v>62</v>
      </c>
      <c r="AB207" s="23" t="s">
        <v>62</v>
      </c>
      <c r="AC207" s="23" t="s">
        <v>140</v>
      </c>
      <c r="AD207" s="23" t="s">
        <v>145</v>
      </c>
    </row>
    <row r="208" spans="1:30" ht="14.25" hidden="1">
      <c r="A208" s="23" t="s">
        <v>52</v>
      </c>
      <c r="B208" s="23" t="s">
        <v>71</v>
      </c>
      <c r="C208" s="23" t="s">
        <v>74</v>
      </c>
      <c r="D208" s="23" t="s">
        <v>164</v>
      </c>
      <c r="E208" s="23"/>
      <c r="F208" s="23" t="s">
        <v>1938</v>
      </c>
      <c r="G208" s="23" t="s">
        <v>165</v>
      </c>
      <c r="H208" s="23" t="s">
        <v>1939</v>
      </c>
      <c r="I208" s="23" t="s">
        <v>133</v>
      </c>
      <c r="J208" s="23" t="s">
        <v>218</v>
      </c>
      <c r="K208" s="23">
        <v>198.441</v>
      </c>
      <c r="L208" s="23">
        <v>43</v>
      </c>
      <c r="M208" s="23" t="s">
        <v>79</v>
      </c>
      <c r="N208" s="23" t="s">
        <v>79</v>
      </c>
      <c r="O208" s="23" t="s">
        <v>97</v>
      </c>
      <c r="P208" s="23" t="s">
        <v>98</v>
      </c>
      <c r="Q208" s="23" t="s">
        <v>79</v>
      </c>
      <c r="R208" s="23" t="s">
        <v>1085</v>
      </c>
      <c r="S208" s="23" t="s">
        <v>2124</v>
      </c>
      <c r="T208" s="23" t="s">
        <v>2125</v>
      </c>
      <c r="U208" s="23" t="s">
        <v>62</v>
      </c>
      <c r="V208" s="23" t="s">
        <v>62</v>
      </c>
      <c r="W208" s="23" t="s">
        <v>62</v>
      </c>
      <c r="X208" s="23" t="s">
        <v>62</v>
      </c>
      <c r="Y208" s="23" t="s">
        <v>62</v>
      </c>
      <c r="Z208" s="23" t="s">
        <v>62</v>
      </c>
      <c r="AA208" s="23" t="s">
        <v>62</v>
      </c>
      <c r="AB208" s="23" t="s">
        <v>62</v>
      </c>
      <c r="AC208" s="23" t="s">
        <v>140</v>
      </c>
      <c r="AD208" s="23" t="s">
        <v>145</v>
      </c>
    </row>
    <row r="209" spans="1:30" ht="14.25" hidden="1">
      <c r="A209" s="14" t="s">
        <v>52</v>
      </c>
      <c r="B209" s="14" t="s">
        <v>71</v>
      </c>
      <c r="C209" s="14" t="s">
        <v>74</v>
      </c>
      <c r="D209" s="14" t="s">
        <v>246</v>
      </c>
      <c r="E209" s="14"/>
      <c r="F209" s="14" t="s">
        <v>324</v>
      </c>
      <c r="G209" s="14" t="s">
        <v>248</v>
      </c>
      <c r="H209" s="14" t="s">
        <v>325</v>
      </c>
      <c r="I209" s="14" t="s">
        <v>133</v>
      </c>
      <c r="J209" s="14" t="s">
        <v>218</v>
      </c>
      <c r="K209" s="19">
        <v>195544</v>
      </c>
      <c r="L209" s="14">
        <v>17</v>
      </c>
      <c r="M209" s="14" t="s">
        <v>79</v>
      </c>
      <c r="N209" s="14" t="s">
        <v>79</v>
      </c>
      <c r="O209" s="14" t="s">
        <v>97</v>
      </c>
      <c r="P209" s="14" t="s">
        <v>98</v>
      </c>
      <c r="Q209" s="14" t="s">
        <v>79</v>
      </c>
      <c r="R209" s="14">
        <v>1.28</v>
      </c>
      <c r="S209" s="14" t="s">
        <v>2126</v>
      </c>
      <c r="T209" s="14">
        <v>0.94</v>
      </c>
      <c r="U209" s="14" t="s">
        <v>62</v>
      </c>
      <c r="V209" s="14" t="s">
        <v>62</v>
      </c>
      <c r="W209" s="14" t="s">
        <v>62</v>
      </c>
      <c r="X209" s="14" t="s">
        <v>62</v>
      </c>
      <c r="Y209" s="14" t="s">
        <v>62</v>
      </c>
      <c r="Z209" s="14" t="s">
        <v>62</v>
      </c>
      <c r="AA209" s="14" t="s">
        <v>62</v>
      </c>
      <c r="AB209" s="14" t="s">
        <v>62</v>
      </c>
      <c r="AC209" s="14" t="s">
        <v>109</v>
      </c>
      <c r="AD209" s="14" t="s">
        <v>145</v>
      </c>
    </row>
    <row r="210" spans="1:30" ht="14.25" hidden="1">
      <c r="A210" s="14" t="s">
        <v>52</v>
      </c>
      <c r="B210" s="14" t="s">
        <v>71</v>
      </c>
      <c r="C210" s="14" t="s">
        <v>74</v>
      </c>
      <c r="D210" s="14" t="s">
        <v>622</v>
      </c>
      <c r="E210" s="14"/>
      <c r="F210" s="14" t="s">
        <v>324</v>
      </c>
      <c r="G210" s="14" t="s">
        <v>215</v>
      </c>
      <c r="H210" s="14" t="s">
        <v>325</v>
      </c>
      <c r="I210" s="14" t="s">
        <v>133</v>
      </c>
      <c r="J210" s="14" t="s">
        <v>218</v>
      </c>
      <c r="K210" s="19">
        <v>195544</v>
      </c>
      <c r="L210" s="14">
        <v>22</v>
      </c>
      <c r="M210" s="14" t="s">
        <v>79</v>
      </c>
      <c r="N210" s="14" t="s">
        <v>79</v>
      </c>
      <c r="O210" s="14" t="s">
        <v>97</v>
      </c>
      <c r="P210" s="14" t="s">
        <v>98</v>
      </c>
      <c r="Q210" s="14" t="s">
        <v>79</v>
      </c>
      <c r="R210" s="14">
        <v>0.32</v>
      </c>
      <c r="S210" s="14" t="s">
        <v>2127</v>
      </c>
      <c r="T210" s="14">
        <v>0.78</v>
      </c>
      <c r="U210" s="14" t="s">
        <v>62</v>
      </c>
      <c r="V210" s="14" t="s">
        <v>62</v>
      </c>
      <c r="W210" s="14" t="s">
        <v>62</v>
      </c>
      <c r="X210" s="14" t="s">
        <v>62</v>
      </c>
      <c r="Y210" s="14" t="s">
        <v>62</v>
      </c>
      <c r="Z210" s="14" t="s">
        <v>62</v>
      </c>
      <c r="AA210" s="14" t="s">
        <v>62</v>
      </c>
      <c r="AB210" s="14" t="s">
        <v>62</v>
      </c>
      <c r="AC210" s="14" t="s">
        <v>109</v>
      </c>
      <c r="AD210" s="14" t="s">
        <v>145</v>
      </c>
    </row>
    <row r="211" spans="1:30" ht="14.25" hidden="1">
      <c r="A211" s="14" t="s">
        <v>52</v>
      </c>
      <c r="B211" s="14" t="s">
        <v>71</v>
      </c>
      <c r="C211" s="14" t="s">
        <v>74</v>
      </c>
      <c r="D211" s="14" t="s">
        <v>75</v>
      </c>
      <c r="E211" s="14"/>
      <c r="F211" s="14" t="s">
        <v>324</v>
      </c>
      <c r="G211" s="14" t="s">
        <v>113</v>
      </c>
      <c r="H211" s="14" t="s">
        <v>325</v>
      </c>
      <c r="I211" s="14" t="s">
        <v>133</v>
      </c>
      <c r="J211" s="14" t="s">
        <v>218</v>
      </c>
      <c r="K211" s="19">
        <v>195544</v>
      </c>
      <c r="L211" s="14">
        <v>55</v>
      </c>
      <c r="M211" s="14" t="s">
        <v>79</v>
      </c>
      <c r="N211" s="14" t="s">
        <v>79</v>
      </c>
      <c r="O211" s="14" t="s">
        <v>97</v>
      </c>
      <c r="P211" s="14" t="s">
        <v>98</v>
      </c>
      <c r="Q211" s="14" t="s">
        <v>79</v>
      </c>
      <c r="R211" s="14">
        <v>0.53</v>
      </c>
      <c r="S211" s="14" t="s">
        <v>326</v>
      </c>
      <c r="T211" s="14">
        <v>0.75</v>
      </c>
      <c r="U211" s="14" t="s">
        <v>62</v>
      </c>
      <c r="V211" s="14" t="s">
        <v>62</v>
      </c>
      <c r="W211" s="14" t="s">
        <v>62</v>
      </c>
      <c r="X211" s="14" t="s">
        <v>62</v>
      </c>
      <c r="Y211" s="14" t="s">
        <v>62</v>
      </c>
      <c r="Z211" s="14" t="s">
        <v>62</v>
      </c>
      <c r="AA211" s="14" t="s">
        <v>62</v>
      </c>
      <c r="AB211" s="14" t="s">
        <v>62</v>
      </c>
      <c r="AC211" s="14" t="s">
        <v>109</v>
      </c>
      <c r="AD211" s="14" t="s">
        <v>145</v>
      </c>
    </row>
    <row r="212" spans="1:30" ht="14.25" hidden="1">
      <c r="A212" s="14" t="s">
        <v>52</v>
      </c>
      <c r="B212" s="14" t="s">
        <v>71</v>
      </c>
      <c r="C212" s="14" t="s">
        <v>74</v>
      </c>
      <c r="D212" s="14" t="s">
        <v>164</v>
      </c>
      <c r="E212" s="14"/>
      <c r="F212" s="14" t="s">
        <v>324</v>
      </c>
      <c r="G212" s="14" t="s">
        <v>165</v>
      </c>
      <c r="H212" s="14" t="s">
        <v>325</v>
      </c>
      <c r="I212" s="14" t="s">
        <v>133</v>
      </c>
      <c r="J212" s="14" t="s">
        <v>218</v>
      </c>
      <c r="K212" s="19">
        <v>195544</v>
      </c>
      <c r="L212" s="14">
        <v>43</v>
      </c>
      <c r="M212" s="14" t="s">
        <v>79</v>
      </c>
      <c r="N212" s="14" t="s">
        <v>79</v>
      </c>
      <c r="O212" s="14" t="s">
        <v>97</v>
      </c>
      <c r="P212" s="14" t="s">
        <v>98</v>
      </c>
      <c r="Q212" s="14" t="s">
        <v>79</v>
      </c>
      <c r="R212" s="14">
        <v>0.02</v>
      </c>
      <c r="S212" s="14" t="s">
        <v>2128</v>
      </c>
      <c r="T212" s="14">
        <v>0.01</v>
      </c>
      <c r="U212" s="14" t="s">
        <v>62</v>
      </c>
      <c r="V212" s="14" t="s">
        <v>62</v>
      </c>
      <c r="W212" s="14" t="s">
        <v>62</v>
      </c>
      <c r="X212" s="14" t="s">
        <v>62</v>
      </c>
      <c r="Y212" s="14" t="s">
        <v>62</v>
      </c>
      <c r="Z212" s="14" t="s">
        <v>62</v>
      </c>
      <c r="AA212" s="14" t="s">
        <v>62</v>
      </c>
      <c r="AB212" s="14" t="s">
        <v>62</v>
      </c>
      <c r="AC212" s="14" t="s">
        <v>109</v>
      </c>
      <c r="AD212" s="14" t="s">
        <v>145</v>
      </c>
    </row>
    <row r="213" spans="1:30" ht="14.25" hidden="1">
      <c r="A213" s="14" t="s">
        <v>52</v>
      </c>
      <c r="B213" s="14" t="s">
        <v>71</v>
      </c>
      <c r="C213" s="14" t="s">
        <v>74</v>
      </c>
      <c r="D213" s="14" t="s">
        <v>246</v>
      </c>
      <c r="E213" s="14"/>
      <c r="F213" s="14" t="s">
        <v>1794</v>
      </c>
      <c r="G213" s="14" t="s">
        <v>248</v>
      </c>
      <c r="H213" s="14" t="s">
        <v>1795</v>
      </c>
      <c r="I213" s="14" t="s">
        <v>133</v>
      </c>
      <c r="J213" s="14" t="s">
        <v>218</v>
      </c>
      <c r="K213" s="19">
        <v>196245</v>
      </c>
      <c r="L213" s="14">
        <v>17</v>
      </c>
      <c r="M213" s="14" t="s">
        <v>79</v>
      </c>
      <c r="N213" s="14" t="s">
        <v>79</v>
      </c>
      <c r="O213" s="14" t="s">
        <v>97</v>
      </c>
      <c r="P213" s="14" t="s">
        <v>98</v>
      </c>
      <c r="Q213" s="14" t="s">
        <v>79</v>
      </c>
      <c r="R213" s="14">
        <v>0.48</v>
      </c>
      <c r="S213" s="14" t="s">
        <v>2129</v>
      </c>
      <c r="T213" s="14">
        <v>0.56000000000000005</v>
      </c>
      <c r="U213" s="14" t="s">
        <v>62</v>
      </c>
      <c r="V213" s="14" t="s">
        <v>62</v>
      </c>
      <c r="W213" s="14" t="s">
        <v>62</v>
      </c>
      <c r="X213" s="14" t="s">
        <v>62</v>
      </c>
      <c r="Y213" s="14" t="s">
        <v>62</v>
      </c>
      <c r="Z213" s="14" t="s">
        <v>62</v>
      </c>
      <c r="AA213" s="14" t="s">
        <v>62</v>
      </c>
      <c r="AB213" s="14" t="s">
        <v>62</v>
      </c>
      <c r="AC213" s="14" t="s">
        <v>140</v>
      </c>
      <c r="AD213" s="14" t="s">
        <v>145</v>
      </c>
    </row>
    <row r="214" spans="1:30" ht="14.25" hidden="1">
      <c r="A214" s="14" t="s">
        <v>52</v>
      </c>
      <c r="B214" s="14" t="s">
        <v>71</v>
      </c>
      <c r="C214" s="14" t="s">
        <v>74</v>
      </c>
      <c r="D214" s="14" t="s">
        <v>622</v>
      </c>
      <c r="E214" s="14"/>
      <c r="F214" s="14" t="s">
        <v>1794</v>
      </c>
      <c r="G214" s="14" t="s">
        <v>215</v>
      </c>
      <c r="H214" s="14" t="s">
        <v>1795</v>
      </c>
      <c r="I214" s="14" t="s">
        <v>133</v>
      </c>
      <c r="J214" s="14" t="s">
        <v>218</v>
      </c>
      <c r="K214" s="19">
        <v>196245</v>
      </c>
      <c r="L214" s="14">
        <v>22</v>
      </c>
      <c r="M214" s="14" t="s">
        <v>79</v>
      </c>
      <c r="N214" s="14" t="s">
        <v>79</v>
      </c>
      <c r="O214" s="14" t="s">
        <v>97</v>
      </c>
      <c r="P214" s="14" t="s">
        <v>98</v>
      </c>
      <c r="Q214" s="14" t="s">
        <v>79</v>
      </c>
      <c r="R214" s="14">
        <v>1.6</v>
      </c>
      <c r="S214" s="14" t="s">
        <v>2132</v>
      </c>
      <c r="T214" s="14">
        <v>0.74</v>
      </c>
      <c r="U214" s="14" t="s">
        <v>62</v>
      </c>
      <c r="V214" s="14" t="s">
        <v>62</v>
      </c>
      <c r="W214" s="14" t="s">
        <v>62</v>
      </c>
      <c r="X214" s="14" t="s">
        <v>62</v>
      </c>
      <c r="Y214" s="14" t="s">
        <v>62</v>
      </c>
      <c r="Z214" s="14" t="s">
        <v>62</v>
      </c>
      <c r="AA214" s="14" t="s">
        <v>62</v>
      </c>
      <c r="AB214" s="14" t="s">
        <v>62</v>
      </c>
      <c r="AC214" s="14" t="s">
        <v>140</v>
      </c>
      <c r="AD214" s="14" t="s">
        <v>145</v>
      </c>
    </row>
    <row r="215" spans="1:30" ht="14.25" hidden="1">
      <c r="A215" s="14" t="s">
        <v>52</v>
      </c>
      <c r="B215" s="14" t="s">
        <v>71</v>
      </c>
      <c r="C215" s="14" t="s">
        <v>74</v>
      </c>
      <c r="D215" s="14" t="s">
        <v>75</v>
      </c>
      <c r="E215" s="14"/>
      <c r="F215" s="14" t="s">
        <v>1794</v>
      </c>
      <c r="G215" s="14" t="s">
        <v>113</v>
      </c>
      <c r="H215" s="14" t="s">
        <v>1795</v>
      </c>
      <c r="I215" s="14" t="s">
        <v>133</v>
      </c>
      <c r="J215" s="14" t="s">
        <v>218</v>
      </c>
      <c r="K215" s="19">
        <v>196245</v>
      </c>
      <c r="L215" s="14">
        <v>55</v>
      </c>
      <c r="M215" s="14" t="s">
        <v>79</v>
      </c>
      <c r="N215" s="14" t="s">
        <v>79</v>
      </c>
      <c r="O215" s="14" t="s">
        <v>97</v>
      </c>
      <c r="P215" s="14" t="s">
        <v>98</v>
      </c>
      <c r="Q215" s="14" t="s">
        <v>79</v>
      </c>
      <c r="R215" s="14">
        <v>0.18</v>
      </c>
      <c r="S215" s="14" t="s">
        <v>1797</v>
      </c>
      <c r="T215" s="14">
        <v>0.04</v>
      </c>
      <c r="U215" s="14" t="s">
        <v>62</v>
      </c>
      <c r="V215" s="14" t="s">
        <v>62</v>
      </c>
      <c r="W215" s="14" t="s">
        <v>62</v>
      </c>
      <c r="X215" s="14" t="s">
        <v>62</v>
      </c>
      <c r="Y215" s="14" t="s">
        <v>62</v>
      </c>
      <c r="Z215" s="14" t="s">
        <v>62</v>
      </c>
      <c r="AA215" s="14" t="s">
        <v>62</v>
      </c>
      <c r="AB215" s="14" t="s">
        <v>62</v>
      </c>
      <c r="AC215" s="14" t="s">
        <v>140</v>
      </c>
      <c r="AD215" s="14" t="s">
        <v>145</v>
      </c>
    </row>
    <row r="216" spans="1:30" ht="14.25" hidden="1">
      <c r="A216" s="14" t="s">
        <v>52</v>
      </c>
      <c r="B216" s="14" t="s">
        <v>71</v>
      </c>
      <c r="C216" s="14" t="s">
        <v>74</v>
      </c>
      <c r="D216" s="14" t="s">
        <v>164</v>
      </c>
      <c r="E216" s="14"/>
      <c r="F216" s="14" t="s">
        <v>1794</v>
      </c>
      <c r="G216" s="14" t="s">
        <v>165</v>
      </c>
      <c r="H216" s="14" t="s">
        <v>1795</v>
      </c>
      <c r="I216" s="14" t="s">
        <v>133</v>
      </c>
      <c r="J216" s="14" t="s">
        <v>218</v>
      </c>
      <c r="K216" s="19">
        <v>196245</v>
      </c>
      <c r="L216" s="14">
        <v>43</v>
      </c>
      <c r="M216" s="14" t="s">
        <v>79</v>
      </c>
      <c r="N216" s="14" t="s">
        <v>79</v>
      </c>
      <c r="O216" s="14" t="s">
        <v>97</v>
      </c>
      <c r="P216" s="14" t="s">
        <v>98</v>
      </c>
      <c r="Q216" s="14" t="s">
        <v>79</v>
      </c>
      <c r="R216" s="14">
        <v>0.73</v>
      </c>
      <c r="S216" s="14" t="s">
        <v>2137</v>
      </c>
      <c r="T216" s="14">
        <v>0.66</v>
      </c>
      <c r="U216" s="14" t="s">
        <v>62</v>
      </c>
      <c r="V216" s="14" t="s">
        <v>62</v>
      </c>
      <c r="W216" s="14" t="s">
        <v>62</v>
      </c>
      <c r="X216" s="14" t="s">
        <v>62</v>
      </c>
      <c r="Y216" s="14" t="s">
        <v>62</v>
      </c>
      <c r="Z216" s="14" t="s">
        <v>62</v>
      </c>
      <c r="AA216" s="14" t="s">
        <v>62</v>
      </c>
      <c r="AB216" s="14" t="s">
        <v>62</v>
      </c>
      <c r="AC216" s="14" t="s">
        <v>140</v>
      </c>
      <c r="AD216" s="14" t="s">
        <v>145</v>
      </c>
    </row>
    <row r="217" spans="1:30" ht="14.25" hidden="1">
      <c r="A217" s="14" t="s">
        <v>52</v>
      </c>
      <c r="B217" s="14" t="s">
        <v>64</v>
      </c>
      <c r="C217" s="14" t="s">
        <v>74</v>
      </c>
      <c r="D217" s="14" t="s">
        <v>164</v>
      </c>
      <c r="E217" s="14"/>
      <c r="F217" s="14" t="s">
        <v>2138</v>
      </c>
      <c r="G217" s="14" t="s">
        <v>79</v>
      </c>
      <c r="H217" s="14" t="s">
        <v>2139</v>
      </c>
      <c r="I217" s="14" t="s">
        <v>133</v>
      </c>
      <c r="J217" s="14" t="s">
        <v>2140</v>
      </c>
      <c r="K217" s="14" t="s">
        <v>79</v>
      </c>
      <c r="L217" s="14">
        <v>41</v>
      </c>
      <c r="M217" s="14" t="s">
        <v>79</v>
      </c>
      <c r="N217" s="14" t="s">
        <v>79</v>
      </c>
      <c r="O217" s="14" t="s">
        <v>79</v>
      </c>
      <c r="P217" s="14" t="s">
        <v>98</v>
      </c>
      <c r="Q217" s="14" t="s">
        <v>79</v>
      </c>
      <c r="R217" s="45" t="s">
        <v>2141</v>
      </c>
      <c r="S217" s="45" t="s">
        <v>2142</v>
      </c>
      <c r="T217" s="45" t="s">
        <v>2143</v>
      </c>
      <c r="U217" s="45" t="s">
        <v>62</v>
      </c>
      <c r="V217" s="45" t="s">
        <v>2144</v>
      </c>
      <c r="W217" s="45" t="s">
        <v>2145</v>
      </c>
      <c r="X217" s="45" t="s">
        <v>2146</v>
      </c>
      <c r="Y217" s="45" t="s">
        <v>2147</v>
      </c>
      <c r="Z217" s="45" t="s">
        <v>2148</v>
      </c>
      <c r="AA217" s="45" t="s">
        <v>2149</v>
      </c>
      <c r="AB217" s="45" t="s">
        <v>2150</v>
      </c>
      <c r="AC217" s="14" t="s">
        <v>140</v>
      </c>
      <c r="AD217" s="14" t="s">
        <v>145</v>
      </c>
    </row>
    <row r="218" spans="1:30" ht="14.25" hidden="1">
      <c r="A218" s="14" t="s">
        <v>52</v>
      </c>
      <c r="B218" s="14" t="s">
        <v>64</v>
      </c>
      <c r="C218" s="14" t="s">
        <v>74</v>
      </c>
      <c r="D218" s="14" t="s">
        <v>75</v>
      </c>
      <c r="E218" s="14"/>
      <c r="F218" s="14" t="s">
        <v>2138</v>
      </c>
      <c r="G218" s="14" t="s">
        <v>79</v>
      </c>
      <c r="H218" s="14" t="s">
        <v>2139</v>
      </c>
      <c r="I218" s="14" t="s">
        <v>133</v>
      </c>
      <c r="J218" s="14" t="s">
        <v>2140</v>
      </c>
      <c r="K218" s="14" t="s">
        <v>79</v>
      </c>
      <c r="L218" s="14">
        <v>52</v>
      </c>
      <c r="M218" s="14" t="s">
        <v>79</v>
      </c>
      <c r="N218" s="14" t="s">
        <v>79</v>
      </c>
      <c r="O218" s="14" t="s">
        <v>79</v>
      </c>
      <c r="P218" s="14" t="s">
        <v>98</v>
      </c>
      <c r="Q218" s="14" t="s">
        <v>79</v>
      </c>
      <c r="R218" s="45" t="s">
        <v>2151</v>
      </c>
      <c r="S218" s="45" t="s">
        <v>2152</v>
      </c>
      <c r="T218" s="45" t="s">
        <v>2153</v>
      </c>
      <c r="U218" s="45" t="s">
        <v>62</v>
      </c>
      <c r="V218" s="45" t="s">
        <v>2154</v>
      </c>
      <c r="W218" s="45" t="s">
        <v>2155</v>
      </c>
      <c r="X218" s="45" t="s">
        <v>2156</v>
      </c>
      <c r="Y218" s="45" t="s">
        <v>2157</v>
      </c>
      <c r="Z218" s="45" t="s">
        <v>2158</v>
      </c>
      <c r="AA218" s="45" t="s">
        <v>2159</v>
      </c>
      <c r="AB218" s="45" t="s">
        <v>2160</v>
      </c>
      <c r="AC218" s="14" t="s">
        <v>140</v>
      </c>
      <c r="AD218" s="14" t="s">
        <v>145</v>
      </c>
    </row>
    <row r="219" spans="1:30" ht="14.25" hidden="1">
      <c r="A219" s="33" t="s">
        <v>52</v>
      </c>
      <c r="B219" s="33" t="s">
        <v>66</v>
      </c>
      <c r="C219" s="33" t="s">
        <v>74</v>
      </c>
      <c r="D219" s="33" t="s">
        <v>246</v>
      </c>
      <c r="E219" s="33"/>
      <c r="F219" s="33" t="s">
        <v>128</v>
      </c>
      <c r="G219" s="33" t="s">
        <v>248</v>
      </c>
      <c r="H219" s="33" t="s">
        <v>1945</v>
      </c>
      <c r="I219" s="33" t="s">
        <v>133</v>
      </c>
      <c r="J219" s="33" t="s">
        <v>256</v>
      </c>
      <c r="K219" s="35">
        <v>26554</v>
      </c>
      <c r="L219" s="33">
        <v>17</v>
      </c>
      <c r="M219" s="35">
        <v>11895</v>
      </c>
      <c r="N219" s="35">
        <v>14659</v>
      </c>
      <c r="O219" s="33" t="s">
        <v>97</v>
      </c>
      <c r="P219" s="33" t="s">
        <v>98</v>
      </c>
      <c r="Q219" s="33">
        <v>37.584000000000003</v>
      </c>
      <c r="R219" s="33">
        <v>0.67200000000000004</v>
      </c>
      <c r="S219" s="33" t="s">
        <v>2161</v>
      </c>
      <c r="T219" s="33">
        <v>0.39100000000000001</v>
      </c>
      <c r="U219" s="33">
        <v>14.275</v>
      </c>
      <c r="V219" s="33">
        <v>0.57799999999999996</v>
      </c>
      <c r="W219" s="33">
        <v>0.77800000000000002</v>
      </c>
      <c r="X219" s="33" t="s">
        <v>2162</v>
      </c>
      <c r="Y219" s="33">
        <v>0.7</v>
      </c>
      <c r="Z219" s="33">
        <v>7.9000000000000001E-2</v>
      </c>
      <c r="AA219" s="33" t="s">
        <v>2163</v>
      </c>
      <c r="AB219" s="33">
        <v>0.624</v>
      </c>
      <c r="AC219" s="33" t="s">
        <v>140</v>
      </c>
      <c r="AD219" s="33" t="s">
        <v>204</v>
      </c>
    </row>
    <row r="220" spans="1:30" ht="14.25" hidden="1">
      <c r="A220" s="33" t="s">
        <v>52</v>
      </c>
      <c r="B220" s="33" t="s">
        <v>66</v>
      </c>
      <c r="C220" s="33" t="s">
        <v>74</v>
      </c>
      <c r="D220" s="33" t="s">
        <v>75</v>
      </c>
      <c r="E220" s="33"/>
      <c r="F220" s="33" t="s">
        <v>128</v>
      </c>
      <c r="G220" s="33" t="s">
        <v>113</v>
      </c>
      <c r="H220" s="33" t="s">
        <v>1945</v>
      </c>
      <c r="I220" s="33" t="s">
        <v>133</v>
      </c>
      <c r="J220" s="33" t="s">
        <v>256</v>
      </c>
      <c r="K220" s="35">
        <v>26554</v>
      </c>
      <c r="L220" s="33">
        <v>51</v>
      </c>
      <c r="M220" s="35">
        <v>11895</v>
      </c>
      <c r="N220" s="35">
        <v>14659</v>
      </c>
      <c r="O220" s="33" t="s">
        <v>97</v>
      </c>
      <c r="P220" s="33" t="s">
        <v>98</v>
      </c>
      <c r="Q220" s="33">
        <v>46.191000000000003</v>
      </c>
      <c r="R220" s="33">
        <v>0.51300000000000001</v>
      </c>
      <c r="S220" s="33" t="s">
        <v>1946</v>
      </c>
      <c r="T220" s="33">
        <v>3.7999999999999999E-2</v>
      </c>
      <c r="U220" s="33">
        <v>54.003</v>
      </c>
      <c r="V220" s="33">
        <v>0.32400000000000001</v>
      </c>
      <c r="W220" s="33">
        <v>0.47399999999999998</v>
      </c>
      <c r="X220" s="33" t="s">
        <v>1947</v>
      </c>
      <c r="Y220" s="33">
        <v>0.127</v>
      </c>
      <c r="Z220" s="33">
        <v>0.53900000000000003</v>
      </c>
      <c r="AA220" s="33" t="s">
        <v>1949</v>
      </c>
      <c r="AB220" s="33">
        <v>0.60199999999999998</v>
      </c>
      <c r="AC220" s="33" t="s">
        <v>140</v>
      </c>
      <c r="AD220" s="33" t="s">
        <v>204</v>
      </c>
    </row>
    <row r="221" spans="1:30" ht="14.25" hidden="1">
      <c r="A221" s="33" t="s">
        <v>52</v>
      </c>
      <c r="B221" s="33" t="s">
        <v>66</v>
      </c>
      <c r="C221" s="33" t="s">
        <v>74</v>
      </c>
      <c r="D221" s="33" t="s">
        <v>212</v>
      </c>
      <c r="E221" s="33"/>
      <c r="F221" s="33" t="s">
        <v>128</v>
      </c>
      <c r="G221" s="33" t="s">
        <v>215</v>
      </c>
      <c r="H221" s="33" t="s">
        <v>1945</v>
      </c>
      <c r="I221" s="33" t="s">
        <v>133</v>
      </c>
      <c r="J221" s="33" t="s">
        <v>256</v>
      </c>
      <c r="K221" s="35">
        <v>26554</v>
      </c>
      <c r="L221" s="33">
        <v>18</v>
      </c>
      <c r="M221" s="35">
        <v>11895</v>
      </c>
      <c r="N221" s="35">
        <v>14659</v>
      </c>
      <c r="O221" s="33" t="s">
        <v>97</v>
      </c>
      <c r="P221" s="33" t="s">
        <v>98</v>
      </c>
      <c r="Q221" s="33">
        <v>39.229999999999997</v>
      </c>
      <c r="R221" s="33">
        <v>0.39500000000000002</v>
      </c>
      <c r="S221" s="33" t="s">
        <v>2164</v>
      </c>
      <c r="T221" s="33">
        <v>0.108</v>
      </c>
      <c r="U221" s="33">
        <v>23.824999999999999</v>
      </c>
      <c r="V221" s="33">
        <v>0.124</v>
      </c>
      <c r="W221" s="33">
        <v>0.67700000000000005</v>
      </c>
      <c r="X221" s="33" t="s">
        <v>2165</v>
      </c>
      <c r="Y221" s="33">
        <v>0.58299999999999996</v>
      </c>
      <c r="Z221" s="33">
        <v>4.1790000000000003</v>
      </c>
      <c r="AA221" s="33" t="s">
        <v>2166</v>
      </c>
      <c r="AB221" s="33">
        <v>0.63600000000000001</v>
      </c>
      <c r="AC221" s="33" t="s">
        <v>140</v>
      </c>
      <c r="AD221" s="33" t="s">
        <v>204</v>
      </c>
    </row>
    <row r="222" spans="1:30" ht="14.25" hidden="1">
      <c r="A222" s="33" t="s">
        <v>52</v>
      </c>
      <c r="B222" s="33" t="s">
        <v>66</v>
      </c>
      <c r="C222" s="33" t="s">
        <v>74</v>
      </c>
      <c r="D222" s="33" t="s">
        <v>164</v>
      </c>
      <c r="E222" s="33"/>
      <c r="F222" s="33" t="s">
        <v>128</v>
      </c>
      <c r="G222" s="33" t="s">
        <v>165</v>
      </c>
      <c r="H222" s="33" t="s">
        <v>1945</v>
      </c>
      <c r="I222" s="33" t="s">
        <v>133</v>
      </c>
      <c r="J222" s="33" t="s">
        <v>256</v>
      </c>
      <c r="K222" s="35">
        <v>26554</v>
      </c>
      <c r="L222" s="33">
        <v>41</v>
      </c>
      <c r="M222" s="35">
        <v>11895</v>
      </c>
      <c r="N222" s="35">
        <v>14659</v>
      </c>
      <c r="O222" s="33" t="s">
        <v>97</v>
      </c>
      <c r="P222" s="33" t="s">
        <v>98</v>
      </c>
      <c r="Q222" s="33">
        <v>42.2</v>
      </c>
      <c r="R222" s="33">
        <v>0.52200000000000002</v>
      </c>
      <c r="S222" s="33" t="s">
        <v>2167</v>
      </c>
      <c r="T222" s="33">
        <v>1.4E-2</v>
      </c>
      <c r="U222" s="33">
        <v>36.933</v>
      </c>
      <c r="V222" s="33">
        <v>0.60899999999999999</v>
      </c>
      <c r="W222" s="33">
        <v>0.54</v>
      </c>
      <c r="X222" s="33" t="s">
        <v>2168</v>
      </c>
      <c r="Y222" s="33">
        <v>9.5000000000000001E-2</v>
      </c>
      <c r="Z222" s="33">
        <v>0.93899999999999995</v>
      </c>
      <c r="AA222" s="33" t="s">
        <v>2169</v>
      </c>
      <c r="AB222" s="33">
        <v>0.95899999999999996</v>
      </c>
      <c r="AC222" s="33" t="s">
        <v>140</v>
      </c>
      <c r="AD222" s="33" t="s">
        <v>204</v>
      </c>
    </row>
    <row r="223" spans="1:30" ht="14.25" hidden="1">
      <c r="A223" s="29" t="s">
        <v>52</v>
      </c>
      <c r="B223" s="29" t="s">
        <v>73</v>
      </c>
      <c r="C223" s="29" t="s">
        <v>74</v>
      </c>
      <c r="D223" s="29" t="s">
        <v>246</v>
      </c>
      <c r="E223" s="29"/>
      <c r="F223" s="29" t="s">
        <v>2170</v>
      </c>
      <c r="G223" s="29" t="s">
        <v>248</v>
      </c>
      <c r="H223" s="29" t="s">
        <v>2171</v>
      </c>
      <c r="I223" s="29" t="s">
        <v>133</v>
      </c>
      <c r="J223" s="29" t="s">
        <v>218</v>
      </c>
      <c r="K223" s="42">
        <v>73479</v>
      </c>
      <c r="L223" s="42">
        <v>17</v>
      </c>
      <c r="M223" s="42">
        <v>680</v>
      </c>
      <c r="N223" s="42">
        <v>72799</v>
      </c>
      <c r="O223" s="29" t="s">
        <v>97</v>
      </c>
      <c r="P223" s="29" t="s">
        <v>98</v>
      </c>
      <c r="Q223" s="29">
        <v>22.7</v>
      </c>
      <c r="R223" s="29">
        <v>54.786499999999997</v>
      </c>
      <c r="S223" s="29" t="s">
        <v>2172</v>
      </c>
      <c r="T223" s="138" t="s">
        <v>2173</v>
      </c>
      <c r="U223" s="29">
        <v>29.843900000000001</v>
      </c>
      <c r="V223" s="29">
        <v>0.79200000000000004</v>
      </c>
      <c r="W223" s="125">
        <v>19.655000000000001</v>
      </c>
      <c r="X223" s="29" t="s">
        <v>2174</v>
      </c>
      <c r="Y223" s="29">
        <v>0.12590000000000001</v>
      </c>
      <c r="Z223" s="125">
        <v>3.6837E-5</v>
      </c>
      <c r="AA223" s="29" t="s">
        <v>2175</v>
      </c>
      <c r="AB223" s="29">
        <v>0.54710000000000003</v>
      </c>
      <c r="AC223" s="29" t="s">
        <v>109</v>
      </c>
      <c r="AD223" s="29" t="s">
        <v>145</v>
      </c>
    </row>
    <row r="224" spans="1:30" ht="14.25" hidden="1">
      <c r="A224" s="29" t="s">
        <v>52</v>
      </c>
      <c r="B224" s="29" t="s">
        <v>73</v>
      </c>
      <c r="C224" s="29" t="s">
        <v>74</v>
      </c>
      <c r="D224" s="29" t="s">
        <v>164</v>
      </c>
      <c r="E224" s="29"/>
      <c r="F224" s="29" t="s">
        <v>2170</v>
      </c>
      <c r="G224" s="29" t="s">
        <v>165</v>
      </c>
      <c r="H224" s="29" t="s">
        <v>2171</v>
      </c>
      <c r="I224" s="29" t="s">
        <v>133</v>
      </c>
      <c r="J224" s="29" t="s">
        <v>218</v>
      </c>
      <c r="K224" s="42">
        <v>73479</v>
      </c>
      <c r="L224" s="42">
        <v>43</v>
      </c>
      <c r="M224" s="42">
        <v>680</v>
      </c>
      <c r="N224" s="42">
        <v>72799</v>
      </c>
      <c r="O224" s="29" t="s">
        <v>97</v>
      </c>
      <c r="P224" s="29" t="s">
        <v>98</v>
      </c>
      <c r="Q224" s="29">
        <v>31.9</v>
      </c>
      <c r="R224" s="29">
        <v>0.33029999999999998</v>
      </c>
      <c r="S224" s="29" t="s">
        <v>2176</v>
      </c>
      <c r="T224" s="138" t="s">
        <v>2177</v>
      </c>
      <c r="U224" s="29">
        <v>18.017800000000001</v>
      </c>
      <c r="V224" s="29">
        <v>0.32279999999999998</v>
      </c>
      <c r="W224" s="29">
        <v>0.20399999999999999</v>
      </c>
      <c r="X224" s="29" t="s">
        <v>2178</v>
      </c>
      <c r="Y224" s="125">
        <v>0.15429999999999999</v>
      </c>
      <c r="Z224" s="29">
        <v>0.25369999999999998</v>
      </c>
      <c r="AA224" s="29" t="s">
        <v>2179</v>
      </c>
      <c r="AB224" s="29">
        <v>0.69769999999999999</v>
      </c>
      <c r="AC224" s="29" t="s">
        <v>109</v>
      </c>
      <c r="AD224" s="29" t="s">
        <v>145</v>
      </c>
    </row>
    <row r="225" spans="1:30" ht="14.25" hidden="1">
      <c r="A225" s="29" t="s">
        <v>52</v>
      </c>
      <c r="B225" s="29" t="s">
        <v>73</v>
      </c>
      <c r="C225" s="29" t="s">
        <v>74</v>
      </c>
      <c r="D225" s="29" t="s">
        <v>75</v>
      </c>
      <c r="E225" s="29"/>
      <c r="F225" s="29" t="s">
        <v>2170</v>
      </c>
      <c r="G225" s="29" t="s">
        <v>113</v>
      </c>
      <c r="H225" s="29" t="s">
        <v>2171</v>
      </c>
      <c r="I225" s="29" t="s">
        <v>133</v>
      </c>
      <c r="J225" s="29" t="s">
        <v>218</v>
      </c>
      <c r="K225" s="42">
        <v>73479</v>
      </c>
      <c r="L225" s="42">
        <v>55</v>
      </c>
      <c r="M225" s="42">
        <v>680</v>
      </c>
      <c r="N225" s="42">
        <v>72799</v>
      </c>
      <c r="O225" s="29" t="s">
        <v>97</v>
      </c>
      <c r="P225" s="29" t="s">
        <v>98</v>
      </c>
      <c r="Q225" s="29">
        <v>33.4</v>
      </c>
      <c r="R225" s="29">
        <v>1.7850999999999999</v>
      </c>
      <c r="S225" s="29" t="s">
        <v>2180</v>
      </c>
      <c r="T225" s="138" t="s">
        <v>2181</v>
      </c>
      <c r="U225" s="29">
        <v>33.470700000000001</v>
      </c>
      <c r="V225" s="29">
        <v>0.75749999999999995</v>
      </c>
      <c r="W225" s="29">
        <v>2.1353</v>
      </c>
      <c r="X225" s="29" t="s">
        <v>2182</v>
      </c>
      <c r="Y225" s="29">
        <v>0.58320000000000005</v>
      </c>
      <c r="Z225" s="29">
        <v>1.7623</v>
      </c>
      <c r="AA225" s="29" t="s">
        <v>2183</v>
      </c>
      <c r="AB225" s="29">
        <v>0.86229999999999996</v>
      </c>
      <c r="AC225" s="29" t="s">
        <v>109</v>
      </c>
      <c r="AD225" s="29" t="s">
        <v>145</v>
      </c>
    </row>
    <row r="226" spans="1:30" ht="14.25" hidden="1">
      <c r="A226" s="29" t="s">
        <v>52</v>
      </c>
      <c r="B226" s="29" t="s">
        <v>73</v>
      </c>
      <c r="C226" s="29" t="s">
        <v>74</v>
      </c>
      <c r="D226" s="29" t="s">
        <v>622</v>
      </c>
      <c r="E226" s="29"/>
      <c r="F226" s="29" t="s">
        <v>2170</v>
      </c>
      <c r="G226" s="29" t="s">
        <v>215</v>
      </c>
      <c r="H226" s="29" t="s">
        <v>2171</v>
      </c>
      <c r="I226" s="29" t="s">
        <v>133</v>
      </c>
      <c r="J226" s="29" t="s">
        <v>218</v>
      </c>
      <c r="K226" s="42">
        <v>73479</v>
      </c>
      <c r="L226" s="42">
        <v>24</v>
      </c>
      <c r="M226" s="42">
        <v>680</v>
      </c>
      <c r="N226" s="42">
        <v>72799</v>
      </c>
      <c r="O226" s="29" t="s">
        <v>97</v>
      </c>
      <c r="P226" s="29" t="s">
        <v>98</v>
      </c>
      <c r="Q226" s="29">
        <v>29.6</v>
      </c>
      <c r="R226" s="29">
        <v>0.43490000000000001</v>
      </c>
      <c r="S226" s="29" t="s">
        <v>2184</v>
      </c>
      <c r="T226" s="138" t="s">
        <v>2185</v>
      </c>
      <c r="U226" s="29">
        <v>22.6175</v>
      </c>
      <c r="V226" s="29">
        <v>0.42349999999999999</v>
      </c>
      <c r="W226" s="29">
        <v>0.31769999999999998</v>
      </c>
      <c r="X226" s="29" t="s">
        <v>2186</v>
      </c>
      <c r="Y226" s="29">
        <v>0.60360000000000003</v>
      </c>
      <c r="Z226" s="29">
        <v>2.5999999999999999E-3</v>
      </c>
      <c r="AA226" s="29" t="s">
        <v>2187</v>
      </c>
      <c r="AB226" s="29">
        <v>0.43419999999999997</v>
      </c>
      <c r="AC226" s="29" t="s">
        <v>109</v>
      </c>
      <c r="AD226" s="29" t="s">
        <v>145</v>
      </c>
    </row>
    <row r="227" spans="1:30" ht="14.25" hidden="1">
      <c r="A227" s="29" t="s">
        <v>52</v>
      </c>
      <c r="B227" s="29" t="s">
        <v>73</v>
      </c>
      <c r="C227" s="29" t="s">
        <v>74</v>
      </c>
      <c r="D227" s="29" t="s">
        <v>246</v>
      </c>
      <c r="E227" s="29"/>
      <c r="F227" s="29" t="s">
        <v>2130</v>
      </c>
      <c r="G227" s="29" t="s">
        <v>248</v>
      </c>
      <c r="H227" s="29" t="s">
        <v>2131</v>
      </c>
      <c r="I227" s="29" t="s">
        <v>133</v>
      </c>
      <c r="J227" s="29" t="s">
        <v>218</v>
      </c>
      <c r="K227" s="42">
        <v>75450</v>
      </c>
      <c r="L227" s="42">
        <v>17</v>
      </c>
      <c r="M227" s="42">
        <v>6481</v>
      </c>
      <c r="N227" s="42">
        <v>68969</v>
      </c>
      <c r="O227" s="29" t="s">
        <v>97</v>
      </c>
      <c r="P227" s="29" t="s">
        <v>98</v>
      </c>
      <c r="Q227" s="29">
        <v>22.7</v>
      </c>
      <c r="R227" s="29">
        <v>0.95379999999999998</v>
      </c>
      <c r="S227" s="29" t="s">
        <v>2188</v>
      </c>
      <c r="T227" s="138" t="s">
        <v>2189</v>
      </c>
      <c r="U227" s="29">
        <v>56.7164</v>
      </c>
      <c r="V227" s="29">
        <v>0.02</v>
      </c>
      <c r="W227" s="29">
        <v>0.58020000000000005</v>
      </c>
      <c r="X227" s="29" t="s">
        <v>2190</v>
      </c>
      <c r="Y227" s="29">
        <v>0.41620000000000001</v>
      </c>
      <c r="Z227" s="29">
        <v>2.0999999999999999E-3</v>
      </c>
      <c r="AA227" s="29" t="s">
        <v>2191</v>
      </c>
      <c r="AB227" s="29">
        <v>0.26469999999999999</v>
      </c>
      <c r="AC227" s="29" t="s">
        <v>109</v>
      </c>
      <c r="AD227" s="29" t="s">
        <v>145</v>
      </c>
    </row>
    <row r="228" spans="1:30" ht="14.25" hidden="1">
      <c r="A228" s="29" t="s">
        <v>52</v>
      </c>
      <c r="B228" s="29" t="s">
        <v>73</v>
      </c>
      <c r="C228" s="29" t="s">
        <v>74</v>
      </c>
      <c r="D228" s="29" t="s">
        <v>164</v>
      </c>
      <c r="E228" s="29"/>
      <c r="F228" s="29" t="s">
        <v>2130</v>
      </c>
      <c r="G228" s="29" t="s">
        <v>165</v>
      </c>
      <c r="H228" s="29" t="s">
        <v>2131</v>
      </c>
      <c r="I228" s="29" t="s">
        <v>133</v>
      </c>
      <c r="J228" s="29" t="s">
        <v>218</v>
      </c>
      <c r="K228" s="42">
        <v>75450</v>
      </c>
      <c r="L228" s="42">
        <v>43</v>
      </c>
      <c r="M228" s="42">
        <v>6481</v>
      </c>
      <c r="N228" s="42">
        <v>68969</v>
      </c>
      <c r="O228" s="29" t="s">
        <v>97</v>
      </c>
      <c r="P228" s="29" t="s">
        <v>98</v>
      </c>
      <c r="Q228" s="29">
        <v>31.9</v>
      </c>
      <c r="R228" s="29">
        <v>0.6996</v>
      </c>
      <c r="S228" s="29" t="s">
        <v>2192</v>
      </c>
      <c r="T228" s="138" t="s">
        <v>2193</v>
      </c>
      <c r="U228" s="29">
        <v>11.3803</v>
      </c>
      <c r="V228" s="29">
        <v>0.78539999999999999</v>
      </c>
      <c r="W228" s="29">
        <v>0.84050000000000002</v>
      </c>
      <c r="X228" s="29" t="s">
        <v>2194</v>
      </c>
      <c r="Y228" s="29">
        <v>0.65759999999999996</v>
      </c>
      <c r="Z228" s="29">
        <v>3.3136999999999999</v>
      </c>
      <c r="AA228" s="29" t="s">
        <v>2195</v>
      </c>
      <c r="AB228" s="29">
        <v>0.37090000000000001</v>
      </c>
      <c r="AC228" s="29" t="s">
        <v>109</v>
      </c>
      <c r="AD228" s="29" t="s">
        <v>145</v>
      </c>
    </row>
    <row r="229" spans="1:30" ht="14.25" hidden="1">
      <c r="A229" s="29" t="s">
        <v>52</v>
      </c>
      <c r="B229" s="29" t="s">
        <v>73</v>
      </c>
      <c r="C229" s="29" t="s">
        <v>74</v>
      </c>
      <c r="D229" s="29" t="s">
        <v>75</v>
      </c>
      <c r="E229" s="29"/>
      <c r="F229" s="29" t="s">
        <v>2130</v>
      </c>
      <c r="G229" s="29" t="s">
        <v>113</v>
      </c>
      <c r="H229" s="29" t="s">
        <v>2131</v>
      </c>
      <c r="I229" s="29" t="s">
        <v>133</v>
      </c>
      <c r="J229" s="29" t="s">
        <v>218</v>
      </c>
      <c r="K229" s="42">
        <v>75450</v>
      </c>
      <c r="L229" s="42">
        <v>55</v>
      </c>
      <c r="M229" s="42">
        <v>6481</v>
      </c>
      <c r="N229" s="42">
        <v>68969</v>
      </c>
      <c r="O229" s="29" t="s">
        <v>97</v>
      </c>
      <c r="P229" s="29" t="s">
        <v>98</v>
      </c>
      <c r="Q229" s="29">
        <v>33.4</v>
      </c>
      <c r="R229" s="29">
        <v>0.95269999999999999</v>
      </c>
      <c r="S229" s="29" t="s">
        <v>2133</v>
      </c>
      <c r="T229" s="138" t="s">
        <v>2134</v>
      </c>
      <c r="U229" s="29">
        <v>49.460799999999999</v>
      </c>
      <c r="V229" s="29">
        <v>0.14510000000000001</v>
      </c>
      <c r="W229" s="29">
        <v>0.72789999999999999</v>
      </c>
      <c r="X229" s="29" t="s">
        <v>2135</v>
      </c>
      <c r="Y229" s="29">
        <v>0.50339999999999996</v>
      </c>
      <c r="Z229" s="29">
        <v>0.64549999999999996</v>
      </c>
      <c r="AA229" s="29" t="s">
        <v>2136</v>
      </c>
      <c r="AB229" s="29">
        <v>0.71460000000000001</v>
      </c>
      <c r="AC229" s="29" t="s">
        <v>109</v>
      </c>
      <c r="AD229" s="29" t="s">
        <v>145</v>
      </c>
    </row>
    <row r="230" spans="1:30" ht="14.25" hidden="1">
      <c r="A230" s="29" t="s">
        <v>52</v>
      </c>
      <c r="B230" s="29" t="s">
        <v>73</v>
      </c>
      <c r="C230" s="29" t="s">
        <v>74</v>
      </c>
      <c r="D230" s="29" t="s">
        <v>622</v>
      </c>
      <c r="E230" s="29"/>
      <c r="F230" s="29" t="s">
        <v>2130</v>
      </c>
      <c r="G230" s="29" t="s">
        <v>215</v>
      </c>
      <c r="H230" s="29" t="s">
        <v>2131</v>
      </c>
      <c r="I230" s="29" t="s">
        <v>133</v>
      </c>
      <c r="J230" s="29" t="s">
        <v>218</v>
      </c>
      <c r="K230" s="42">
        <v>75450</v>
      </c>
      <c r="L230" s="42">
        <v>24</v>
      </c>
      <c r="M230" s="42">
        <v>6481</v>
      </c>
      <c r="N230" s="42">
        <v>68969</v>
      </c>
      <c r="O230" s="29" t="s">
        <v>97</v>
      </c>
      <c r="P230" s="29" t="s">
        <v>98</v>
      </c>
      <c r="Q230" s="29">
        <v>29.6</v>
      </c>
      <c r="R230" s="29">
        <v>0.94440000000000002</v>
      </c>
      <c r="S230" s="29" t="s">
        <v>2201</v>
      </c>
      <c r="T230" s="138" t="s">
        <v>2202</v>
      </c>
      <c r="U230" s="29">
        <v>24.4377</v>
      </c>
      <c r="V230" s="29">
        <v>0.32469999999999999</v>
      </c>
      <c r="W230" s="29">
        <v>1.482</v>
      </c>
      <c r="X230" s="29" t="s">
        <v>2203</v>
      </c>
      <c r="Y230" s="29">
        <v>0.58350000000000002</v>
      </c>
      <c r="Z230" s="29">
        <v>1.4185000000000001</v>
      </c>
      <c r="AA230" s="29" t="s">
        <v>2204</v>
      </c>
      <c r="AB230" s="29">
        <v>0.89170000000000005</v>
      </c>
      <c r="AC230" s="29" t="s">
        <v>109</v>
      </c>
      <c r="AD230" s="29" t="s">
        <v>145</v>
      </c>
    </row>
    <row r="231" spans="1:30" ht="14.25" hidden="1">
      <c r="A231" s="33" t="s">
        <v>70</v>
      </c>
      <c r="B231" s="33" t="s">
        <v>203</v>
      </c>
      <c r="C231" s="33" t="s">
        <v>74</v>
      </c>
      <c r="D231" s="33" t="s">
        <v>778</v>
      </c>
      <c r="E231" s="33"/>
      <c r="F231" s="33" t="s">
        <v>2205</v>
      </c>
      <c r="G231" s="33" t="s">
        <v>165</v>
      </c>
      <c r="H231" s="33" t="s">
        <v>2206</v>
      </c>
      <c r="I231" s="33" t="s">
        <v>133</v>
      </c>
      <c r="J231" s="33" t="s">
        <v>2207</v>
      </c>
      <c r="K231" s="35">
        <f t="shared" ref="K231:K235" si="12">M231+N231</f>
        <v>655666</v>
      </c>
      <c r="L231" s="33">
        <v>36</v>
      </c>
      <c r="M231" s="35">
        <v>61714</v>
      </c>
      <c r="N231" s="35">
        <v>593952</v>
      </c>
      <c r="O231" s="33" t="s">
        <v>79</v>
      </c>
      <c r="P231" s="33" t="s">
        <v>98</v>
      </c>
      <c r="Q231" s="33">
        <v>15.39</v>
      </c>
      <c r="R231" s="33">
        <v>0.39200000000000002</v>
      </c>
      <c r="S231" s="33" t="s">
        <v>2208</v>
      </c>
      <c r="T231" s="33">
        <v>1E-4</v>
      </c>
      <c r="U231" s="33">
        <v>147.91</v>
      </c>
      <c r="V231" s="33" t="s">
        <v>2209</v>
      </c>
      <c r="W231" s="33">
        <v>0.46800000000000003</v>
      </c>
      <c r="X231" s="33" t="s">
        <v>2210</v>
      </c>
      <c r="Y231" s="33">
        <v>2.9999999999999997E-4</v>
      </c>
      <c r="Z231" s="33" t="s">
        <v>2211</v>
      </c>
      <c r="AA231" s="33" t="s">
        <v>2212</v>
      </c>
      <c r="AB231" s="33">
        <v>0.53800000000000003</v>
      </c>
      <c r="AC231" s="33" t="s">
        <v>109</v>
      </c>
      <c r="AD231" s="33" t="s">
        <v>2087</v>
      </c>
    </row>
    <row r="232" spans="1:30" ht="14.25" hidden="1">
      <c r="A232" s="14" t="s">
        <v>70</v>
      </c>
      <c r="B232" s="14" t="s">
        <v>207</v>
      </c>
      <c r="C232" s="14" t="s">
        <v>74</v>
      </c>
      <c r="D232" s="14" t="s">
        <v>2213</v>
      </c>
      <c r="E232" s="14"/>
      <c r="F232" s="14" t="s">
        <v>949</v>
      </c>
      <c r="G232" s="14" t="s">
        <v>215</v>
      </c>
      <c r="H232" s="14" t="s">
        <v>950</v>
      </c>
      <c r="I232" s="14" t="s">
        <v>133</v>
      </c>
      <c r="J232" s="14" t="s">
        <v>951</v>
      </c>
      <c r="K232" s="19">
        <f t="shared" si="12"/>
        <v>138086</v>
      </c>
      <c r="L232" s="14">
        <v>20</v>
      </c>
      <c r="M232" s="14">
        <v>27205</v>
      </c>
      <c r="N232" s="14">
        <v>110881</v>
      </c>
      <c r="O232" s="14" t="s">
        <v>79</v>
      </c>
      <c r="P232" s="14" t="s">
        <v>98</v>
      </c>
      <c r="Q232" s="14"/>
      <c r="R232" s="14">
        <v>1.4715</v>
      </c>
      <c r="S232" s="14" t="s">
        <v>2214</v>
      </c>
      <c r="T232" s="14">
        <v>0.20610000000000001</v>
      </c>
      <c r="U232" s="14">
        <v>14.488</v>
      </c>
      <c r="V232" s="14">
        <v>0.56240000000000001</v>
      </c>
      <c r="W232" s="14">
        <v>1.2398</v>
      </c>
      <c r="X232" s="14" t="s">
        <v>2215</v>
      </c>
      <c r="Y232" s="14">
        <v>0.61260000000000003</v>
      </c>
      <c r="Z232" s="14">
        <v>0.45989999999999998</v>
      </c>
      <c r="AA232" s="14" t="s">
        <v>2216</v>
      </c>
      <c r="AB232" s="14">
        <v>0.62470000000000003</v>
      </c>
      <c r="AC232" s="14" t="s">
        <v>109</v>
      </c>
      <c r="AD232" s="14" t="s">
        <v>155</v>
      </c>
    </row>
    <row r="233" spans="1:30" ht="14.25" hidden="1">
      <c r="A233" s="14" t="s">
        <v>70</v>
      </c>
      <c r="B233" s="14" t="s">
        <v>207</v>
      </c>
      <c r="C233" s="14" t="s">
        <v>74</v>
      </c>
      <c r="D233" s="14" t="s">
        <v>246</v>
      </c>
      <c r="E233" s="14"/>
      <c r="F233" s="14" t="s">
        <v>949</v>
      </c>
      <c r="G233" s="14" t="s">
        <v>248</v>
      </c>
      <c r="H233" s="14" t="s">
        <v>950</v>
      </c>
      <c r="I233" s="14" t="s">
        <v>133</v>
      </c>
      <c r="J233" s="14" t="s">
        <v>951</v>
      </c>
      <c r="K233" s="19">
        <f t="shared" si="12"/>
        <v>138086</v>
      </c>
      <c r="L233" s="14">
        <v>10</v>
      </c>
      <c r="M233" s="14">
        <v>27205</v>
      </c>
      <c r="N233" s="14">
        <v>110881</v>
      </c>
      <c r="O233" s="14" t="s">
        <v>79</v>
      </c>
      <c r="P233" s="14" t="s">
        <v>98</v>
      </c>
      <c r="Q233" s="14"/>
      <c r="R233" s="14">
        <v>0.96130000000000004</v>
      </c>
      <c r="S233" s="14" t="s">
        <v>2217</v>
      </c>
      <c r="T233" s="14">
        <v>0.93330000000000002</v>
      </c>
      <c r="U233" s="14">
        <v>39.689300000000003</v>
      </c>
      <c r="V233" s="14">
        <v>5.0000000000000001E-4</v>
      </c>
      <c r="W233" s="14">
        <v>0.59989999999999999</v>
      </c>
      <c r="X233" s="14" t="s">
        <v>2218</v>
      </c>
      <c r="Y233" s="14">
        <v>0.28179999999999999</v>
      </c>
      <c r="Z233" s="14">
        <v>7.5039999999999996</v>
      </c>
      <c r="AA233" s="14" t="s">
        <v>2219</v>
      </c>
      <c r="AB233" s="14">
        <v>0.70689999999999997</v>
      </c>
      <c r="AC233" s="14" t="s">
        <v>109</v>
      </c>
      <c r="AD233" s="14" t="s">
        <v>155</v>
      </c>
    </row>
    <row r="234" spans="1:30" ht="14.25" hidden="1">
      <c r="A234" s="14" t="s">
        <v>70</v>
      </c>
      <c r="B234" s="14" t="s">
        <v>207</v>
      </c>
      <c r="C234" s="14" t="s">
        <v>74</v>
      </c>
      <c r="D234" s="14" t="s">
        <v>164</v>
      </c>
      <c r="E234" s="14"/>
      <c r="F234" s="14" t="s">
        <v>949</v>
      </c>
      <c r="G234" s="14" t="s">
        <v>165</v>
      </c>
      <c r="H234" s="14" t="s">
        <v>950</v>
      </c>
      <c r="I234" s="14" t="s">
        <v>133</v>
      </c>
      <c r="J234" s="14" t="s">
        <v>951</v>
      </c>
      <c r="K234" s="19">
        <f t="shared" si="12"/>
        <v>138086</v>
      </c>
      <c r="L234" s="14">
        <v>37</v>
      </c>
      <c r="M234" s="14">
        <v>27205</v>
      </c>
      <c r="N234" s="14">
        <v>110881</v>
      </c>
      <c r="O234" s="14" t="s">
        <v>79</v>
      </c>
      <c r="P234" s="14" t="s">
        <v>98</v>
      </c>
      <c r="Q234" s="14"/>
      <c r="R234" s="14">
        <v>0.93840000000000001</v>
      </c>
      <c r="S234" s="14" t="s">
        <v>2220</v>
      </c>
      <c r="T234" s="14">
        <v>0.7762</v>
      </c>
      <c r="U234" s="14">
        <v>75.414400000000001</v>
      </c>
      <c r="V234" s="14">
        <v>5.9999999999999995E-4</v>
      </c>
      <c r="W234" s="14">
        <v>1.2927999999999999</v>
      </c>
      <c r="X234" s="14" t="s">
        <v>2221</v>
      </c>
      <c r="Y234" s="14">
        <v>0.33169999999999999</v>
      </c>
      <c r="Z234" s="14">
        <v>3.7795999999999998</v>
      </c>
      <c r="AA234" s="14" t="s">
        <v>2222</v>
      </c>
      <c r="AB234" s="14">
        <v>0.20030000000000001</v>
      </c>
      <c r="AC234" s="14" t="s">
        <v>109</v>
      </c>
      <c r="AD234" s="14" t="s">
        <v>155</v>
      </c>
    </row>
    <row r="235" spans="1:30" ht="14.25" hidden="1">
      <c r="A235" s="14" t="s">
        <v>70</v>
      </c>
      <c r="B235" s="14" t="s">
        <v>207</v>
      </c>
      <c r="C235" s="14" t="s">
        <v>74</v>
      </c>
      <c r="D235" s="14" t="s">
        <v>75</v>
      </c>
      <c r="E235" s="14"/>
      <c r="F235" s="14" t="s">
        <v>949</v>
      </c>
      <c r="G235" s="14" t="s">
        <v>113</v>
      </c>
      <c r="H235" s="14" t="s">
        <v>950</v>
      </c>
      <c r="I235" s="14" t="s">
        <v>133</v>
      </c>
      <c r="J235" s="14" t="s">
        <v>951</v>
      </c>
      <c r="K235" s="19">
        <f t="shared" si="12"/>
        <v>138086</v>
      </c>
      <c r="L235" s="14">
        <v>50</v>
      </c>
      <c r="M235" s="14">
        <v>27205</v>
      </c>
      <c r="N235" s="14">
        <v>110881</v>
      </c>
      <c r="O235" s="14" t="s">
        <v>79</v>
      </c>
      <c r="P235" s="14" t="s">
        <v>98</v>
      </c>
      <c r="Q235" s="14"/>
      <c r="R235" s="14">
        <v>0.59470000000000001</v>
      </c>
      <c r="S235" s="14" t="s">
        <v>966</v>
      </c>
      <c r="T235" s="14">
        <v>2.87E-2</v>
      </c>
      <c r="U235" s="14">
        <v>80.4041</v>
      </c>
      <c r="V235" s="14">
        <v>5.4000000000000003E-3</v>
      </c>
      <c r="W235" s="14">
        <v>0.90590000000000004</v>
      </c>
      <c r="X235" s="14" t="s">
        <v>969</v>
      </c>
      <c r="Y235" s="14">
        <v>0.73570000000000002</v>
      </c>
      <c r="Z235" s="14">
        <v>0.37369999999999998</v>
      </c>
      <c r="AA235" s="14" t="s">
        <v>972</v>
      </c>
      <c r="AB235" s="14">
        <v>0.26840000000000003</v>
      </c>
      <c r="AC235" s="14" t="s">
        <v>109</v>
      </c>
      <c r="AD235" s="14" t="s">
        <v>155</v>
      </c>
    </row>
    <row r="236" spans="1:30" ht="14.25" hidden="1">
      <c r="A236" s="29" t="s">
        <v>52</v>
      </c>
      <c r="B236" s="29" t="s">
        <v>77</v>
      </c>
      <c r="C236" s="29" t="s">
        <v>2196</v>
      </c>
      <c r="D236" s="29" t="s">
        <v>2223</v>
      </c>
      <c r="E236" s="29"/>
      <c r="F236" s="29" t="s">
        <v>2224</v>
      </c>
      <c r="G236" s="29" t="s">
        <v>79</v>
      </c>
      <c r="H236" s="29" t="s">
        <v>79</v>
      </c>
      <c r="I236" s="29" t="s">
        <v>79</v>
      </c>
      <c r="J236" s="29" t="s">
        <v>79</v>
      </c>
      <c r="K236" s="29" t="s">
        <v>79</v>
      </c>
      <c r="L236" s="29" t="s">
        <v>79</v>
      </c>
      <c r="M236" s="29" t="s">
        <v>79</v>
      </c>
      <c r="N236" s="29" t="s">
        <v>79</v>
      </c>
      <c r="O236" s="29" t="s">
        <v>2199</v>
      </c>
      <c r="P236" s="29" t="s">
        <v>98</v>
      </c>
      <c r="Q236" s="29" t="s">
        <v>62</v>
      </c>
      <c r="R236" s="29">
        <v>1.03</v>
      </c>
      <c r="S236" s="29" t="s">
        <v>2225</v>
      </c>
      <c r="T236" s="29" t="s">
        <v>2226</v>
      </c>
      <c r="U236" s="29" t="s">
        <v>62</v>
      </c>
      <c r="V236" s="29" t="s">
        <v>62</v>
      </c>
      <c r="W236" s="29" t="s">
        <v>62</v>
      </c>
      <c r="X236" s="29" t="s">
        <v>62</v>
      </c>
      <c r="Y236" s="29" t="s">
        <v>62</v>
      </c>
      <c r="Z236" s="29" t="s">
        <v>62</v>
      </c>
      <c r="AA236" s="29" t="s">
        <v>62</v>
      </c>
      <c r="AB236" s="29" t="s">
        <v>62</v>
      </c>
      <c r="AC236" s="29" t="s">
        <v>140</v>
      </c>
      <c r="AD236" s="29" t="s">
        <v>145</v>
      </c>
    </row>
    <row r="237" spans="1:30" ht="14.25" hidden="1">
      <c r="A237" s="29" t="s">
        <v>52</v>
      </c>
      <c r="B237" s="29" t="s">
        <v>77</v>
      </c>
      <c r="C237" s="29" t="s">
        <v>2196</v>
      </c>
      <c r="D237" s="29" t="s">
        <v>2223</v>
      </c>
      <c r="E237" s="29"/>
      <c r="F237" s="29" t="s">
        <v>2227</v>
      </c>
      <c r="G237" s="29" t="s">
        <v>79</v>
      </c>
      <c r="H237" s="29" t="s">
        <v>79</v>
      </c>
      <c r="I237" s="29" t="s">
        <v>79</v>
      </c>
      <c r="J237" s="29" t="s">
        <v>79</v>
      </c>
      <c r="K237" s="29" t="s">
        <v>79</v>
      </c>
      <c r="L237" s="29" t="s">
        <v>79</v>
      </c>
      <c r="M237" s="29" t="s">
        <v>79</v>
      </c>
      <c r="N237" s="29" t="s">
        <v>79</v>
      </c>
      <c r="O237" s="29" t="s">
        <v>2199</v>
      </c>
      <c r="P237" s="29" t="s">
        <v>98</v>
      </c>
      <c r="Q237" s="29" t="s">
        <v>62</v>
      </c>
      <c r="R237" s="29">
        <v>0.93</v>
      </c>
      <c r="S237" s="29" t="s">
        <v>2228</v>
      </c>
      <c r="T237" s="29" t="s">
        <v>2226</v>
      </c>
      <c r="U237" s="29" t="s">
        <v>62</v>
      </c>
      <c r="V237" s="29" t="s">
        <v>62</v>
      </c>
      <c r="W237" s="29" t="s">
        <v>62</v>
      </c>
      <c r="X237" s="29" t="s">
        <v>62</v>
      </c>
      <c r="Y237" s="29" t="s">
        <v>62</v>
      </c>
      <c r="Z237" s="29" t="s">
        <v>62</v>
      </c>
      <c r="AA237" s="29" t="s">
        <v>62</v>
      </c>
      <c r="AB237" s="29" t="s">
        <v>62</v>
      </c>
      <c r="AC237" s="29" t="s">
        <v>140</v>
      </c>
      <c r="AD237" s="29" t="s">
        <v>145</v>
      </c>
    </row>
    <row r="238" spans="1:30" ht="14.25" hidden="1">
      <c r="A238" s="29" t="s">
        <v>52</v>
      </c>
      <c r="B238" s="29" t="s">
        <v>77</v>
      </c>
      <c r="C238" s="29" t="s">
        <v>2196</v>
      </c>
      <c r="D238" s="29" t="s">
        <v>2223</v>
      </c>
      <c r="E238" s="29"/>
      <c r="F238" s="29" t="s">
        <v>2229</v>
      </c>
      <c r="G238" s="29" t="s">
        <v>79</v>
      </c>
      <c r="H238" s="29" t="s">
        <v>79</v>
      </c>
      <c r="I238" s="29" t="s">
        <v>79</v>
      </c>
      <c r="J238" s="29" t="s">
        <v>79</v>
      </c>
      <c r="K238" s="29" t="s">
        <v>79</v>
      </c>
      <c r="L238" s="29" t="s">
        <v>79</v>
      </c>
      <c r="M238" s="29" t="s">
        <v>79</v>
      </c>
      <c r="N238" s="29" t="s">
        <v>79</v>
      </c>
      <c r="O238" s="29" t="s">
        <v>2199</v>
      </c>
      <c r="P238" s="29" t="s">
        <v>98</v>
      </c>
      <c r="Q238" s="29" t="s">
        <v>62</v>
      </c>
      <c r="R238" s="29">
        <v>0.93</v>
      </c>
      <c r="S238" s="29" t="s">
        <v>2230</v>
      </c>
      <c r="T238" s="29" t="s">
        <v>2226</v>
      </c>
      <c r="U238" s="29" t="s">
        <v>62</v>
      </c>
      <c r="V238" s="29" t="s">
        <v>62</v>
      </c>
      <c r="W238" s="29" t="s">
        <v>62</v>
      </c>
      <c r="X238" s="29" t="s">
        <v>62</v>
      </c>
      <c r="Y238" s="29" t="s">
        <v>62</v>
      </c>
      <c r="Z238" s="29" t="s">
        <v>62</v>
      </c>
      <c r="AA238" s="29" t="s">
        <v>62</v>
      </c>
      <c r="AB238" s="29" t="s">
        <v>62</v>
      </c>
      <c r="AC238" s="29" t="s">
        <v>140</v>
      </c>
      <c r="AD238" s="29" t="s">
        <v>145</v>
      </c>
    </row>
    <row r="239" spans="1:30" ht="14.25" hidden="1">
      <c r="A239" s="29" t="s">
        <v>52</v>
      </c>
      <c r="B239" s="29" t="s">
        <v>77</v>
      </c>
      <c r="C239" s="29" t="s">
        <v>2196</v>
      </c>
      <c r="D239" s="29" t="s">
        <v>2223</v>
      </c>
      <c r="E239" s="29"/>
      <c r="F239" s="29" t="s">
        <v>2231</v>
      </c>
      <c r="G239" s="29" t="s">
        <v>79</v>
      </c>
      <c r="H239" s="29" t="s">
        <v>79</v>
      </c>
      <c r="I239" s="29" t="s">
        <v>79</v>
      </c>
      <c r="J239" s="29" t="s">
        <v>79</v>
      </c>
      <c r="K239" s="29" t="s">
        <v>79</v>
      </c>
      <c r="L239" s="29" t="s">
        <v>79</v>
      </c>
      <c r="M239" s="29" t="s">
        <v>79</v>
      </c>
      <c r="N239" s="29" t="s">
        <v>79</v>
      </c>
      <c r="O239" s="29" t="s">
        <v>2199</v>
      </c>
      <c r="P239" s="29" t="s">
        <v>98</v>
      </c>
      <c r="Q239" s="29" t="s">
        <v>62</v>
      </c>
      <c r="R239" s="29">
        <v>1.01</v>
      </c>
      <c r="S239" s="29" t="s">
        <v>2232</v>
      </c>
      <c r="T239" s="29" t="s">
        <v>2226</v>
      </c>
      <c r="U239" s="29" t="s">
        <v>62</v>
      </c>
      <c r="V239" s="29" t="s">
        <v>62</v>
      </c>
      <c r="W239" s="29" t="s">
        <v>62</v>
      </c>
      <c r="X239" s="29" t="s">
        <v>62</v>
      </c>
      <c r="Y239" s="29" t="s">
        <v>62</v>
      </c>
      <c r="Z239" s="29" t="s">
        <v>62</v>
      </c>
      <c r="AA239" s="29" t="s">
        <v>62</v>
      </c>
      <c r="AB239" s="29" t="s">
        <v>62</v>
      </c>
      <c r="AC239" s="29" t="s">
        <v>140</v>
      </c>
      <c r="AD239" s="29" t="s">
        <v>145</v>
      </c>
    </row>
    <row r="240" spans="1:30" ht="14.25" hidden="1">
      <c r="A240" s="29" t="s">
        <v>52</v>
      </c>
      <c r="B240" s="29" t="s">
        <v>77</v>
      </c>
      <c r="C240" s="29" t="s">
        <v>2196</v>
      </c>
      <c r="D240" s="29" t="s">
        <v>2223</v>
      </c>
      <c r="E240" s="29"/>
      <c r="F240" s="29" t="s">
        <v>2198</v>
      </c>
      <c r="G240" s="29" t="s">
        <v>79</v>
      </c>
      <c r="H240" s="29" t="s">
        <v>79</v>
      </c>
      <c r="I240" s="29" t="s">
        <v>79</v>
      </c>
      <c r="J240" s="29" t="s">
        <v>79</v>
      </c>
      <c r="K240" s="29" t="s">
        <v>79</v>
      </c>
      <c r="L240" s="29" t="s">
        <v>79</v>
      </c>
      <c r="M240" s="29" t="s">
        <v>79</v>
      </c>
      <c r="N240" s="29" t="s">
        <v>79</v>
      </c>
      <c r="O240" s="29" t="s">
        <v>2199</v>
      </c>
      <c r="P240" s="29" t="s">
        <v>98</v>
      </c>
      <c r="Q240" s="29" t="s">
        <v>62</v>
      </c>
      <c r="R240" s="29">
        <v>0.73</v>
      </c>
      <c r="S240" s="29" t="s">
        <v>2233</v>
      </c>
      <c r="T240" s="29" t="s">
        <v>2234</v>
      </c>
      <c r="U240" s="29" t="s">
        <v>62</v>
      </c>
      <c r="V240" s="29" t="s">
        <v>62</v>
      </c>
      <c r="W240" s="29" t="s">
        <v>62</v>
      </c>
      <c r="X240" s="29" t="s">
        <v>62</v>
      </c>
      <c r="Y240" s="29" t="s">
        <v>62</v>
      </c>
      <c r="Z240" s="29" t="s">
        <v>62</v>
      </c>
      <c r="AA240" s="29" t="s">
        <v>62</v>
      </c>
      <c r="AB240" s="29" t="s">
        <v>62</v>
      </c>
      <c r="AC240" s="29" t="s">
        <v>140</v>
      </c>
      <c r="AD240" s="29" t="s">
        <v>145</v>
      </c>
    </row>
    <row r="241" spans="1:30" ht="14.25" hidden="1">
      <c r="A241" s="29" t="s">
        <v>52</v>
      </c>
      <c r="B241" s="29" t="s">
        <v>77</v>
      </c>
      <c r="C241" s="29" t="s">
        <v>2196</v>
      </c>
      <c r="D241" s="29" t="s">
        <v>2223</v>
      </c>
      <c r="E241" s="29"/>
      <c r="F241" s="29" t="s">
        <v>2235</v>
      </c>
      <c r="G241" s="29" t="s">
        <v>79</v>
      </c>
      <c r="H241" s="29" t="s">
        <v>79</v>
      </c>
      <c r="I241" s="29" t="s">
        <v>79</v>
      </c>
      <c r="J241" s="29" t="s">
        <v>79</v>
      </c>
      <c r="K241" s="29" t="s">
        <v>79</v>
      </c>
      <c r="L241" s="29" t="s">
        <v>79</v>
      </c>
      <c r="M241" s="29" t="s">
        <v>79</v>
      </c>
      <c r="N241" s="29" t="s">
        <v>79</v>
      </c>
      <c r="O241" s="29" t="s">
        <v>2199</v>
      </c>
      <c r="P241" s="29" t="s">
        <v>98</v>
      </c>
      <c r="Q241" s="29" t="s">
        <v>62</v>
      </c>
      <c r="R241" s="29">
        <v>0.98</v>
      </c>
      <c r="S241" s="29" t="s">
        <v>2236</v>
      </c>
      <c r="T241" s="29" t="s">
        <v>2226</v>
      </c>
      <c r="U241" s="29" t="s">
        <v>62</v>
      </c>
      <c r="V241" s="29" t="s">
        <v>62</v>
      </c>
      <c r="W241" s="29" t="s">
        <v>62</v>
      </c>
      <c r="X241" s="29" t="s">
        <v>62</v>
      </c>
      <c r="Y241" s="29" t="s">
        <v>62</v>
      </c>
      <c r="Z241" s="29" t="s">
        <v>62</v>
      </c>
      <c r="AA241" s="29" t="s">
        <v>62</v>
      </c>
      <c r="AB241" s="29" t="s">
        <v>62</v>
      </c>
      <c r="AC241" s="29" t="s">
        <v>140</v>
      </c>
      <c r="AD241" s="29" t="s">
        <v>145</v>
      </c>
    </row>
    <row r="242" spans="1:30" ht="14.25" hidden="1">
      <c r="A242" s="29" t="s">
        <v>52</v>
      </c>
      <c r="B242" s="29" t="s">
        <v>77</v>
      </c>
      <c r="C242" s="29" t="s">
        <v>2196</v>
      </c>
      <c r="D242" s="29" t="s">
        <v>2197</v>
      </c>
      <c r="E242" s="29"/>
      <c r="F242" s="29" t="s">
        <v>2224</v>
      </c>
      <c r="G242" s="29" t="s">
        <v>79</v>
      </c>
      <c r="H242" s="29" t="s">
        <v>79</v>
      </c>
      <c r="I242" s="29" t="s">
        <v>79</v>
      </c>
      <c r="J242" s="29" t="s">
        <v>79</v>
      </c>
      <c r="K242" s="29" t="s">
        <v>79</v>
      </c>
      <c r="L242" s="29" t="s">
        <v>79</v>
      </c>
      <c r="M242" s="29" t="s">
        <v>79</v>
      </c>
      <c r="N242" s="29" t="s">
        <v>79</v>
      </c>
      <c r="O242" s="29" t="s">
        <v>2199</v>
      </c>
      <c r="P242" s="29" t="s">
        <v>98</v>
      </c>
      <c r="Q242" s="29" t="s">
        <v>62</v>
      </c>
      <c r="R242" s="29">
        <v>1.07</v>
      </c>
      <c r="S242" s="29" t="s">
        <v>2237</v>
      </c>
      <c r="T242" s="29" t="s">
        <v>2226</v>
      </c>
      <c r="U242" s="29" t="s">
        <v>62</v>
      </c>
      <c r="V242" s="29" t="s">
        <v>62</v>
      </c>
      <c r="W242" s="29" t="s">
        <v>62</v>
      </c>
      <c r="X242" s="29" t="s">
        <v>62</v>
      </c>
      <c r="Y242" s="29" t="s">
        <v>62</v>
      </c>
      <c r="Z242" s="29" t="s">
        <v>62</v>
      </c>
      <c r="AA242" s="29" t="s">
        <v>62</v>
      </c>
      <c r="AB242" s="29" t="s">
        <v>62</v>
      </c>
      <c r="AC242" s="29" t="s">
        <v>140</v>
      </c>
      <c r="AD242" s="29" t="s">
        <v>145</v>
      </c>
    </row>
    <row r="243" spans="1:30" ht="14.25" hidden="1">
      <c r="A243" s="29" t="s">
        <v>52</v>
      </c>
      <c r="B243" s="29" t="s">
        <v>77</v>
      </c>
      <c r="C243" s="29" t="s">
        <v>2196</v>
      </c>
      <c r="D243" s="29" t="s">
        <v>2197</v>
      </c>
      <c r="E243" s="29"/>
      <c r="F243" s="29" t="s">
        <v>2227</v>
      </c>
      <c r="G243" s="29" t="s">
        <v>79</v>
      </c>
      <c r="H243" s="29" t="s">
        <v>79</v>
      </c>
      <c r="I243" s="29" t="s">
        <v>79</v>
      </c>
      <c r="J243" s="29" t="s">
        <v>79</v>
      </c>
      <c r="K243" s="29" t="s">
        <v>79</v>
      </c>
      <c r="L243" s="29" t="s">
        <v>79</v>
      </c>
      <c r="M243" s="29" t="s">
        <v>79</v>
      </c>
      <c r="N243" s="29" t="s">
        <v>79</v>
      </c>
      <c r="O243" s="29" t="s">
        <v>2199</v>
      </c>
      <c r="P243" s="29" t="s">
        <v>98</v>
      </c>
      <c r="Q243" s="29" t="s">
        <v>62</v>
      </c>
      <c r="R243" s="29">
        <v>0.98</v>
      </c>
      <c r="S243" s="29" t="s">
        <v>2238</v>
      </c>
      <c r="T243" s="29" t="s">
        <v>2226</v>
      </c>
      <c r="U243" s="29" t="s">
        <v>62</v>
      </c>
      <c r="V243" s="29" t="s">
        <v>62</v>
      </c>
      <c r="W243" s="29" t="s">
        <v>62</v>
      </c>
      <c r="X243" s="29" t="s">
        <v>62</v>
      </c>
      <c r="Y243" s="29" t="s">
        <v>62</v>
      </c>
      <c r="Z243" s="29" t="s">
        <v>62</v>
      </c>
      <c r="AA243" s="29" t="s">
        <v>62</v>
      </c>
      <c r="AB243" s="29" t="s">
        <v>62</v>
      </c>
      <c r="AC243" s="29" t="s">
        <v>140</v>
      </c>
      <c r="AD243" s="29" t="s">
        <v>145</v>
      </c>
    </row>
    <row r="244" spans="1:30" ht="14.25" hidden="1">
      <c r="A244" s="29" t="s">
        <v>52</v>
      </c>
      <c r="B244" s="29" t="s">
        <v>77</v>
      </c>
      <c r="C244" s="29" t="s">
        <v>2196</v>
      </c>
      <c r="D244" s="29" t="s">
        <v>2197</v>
      </c>
      <c r="E244" s="29"/>
      <c r="F244" s="29" t="s">
        <v>2229</v>
      </c>
      <c r="G244" s="29" t="s">
        <v>79</v>
      </c>
      <c r="H244" s="29" t="s">
        <v>79</v>
      </c>
      <c r="I244" s="29" t="s">
        <v>79</v>
      </c>
      <c r="J244" s="29" t="s">
        <v>79</v>
      </c>
      <c r="K244" s="29" t="s">
        <v>79</v>
      </c>
      <c r="L244" s="29" t="s">
        <v>79</v>
      </c>
      <c r="M244" s="29" t="s">
        <v>79</v>
      </c>
      <c r="N244" s="29" t="s">
        <v>79</v>
      </c>
      <c r="O244" s="29" t="s">
        <v>2199</v>
      </c>
      <c r="P244" s="29" t="s">
        <v>98</v>
      </c>
      <c r="Q244" s="29" t="s">
        <v>62</v>
      </c>
      <c r="R244" s="29">
        <v>0.89</v>
      </c>
      <c r="S244" s="29" t="s">
        <v>2239</v>
      </c>
      <c r="T244" s="29" t="s">
        <v>2240</v>
      </c>
      <c r="U244" s="29" t="s">
        <v>62</v>
      </c>
      <c r="V244" s="29" t="s">
        <v>62</v>
      </c>
      <c r="W244" s="29" t="s">
        <v>62</v>
      </c>
      <c r="X244" s="29" t="s">
        <v>62</v>
      </c>
      <c r="Y244" s="29" t="s">
        <v>62</v>
      </c>
      <c r="Z244" s="29" t="s">
        <v>62</v>
      </c>
      <c r="AA244" s="29" t="s">
        <v>62</v>
      </c>
      <c r="AB244" s="29" t="s">
        <v>62</v>
      </c>
      <c r="AC244" s="29" t="s">
        <v>140</v>
      </c>
      <c r="AD244" s="29" t="s">
        <v>145</v>
      </c>
    </row>
    <row r="245" spans="1:30" ht="14.25" hidden="1">
      <c r="A245" s="29" t="s">
        <v>52</v>
      </c>
      <c r="B245" s="29" t="s">
        <v>77</v>
      </c>
      <c r="C245" s="29" t="s">
        <v>2196</v>
      </c>
      <c r="D245" s="29" t="s">
        <v>2197</v>
      </c>
      <c r="E245" s="29"/>
      <c r="F245" s="29" t="s">
        <v>2231</v>
      </c>
      <c r="G245" s="29" t="s">
        <v>79</v>
      </c>
      <c r="H245" s="29" t="s">
        <v>79</v>
      </c>
      <c r="I245" s="29" t="s">
        <v>79</v>
      </c>
      <c r="J245" s="29" t="s">
        <v>79</v>
      </c>
      <c r="K245" s="29" t="s">
        <v>79</v>
      </c>
      <c r="L245" s="29" t="s">
        <v>79</v>
      </c>
      <c r="M245" s="29" t="s">
        <v>79</v>
      </c>
      <c r="N245" s="29" t="s">
        <v>79</v>
      </c>
      <c r="O245" s="29" t="s">
        <v>2199</v>
      </c>
      <c r="P245" s="29" t="s">
        <v>98</v>
      </c>
      <c r="Q245" s="29" t="s">
        <v>62</v>
      </c>
      <c r="R245" s="29">
        <v>1.03</v>
      </c>
      <c r="S245" s="29" t="s">
        <v>2241</v>
      </c>
      <c r="T245" s="29" t="s">
        <v>2226</v>
      </c>
      <c r="U245" s="29" t="s">
        <v>62</v>
      </c>
      <c r="V245" s="29" t="s">
        <v>62</v>
      </c>
      <c r="W245" s="29" t="s">
        <v>62</v>
      </c>
      <c r="X245" s="29" t="s">
        <v>62</v>
      </c>
      <c r="Y245" s="29" t="s">
        <v>62</v>
      </c>
      <c r="Z245" s="29" t="s">
        <v>62</v>
      </c>
      <c r="AA245" s="29" t="s">
        <v>62</v>
      </c>
      <c r="AB245" s="29" t="s">
        <v>62</v>
      </c>
      <c r="AC245" s="29" t="s">
        <v>140</v>
      </c>
      <c r="AD245" s="29" t="s">
        <v>145</v>
      </c>
    </row>
    <row r="246" spans="1:30" ht="14.25" hidden="1">
      <c r="A246" s="29" t="s">
        <v>52</v>
      </c>
      <c r="B246" s="29" t="s">
        <v>77</v>
      </c>
      <c r="C246" s="29" t="s">
        <v>2196</v>
      </c>
      <c r="D246" s="29" t="s">
        <v>2197</v>
      </c>
      <c r="E246" s="29"/>
      <c r="F246" s="29" t="s">
        <v>2198</v>
      </c>
      <c r="G246" s="29" t="s">
        <v>79</v>
      </c>
      <c r="H246" s="29" t="s">
        <v>79</v>
      </c>
      <c r="I246" s="29" t="s">
        <v>79</v>
      </c>
      <c r="J246" s="29" t="s">
        <v>79</v>
      </c>
      <c r="K246" s="29" t="s">
        <v>79</v>
      </c>
      <c r="L246" s="29" t="s">
        <v>79</v>
      </c>
      <c r="M246" s="29" t="s">
        <v>79</v>
      </c>
      <c r="N246" s="29" t="s">
        <v>79</v>
      </c>
      <c r="O246" s="29" t="s">
        <v>2199</v>
      </c>
      <c r="P246" s="29" t="s">
        <v>98</v>
      </c>
      <c r="Q246" s="29" t="s">
        <v>62</v>
      </c>
      <c r="R246" s="29">
        <v>0.83</v>
      </c>
      <c r="S246" s="29" t="s">
        <v>2200</v>
      </c>
      <c r="T246" s="29" t="s">
        <v>1165</v>
      </c>
      <c r="U246" s="29" t="s">
        <v>62</v>
      </c>
      <c r="V246" s="29" t="s">
        <v>62</v>
      </c>
      <c r="W246" s="29" t="s">
        <v>62</v>
      </c>
      <c r="X246" s="29" t="s">
        <v>62</v>
      </c>
      <c r="Y246" s="29" t="s">
        <v>62</v>
      </c>
      <c r="Z246" s="29" t="s">
        <v>62</v>
      </c>
      <c r="AA246" s="29" t="s">
        <v>62</v>
      </c>
      <c r="AB246" s="29" t="s">
        <v>62</v>
      </c>
      <c r="AC246" s="29" t="s">
        <v>140</v>
      </c>
      <c r="AD246" s="29" t="s">
        <v>145</v>
      </c>
    </row>
    <row r="247" spans="1:30" ht="14.25" hidden="1">
      <c r="A247" s="29" t="s">
        <v>52</v>
      </c>
      <c r="B247" s="29" t="s">
        <v>77</v>
      </c>
      <c r="C247" s="29" t="s">
        <v>2196</v>
      </c>
      <c r="D247" s="29" t="s">
        <v>2197</v>
      </c>
      <c r="E247" s="29"/>
      <c r="F247" s="29" t="s">
        <v>2235</v>
      </c>
      <c r="G247" s="29" t="s">
        <v>79</v>
      </c>
      <c r="H247" s="29" t="s">
        <v>79</v>
      </c>
      <c r="I247" s="29" t="s">
        <v>79</v>
      </c>
      <c r="J247" s="29" t="s">
        <v>79</v>
      </c>
      <c r="K247" s="29" t="s">
        <v>79</v>
      </c>
      <c r="L247" s="29" t="s">
        <v>79</v>
      </c>
      <c r="M247" s="29" t="s">
        <v>79</v>
      </c>
      <c r="N247" s="29" t="s">
        <v>79</v>
      </c>
      <c r="O247" s="29" t="s">
        <v>2199</v>
      </c>
      <c r="P247" s="29" t="s">
        <v>98</v>
      </c>
      <c r="Q247" s="29" t="s">
        <v>62</v>
      </c>
      <c r="R247" s="29">
        <v>1.1000000000000001</v>
      </c>
      <c r="S247" s="29" t="s">
        <v>2242</v>
      </c>
      <c r="T247" s="29" t="s">
        <v>2226</v>
      </c>
      <c r="U247" s="29" t="s">
        <v>62</v>
      </c>
      <c r="V247" s="29" t="s">
        <v>62</v>
      </c>
      <c r="W247" s="29" t="s">
        <v>62</v>
      </c>
      <c r="X247" s="29" t="s">
        <v>62</v>
      </c>
      <c r="Y247" s="29" t="s">
        <v>62</v>
      </c>
      <c r="Z247" s="29" t="s">
        <v>62</v>
      </c>
      <c r="AA247" s="29" t="s">
        <v>62</v>
      </c>
      <c r="AB247" s="29" t="s">
        <v>62</v>
      </c>
      <c r="AC247" s="29" t="s">
        <v>140</v>
      </c>
      <c r="AD247" s="29" t="s">
        <v>145</v>
      </c>
    </row>
    <row r="248" spans="1:30" ht="14.25" hidden="1">
      <c r="A248" s="14" t="s">
        <v>52</v>
      </c>
      <c r="B248" s="14" t="s">
        <v>84</v>
      </c>
      <c r="C248" s="14" t="s">
        <v>74</v>
      </c>
      <c r="D248" s="14" t="s">
        <v>164</v>
      </c>
      <c r="E248" s="14"/>
      <c r="F248" s="14" t="s">
        <v>2243</v>
      </c>
      <c r="G248" s="14" t="s">
        <v>165</v>
      </c>
      <c r="H248" s="14" t="s">
        <v>2244</v>
      </c>
      <c r="I248" s="14" t="s">
        <v>133</v>
      </c>
      <c r="J248" s="14" t="s">
        <v>1321</v>
      </c>
      <c r="K248" s="14">
        <f t="shared" ref="K248:K260" si="13">SUM(M248:N248)</f>
        <v>4671</v>
      </c>
      <c r="L248" s="14">
        <v>34</v>
      </c>
      <c r="M248" s="14">
        <v>2342</v>
      </c>
      <c r="N248" s="14">
        <v>2329</v>
      </c>
      <c r="O248" s="14" t="s">
        <v>97</v>
      </c>
      <c r="P248" s="14" t="s">
        <v>98</v>
      </c>
      <c r="Q248" s="14" t="s">
        <v>79</v>
      </c>
      <c r="R248" s="14">
        <v>0.17319999999999999</v>
      </c>
      <c r="S248" s="14" t="s">
        <v>2245</v>
      </c>
      <c r="T248" s="14">
        <v>1.3100000000000001E-2</v>
      </c>
      <c r="U248" s="23">
        <v>29.133299999999998</v>
      </c>
      <c r="V248" s="14">
        <v>0.66020000000000001</v>
      </c>
      <c r="W248" s="14">
        <v>0.2656</v>
      </c>
      <c r="X248" s="14" t="s">
        <v>2246</v>
      </c>
      <c r="Y248" s="14">
        <v>0.18210000000000001</v>
      </c>
      <c r="Z248" s="14" t="s">
        <v>62</v>
      </c>
      <c r="AA248" s="14" t="s">
        <v>62</v>
      </c>
      <c r="AB248" s="14" t="s">
        <v>62</v>
      </c>
      <c r="AC248" s="14" t="s">
        <v>140</v>
      </c>
      <c r="AD248" s="14" t="s">
        <v>204</v>
      </c>
    </row>
    <row r="249" spans="1:30" ht="14.25" hidden="1">
      <c r="A249" s="14" t="s">
        <v>52</v>
      </c>
      <c r="B249" s="14" t="s">
        <v>84</v>
      </c>
      <c r="C249" s="14" t="s">
        <v>74</v>
      </c>
      <c r="D249" s="14" t="s">
        <v>164</v>
      </c>
      <c r="E249" s="14"/>
      <c r="F249" s="14" t="s">
        <v>820</v>
      </c>
      <c r="G249" s="14" t="s">
        <v>165</v>
      </c>
      <c r="H249" s="14" t="s">
        <v>2247</v>
      </c>
      <c r="I249" s="14" t="s">
        <v>133</v>
      </c>
      <c r="J249" s="14" t="s">
        <v>1321</v>
      </c>
      <c r="K249" s="14">
        <f t="shared" si="13"/>
        <v>27209</v>
      </c>
      <c r="L249" s="14">
        <v>39</v>
      </c>
      <c r="M249" s="14">
        <v>11348</v>
      </c>
      <c r="N249" s="14">
        <v>15861</v>
      </c>
      <c r="O249" s="14" t="s">
        <v>97</v>
      </c>
      <c r="P249" s="14" t="s">
        <v>98</v>
      </c>
      <c r="Q249" s="14" t="s">
        <v>79</v>
      </c>
      <c r="R249" s="14">
        <v>0.32990000000000003</v>
      </c>
      <c r="S249" s="14" t="s">
        <v>2248</v>
      </c>
      <c r="T249" s="14">
        <v>1.1000000000000001E-3</v>
      </c>
      <c r="U249" s="23">
        <v>63.370800000000003</v>
      </c>
      <c r="V249" s="14">
        <v>6.0000000000000001E-3</v>
      </c>
      <c r="W249" s="14">
        <v>0.35970000000000002</v>
      </c>
      <c r="X249" s="14" t="s">
        <v>2249</v>
      </c>
      <c r="Y249" s="14">
        <v>1.44E-2</v>
      </c>
      <c r="Z249" s="14" t="s">
        <v>62</v>
      </c>
      <c r="AA249" s="14" t="s">
        <v>62</v>
      </c>
      <c r="AB249" s="14" t="s">
        <v>62</v>
      </c>
      <c r="AC249" s="14" t="s">
        <v>140</v>
      </c>
      <c r="AD249" s="14" t="s">
        <v>204</v>
      </c>
    </row>
    <row r="250" spans="1:30" ht="14.25" hidden="1">
      <c r="A250" s="14" t="s">
        <v>52</v>
      </c>
      <c r="B250" s="14" t="s">
        <v>84</v>
      </c>
      <c r="C250" s="14" t="s">
        <v>74</v>
      </c>
      <c r="D250" s="14" t="s">
        <v>164</v>
      </c>
      <c r="E250" s="14"/>
      <c r="F250" s="14" t="s">
        <v>2250</v>
      </c>
      <c r="G250" s="14" t="s">
        <v>165</v>
      </c>
      <c r="H250" s="14" t="s">
        <v>2251</v>
      </c>
      <c r="I250" s="14" t="s">
        <v>133</v>
      </c>
      <c r="J250" s="14" t="s">
        <v>1321</v>
      </c>
      <c r="K250" s="14">
        <f t="shared" si="13"/>
        <v>18313</v>
      </c>
      <c r="L250" s="14">
        <v>39</v>
      </c>
      <c r="M250" s="14">
        <v>3275</v>
      </c>
      <c r="N250" s="14">
        <v>15038</v>
      </c>
      <c r="O250" s="14" t="s">
        <v>97</v>
      </c>
      <c r="P250" s="14" t="s">
        <v>98</v>
      </c>
      <c r="Q250" s="14" t="s">
        <v>79</v>
      </c>
      <c r="R250" s="14">
        <v>0.23</v>
      </c>
      <c r="S250" s="14" t="s">
        <v>2252</v>
      </c>
      <c r="T250" s="14">
        <v>2.5999999999999999E-3</v>
      </c>
      <c r="U250" s="23">
        <v>55.795099999999998</v>
      </c>
      <c r="V250" s="14">
        <v>3.1300000000000001E-2</v>
      </c>
      <c r="W250" s="14">
        <v>0.1794</v>
      </c>
      <c r="X250" s="14" t="s">
        <v>2253</v>
      </c>
      <c r="Y250" s="14">
        <v>4.4000000000000003E-3</v>
      </c>
      <c r="Z250" s="14" t="s">
        <v>62</v>
      </c>
      <c r="AA250" s="14" t="s">
        <v>62</v>
      </c>
      <c r="AB250" s="14" t="s">
        <v>62</v>
      </c>
      <c r="AC250" s="14" t="s">
        <v>140</v>
      </c>
      <c r="AD250" s="14" t="s">
        <v>204</v>
      </c>
    </row>
    <row r="251" spans="1:30" ht="14.25">
      <c r="A251" s="49" t="s">
        <v>52</v>
      </c>
      <c r="B251" s="49" t="s">
        <v>84</v>
      </c>
      <c r="C251" s="49" t="s">
        <v>74</v>
      </c>
      <c r="D251" s="49" t="s">
        <v>164</v>
      </c>
      <c r="E251" s="144" t="s">
        <v>2068</v>
      </c>
      <c r="F251" s="49" t="s">
        <v>423</v>
      </c>
      <c r="G251" s="49" t="s">
        <v>165</v>
      </c>
      <c r="H251" s="49" t="s">
        <v>1536</v>
      </c>
      <c r="I251" s="49" t="s">
        <v>133</v>
      </c>
      <c r="J251" s="49" t="s">
        <v>1321</v>
      </c>
      <c r="K251" s="49">
        <f t="shared" si="13"/>
        <v>33832</v>
      </c>
      <c r="L251" s="49">
        <v>41</v>
      </c>
      <c r="M251" s="49">
        <v>15748</v>
      </c>
      <c r="N251" s="49">
        <v>18084</v>
      </c>
      <c r="O251" s="49" t="s">
        <v>97</v>
      </c>
      <c r="P251" s="49" t="s">
        <v>98</v>
      </c>
      <c r="Q251" s="49" t="s">
        <v>79</v>
      </c>
      <c r="R251" s="49">
        <v>0.46929999999999999</v>
      </c>
      <c r="S251" s="49" t="s">
        <v>2260</v>
      </c>
      <c r="T251" s="49" t="s">
        <v>2261</v>
      </c>
      <c r="U251" s="53">
        <v>63.079300000000003</v>
      </c>
      <c r="V251" s="49">
        <v>1.14E-2</v>
      </c>
      <c r="W251" s="49">
        <v>0.35199999999999998</v>
      </c>
      <c r="X251" s="49" t="s">
        <v>2262</v>
      </c>
      <c r="Y251" s="49" t="s">
        <v>2263</v>
      </c>
      <c r="Z251" s="49" t="s">
        <v>62</v>
      </c>
      <c r="AA251" s="49" t="s">
        <v>62</v>
      </c>
      <c r="AB251" s="49" t="s">
        <v>62</v>
      </c>
      <c r="AC251" s="49" t="s">
        <v>140</v>
      </c>
      <c r="AD251" s="49" t="s">
        <v>204</v>
      </c>
    </row>
    <row r="252" spans="1:30" ht="14.25" hidden="1">
      <c r="A252" s="14" t="s">
        <v>52</v>
      </c>
      <c r="B252" s="14" t="s">
        <v>84</v>
      </c>
      <c r="C252" s="14" t="s">
        <v>74</v>
      </c>
      <c r="D252" s="14" t="s">
        <v>164</v>
      </c>
      <c r="E252" s="14"/>
      <c r="F252" s="14" t="s">
        <v>2264</v>
      </c>
      <c r="G252" s="14" t="s">
        <v>165</v>
      </c>
      <c r="H252" s="14" t="s">
        <v>2265</v>
      </c>
      <c r="I252" s="14" t="s">
        <v>133</v>
      </c>
      <c r="J252" s="14" t="s">
        <v>1321</v>
      </c>
      <c r="K252" s="14">
        <f t="shared" si="13"/>
        <v>66450</v>
      </c>
      <c r="L252" s="14">
        <v>40</v>
      </c>
      <c r="M252" s="14">
        <v>25509</v>
      </c>
      <c r="N252" s="14">
        <v>40941</v>
      </c>
      <c r="O252" s="14" t="s">
        <v>97</v>
      </c>
      <c r="P252" s="14" t="s">
        <v>98</v>
      </c>
      <c r="Q252" s="14" t="s">
        <v>79</v>
      </c>
      <c r="R252" s="14">
        <v>0.6028</v>
      </c>
      <c r="S252" s="14" t="s">
        <v>2266</v>
      </c>
      <c r="T252" s="14">
        <v>1.83E-2</v>
      </c>
      <c r="U252" s="23">
        <v>47.188600000000001</v>
      </c>
      <c r="V252" s="14">
        <v>0.17269999999999999</v>
      </c>
      <c r="W252" s="14">
        <v>0.75749999999999995</v>
      </c>
      <c r="X252" s="14" t="s">
        <v>2267</v>
      </c>
      <c r="Y252" s="14">
        <v>0.32390000000000002</v>
      </c>
      <c r="Z252" s="14" t="s">
        <v>62</v>
      </c>
      <c r="AA252" s="14" t="s">
        <v>62</v>
      </c>
      <c r="AB252" s="14" t="s">
        <v>62</v>
      </c>
      <c r="AC252" s="14" t="s">
        <v>140</v>
      </c>
      <c r="AD252" s="14" t="s">
        <v>204</v>
      </c>
    </row>
    <row r="253" spans="1:30" ht="14.25" hidden="1">
      <c r="A253" s="14" t="s">
        <v>52</v>
      </c>
      <c r="B253" s="14" t="s">
        <v>84</v>
      </c>
      <c r="C253" s="14" t="s">
        <v>74</v>
      </c>
      <c r="D253" s="14" t="s">
        <v>164</v>
      </c>
      <c r="E253" s="14"/>
      <c r="F253" s="14" t="s">
        <v>2268</v>
      </c>
      <c r="G253" s="14" t="s">
        <v>165</v>
      </c>
      <c r="H253" s="14" t="s">
        <v>2269</v>
      </c>
      <c r="I253" s="14" t="s">
        <v>133</v>
      </c>
      <c r="J253" s="14" t="s">
        <v>1321</v>
      </c>
      <c r="K253" s="14">
        <f t="shared" si="13"/>
        <v>3835</v>
      </c>
      <c r="L253" s="14">
        <v>8</v>
      </c>
      <c r="M253" s="14">
        <v>1896</v>
      </c>
      <c r="N253" s="14">
        <v>1939</v>
      </c>
      <c r="O253" s="14" t="s">
        <v>97</v>
      </c>
      <c r="P253" s="14" t="s">
        <v>98</v>
      </c>
      <c r="Q253" s="14" t="s">
        <v>79</v>
      </c>
      <c r="R253" s="14">
        <v>2.7400000000000001E-2</v>
      </c>
      <c r="S253" s="14" t="s">
        <v>2270</v>
      </c>
      <c r="T253" s="14">
        <v>2.8000000000000001E-2</v>
      </c>
      <c r="U253" s="23">
        <v>6.2934000000000001</v>
      </c>
      <c r="V253" s="14">
        <v>0.50590000000000002</v>
      </c>
      <c r="W253" s="14">
        <v>1.2800000000000001E-2</v>
      </c>
      <c r="X253" s="14" t="s">
        <v>2271</v>
      </c>
      <c r="Y253" s="14">
        <v>4.9799999999999997E-2</v>
      </c>
      <c r="Z253" s="14" t="s">
        <v>62</v>
      </c>
      <c r="AA253" s="14" t="s">
        <v>62</v>
      </c>
      <c r="AB253" s="14" t="s">
        <v>62</v>
      </c>
      <c r="AC253" s="14" t="s">
        <v>140</v>
      </c>
      <c r="AD253" s="14" t="s">
        <v>204</v>
      </c>
    </row>
    <row r="254" spans="1:30" ht="14.25" hidden="1">
      <c r="A254" s="14" t="s">
        <v>52</v>
      </c>
      <c r="B254" s="14" t="s">
        <v>84</v>
      </c>
      <c r="C254" s="14" t="s">
        <v>74</v>
      </c>
      <c r="D254" s="14" t="s">
        <v>164</v>
      </c>
      <c r="E254" s="14"/>
      <c r="F254" s="14" t="s">
        <v>1718</v>
      </c>
      <c r="G254" s="14" t="s">
        <v>165</v>
      </c>
      <c r="H254" s="14" t="s">
        <v>2272</v>
      </c>
      <c r="I254" s="14" t="s">
        <v>133</v>
      </c>
      <c r="J254" s="14" t="s">
        <v>1321</v>
      </c>
      <c r="K254" s="14">
        <f t="shared" si="13"/>
        <v>199086</v>
      </c>
      <c r="L254" s="14">
        <v>37</v>
      </c>
      <c r="M254" s="14">
        <v>563</v>
      </c>
      <c r="N254" s="14">
        <v>198523</v>
      </c>
      <c r="O254" s="14" t="s">
        <v>97</v>
      </c>
      <c r="P254" s="14" t="s">
        <v>98</v>
      </c>
      <c r="Q254" s="14" t="s">
        <v>79</v>
      </c>
      <c r="R254" s="14">
        <v>0.99470000000000003</v>
      </c>
      <c r="S254" s="14" t="s">
        <v>2273</v>
      </c>
      <c r="T254" s="14">
        <v>4.82E-2</v>
      </c>
      <c r="U254" s="23">
        <v>36.910600000000002</v>
      </c>
      <c r="V254" s="14">
        <v>0.42659999999999998</v>
      </c>
      <c r="W254" s="14">
        <v>0.30449999999999999</v>
      </c>
      <c r="X254" s="14" t="s">
        <v>2274</v>
      </c>
      <c r="Y254" s="14">
        <v>0.30449999999999999</v>
      </c>
      <c r="Z254" s="14" t="s">
        <v>62</v>
      </c>
      <c r="AA254" s="14" t="s">
        <v>62</v>
      </c>
      <c r="AB254" s="14" t="s">
        <v>62</v>
      </c>
      <c r="AC254" s="14" t="s">
        <v>140</v>
      </c>
      <c r="AD254" s="14" t="s">
        <v>204</v>
      </c>
    </row>
    <row r="255" spans="1:30" ht="14.25" hidden="1">
      <c r="A255" s="14" t="s">
        <v>52</v>
      </c>
      <c r="B255" s="14" t="s">
        <v>84</v>
      </c>
      <c r="C255" s="14" t="s">
        <v>74</v>
      </c>
      <c r="D255" s="14" t="s">
        <v>164</v>
      </c>
      <c r="E255" s="14"/>
      <c r="F255" s="14" t="s">
        <v>900</v>
      </c>
      <c r="G255" s="14" t="s">
        <v>165</v>
      </c>
      <c r="H255" s="14" t="s">
        <v>2275</v>
      </c>
      <c r="I255" s="14" t="s">
        <v>133</v>
      </c>
      <c r="J255" s="14" t="s">
        <v>1321</v>
      </c>
      <c r="K255" s="14">
        <f t="shared" si="13"/>
        <v>18336</v>
      </c>
      <c r="L255" s="14">
        <v>39</v>
      </c>
      <c r="M255" s="14">
        <v>3442</v>
      </c>
      <c r="N255" s="14">
        <v>14894</v>
      </c>
      <c r="O255" s="14" t="s">
        <v>97</v>
      </c>
      <c r="P255" s="14" t="s">
        <v>98</v>
      </c>
      <c r="Q255" s="14" t="s">
        <v>79</v>
      </c>
      <c r="R255" s="14">
        <v>0.70789999999999997</v>
      </c>
      <c r="S255" s="14" t="s">
        <v>2276</v>
      </c>
      <c r="T255" s="14">
        <v>0.43419999999999997</v>
      </c>
      <c r="U255" s="23">
        <v>45.780799999999999</v>
      </c>
      <c r="V255" s="14">
        <v>0.18049999999999999</v>
      </c>
      <c r="W255" s="14">
        <v>1.2855000000000001</v>
      </c>
      <c r="X255" s="14" t="s">
        <v>2277</v>
      </c>
      <c r="Y255" s="14">
        <v>0.46939999999999998</v>
      </c>
      <c r="Z255" s="14" t="s">
        <v>62</v>
      </c>
      <c r="AA255" s="14" t="s">
        <v>62</v>
      </c>
      <c r="AB255" s="14" t="s">
        <v>62</v>
      </c>
      <c r="AC255" s="14" t="s">
        <v>140</v>
      </c>
      <c r="AD255" s="14" t="s">
        <v>204</v>
      </c>
    </row>
    <row r="256" spans="1:30" ht="14.25" hidden="1">
      <c r="A256" s="14" t="s">
        <v>52</v>
      </c>
      <c r="B256" s="14" t="s">
        <v>84</v>
      </c>
      <c r="C256" s="14" t="s">
        <v>74</v>
      </c>
      <c r="D256" s="14" t="s">
        <v>164</v>
      </c>
      <c r="E256" s="14"/>
      <c r="F256" s="14" t="s">
        <v>2113</v>
      </c>
      <c r="G256" s="14" t="s">
        <v>165</v>
      </c>
      <c r="H256" s="14" t="s">
        <v>2114</v>
      </c>
      <c r="I256" s="14" t="s">
        <v>133</v>
      </c>
      <c r="J256" s="14" t="s">
        <v>1321</v>
      </c>
      <c r="K256" s="14">
        <f t="shared" si="13"/>
        <v>121885</v>
      </c>
      <c r="L256" s="14">
        <v>41</v>
      </c>
      <c r="M256" s="14">
        <v>12906</v>
      </c>
      <c r="N256" s="14">
        <v>108979</v>
      </c>
      <c r="O256" s="14" t="s">
        <v>97</v>
      </c>
      <c r="P256" s="14" t="s">
        <v>98</v>
      </c>
      <c r="Q256" s="14" t="s">
        <v>79</v>
      </c>
      <c r="R256" s="14">
        <v>0.95860000000000001</v>
      </c>
      <c r="S256" s="14" t="s">
        <v>2278</v>
      </c>
      <c r="T256" s="14">
        <v>0.87419999999999998</v>
      </c>
      <c r="U256" s="23">
        <v>58.096200000000003</v>
      </c>
      <c r="V256" s="14">
        <v>3.2000000000000001E-2</v>
      </c>
      <c r="W256" s="14">
        <v>0.1525</v>
      </c>
      <c r="X256" s="14" t="s">
        <v>2279</v>
      </c>
      <c r="Y256" s="14">
        <v>0.66200000000000003</v>
      </c>
      <c r="Z256" s="14" t="s">
        <v>62</v>
      </c>
      <c r="AA256" s="14" t="s">
        <v>62</v>
      </c>
      <c r="AB256" s="14" t="s">
        <v>62</v>
      </c>
      <c r="AC256" s="14" t="s">
        <v>140</v>
      </c>
      <c r="AD256" s="14" t="s">
        <v>204</v>
      </c>
    </row>
    <row r="257" spans="1:30" ht="14.25" hidden="1">
      <c r="A257" s="14" t="s">
        <v>52</v>
      </c>
      <c r="B257" s="14" t="s">
        <v>84</v>
      </c>
      <c r="C257" s="14" t="s">
        <v>74</v>
      </c>
      <c r="D257" s="14" t="s">
        <v>164</v>
      </c>
      <c r="E257" s="14"/>
      <c r="F257" s="14" t="s">
        <v>2280</v>
      </c>
      <c r="G257" s="14" t="s">
        <v>165</v>
      </c>
      <c r="H257" s="14" t="s">
        <v>2281</v>
      </c>
      <c r="I257" s="14" t="s">
        <v>133</v>
      </c>
      <c r="J257" s="14" t="s">
        <v>1321</v>
      </c>
      <c r="K257" s="14">
        <f t="shared" si="13"/>
        <v>1080</v>
      </c>
      <c r="L257" s="14">
        <v>7</v>
      </c>
      <c r="M257" s="14">
        <v>649</v>
      </c>
      <c r="N257" s="14">
        <v>431</v>
      </c>
      <c r="O257" s="14" t="s">
        <v>97</v>
      </c>
      <c r="P257" s="14" t="s">
        <v>98</v>
      </c>
      <c r="Q257" s="14" t="s">
        <v>79</v>
      </c>
      <c r="R257" s="14">
        <v>0.18540000000000001</v>
      </c>
      <c r="S257" s="14" t="s">
        <v>2282</v>
      </c>
      <c r="T257" s="14">
        <v>0.63519999999999999</v>
      </c>
      <c r="U257" s="23">
        <v>7.5067000000000004</v>
      </c>
      <c r="V257" s="14">
        <v>0.27650000000000002</v>
      </c>
      <c r="W257" s="14">
        <v>1.337</v>
      </c>
      <c r="X257" s="14" t="s">
        <v>2283</v>
      </c>
      <c r="Y257" s="14">
        <v>0.108</v>
      </c>
      <c r="Z257" s="14" t="s">
        <v>62</v>
      </c>
      <c r="AA257" s="14" t="s">
        <v>62</v>
      </c>
      <c r="AB257" s="14" t="s">
        <v>62</v>
      </c>
      <c r="AC257" s="14" t="s">
        <v>140</v>
      </c>
      <c r="AD257" s="14" t="s">
        <v>204</v>
      </c>
    </row>
    <row r="258" spans="1:30" ht="14.25" hidden="1">
      <c r="A258" s="14" t="s">
        <v>52</v>
      </c>
      <c r="B258" s="14" t="s">
        <v>84</v>
      </c>
      <c r="C258" s="14" t="s">
        <v>74</v>
      </c>
      <c r="D258" s="14" t="s">
        <v>164</v>
      </c>
      <c r="E258" s="14"/>
      <c r="F258" s="14" t="s">
        <v>2284</v>
      </c>
      <c r="G258" s="14" t="s">
        <v>165</v>
      </c>
      <c r="H258" s="14" t="s">
        <v>2285</v>
      </c>
      <c r="I258" s="14" t="s">
        <v>133</v>
      </c>
      <c r="J258" s="14" t="s">
        <v>1321</v>
      </c>
      <c r="K258" s="14">
        <f t="shared" si="13"/>
        <v>140254</v>
      </c>
      <c r="L258" s="14">
        <v>41</v>
      </c>
      <c r="M258" s="14">
        <v>79148</v>
      </c>
      <c r="N258" s="14">
        <v>61106</v>
      </c>
      <c r="O258" s="14" t="s">
        <v>97</v>
      </c>
      <c r="P258" s="14" t="s">
        <v>98</v>
      </c>
      <c r="Q258" s="14" t="s">
        <v>79</v>
      </c>
      <c r="R258" s="14">
        <v>1.1424000000000001</v>
      </c>
      <c r="S258" s="14" t="s">
        <v>2286</v>
      </c>
      <c r="T258" s="14">
        <v>0.53539999999999999</v>
      </c>
      <c r="U258" s="23">
        <v>133.41290000000001</v>
      </c>
      <c r="V258" s="14" t="s">
        <v>2287</v>
      </c>
      <c r="W258" s="14">
        <v>1.337</v>
      </c>
      <c r="X258" s="14" t="s">
        <v>2283</v>
      </c>
      <c r="Y258" s="14">
        <v>0.108</v>
      </c>
      <c r="Z258" s="14" t="s">
        <v>62</v>
      </c>
      <c r="AA258" s="14" t="s">
        <v>62</v>
      </c>
      <c r="AB258" s="14" t="s">
        <v>62</v>
      </c>
      <c r="AC258" s="14" t="s">
        <v>140</v>
      </c>
      <c r="AD258" s="14" t="s">
        <v>204</v>
      </c>
    </row>
    <row r="259" spans="1:30" ht="14.25" hidden="1">
      <c r="A259" s="14" t="s">
        <v>52</v>
      </c>
      <c r="B259" s="14" t="s">
        <v>84</v>
      </c>
      <c r="C259" s="14" t="s">
        <v>74</v>
      </c>
      <c r="D259" s="14" t="s">
        <v>164</v>
      </c>
      <c r="E259" s="14"/>
      <c r="F259" s="14" t="s">
        <v>1468</v>
      </c>
      <c r="G259" s="14" t="s">
        <v>165</v>
      </c>
      <c r="H259" s="14" t="s">
        <v>1471</v>
      </c>
      <c r="I259" s="14" t="s">
        <v>133</v>
      </c>
      <c r="J259" s="14" t="s">
        <v>1321</v>
      </c>
      <c r="K259" s="14">
        <f t="shared" si="13"/>
        <v>373295</v>
      </c>
      <c r="L259" s="14">
        <v>37</v>
      </c>
      <c r="M259" s="14">
        <v>1279</v>
      </c>
      <c r="N259" s="14">
        <v>372016</v>
      </c>
      <c r="O259" s="14" t="s">
        <v>97</v>
      </c>
      <c r="P259" s="14" t="s">
        <v>98</v>
      </c>
      <c r="Q259" s="14" t="s">
        <v>79</v>
      </c>
      <c r="R259" s="14">
        <v>1.0003</v>
      </c>
      <c r="S259" s="14" t="s">
        <v>2288</v>
      </c>
      <c r="T259" s="14">
        <v>0.89959999999999996</v>
      </c>
      <c r="U259" s="23">
        <v>48.632199999999997</v>
      </c>
      <c r="V259" s="14">
        <v>7.7799999999999994E-2</v>
      </c>
      <c r="W259" s="14">
        <v>1.0013000000000001</v>
      </c>
      <c r="X259" s="14" t="s">
        <v>2289</v>
      </c>
      <c r="Y259" s="14">
        <v>0.67559999999999998</v>
      </c>
      <c r="Z259" s="14" t="s">
        <v>62</v>
      </c>
      <c r="AA259" s="14" t="s">
        <v>62</v>
      </c>
      <c r="AB259" s="14" t="s">
        <v>62</v>
      </c>
      <c r="AC259" s="14" t="s">
        <v>140</v>
      </c>
      <c r="AD259" s="14" t="s">
        <v>204</v>
      </c>
    </row>
    <row r="260" spans="1:30" ht="14.25" hidden="1">
      <c r="A260" s="14" t="s">
        <v>52</v>
      </c>
      <c r="B260" s="14" t="s">
        <v>84</v>
      </c>
      <c r="C260" s="14" t="s">
        <v>74</v>
      </c>
      <c r="D260" s="14" t="s">
        <v>164</v>
      </c>
      <c r="E260" s="14"/>
      <c r="F260" s="14" t="s">
        <v>1495</v>
      </c>
      <c r="G260" s="14" t="s">
        <v>165</v>
      </c>
      <c r="H260" s="14" t="s">
        <v>1496</v>
      </c>
      <c r="I260" s="14" t="s">
        <v>133</v>
      </c>
      <c r="J260" s="14" t="s">
        <v>1321</v>
      </c>
      <c r="K260" s="14">
        <f t="shared" si="13"/>
        <v>372622</v>
      </c>
      <c r="L260" s="14">
        <v>37</v>
      </c>
      <c r="M260" s="14">
        <v>606</v>
      </c>
      <c r="N260" s="14">
        <v>372016</v>
      </c>
      <c r="O260" s="14" t="s">
        <v>97</v>
      </c>
      <c r="P260" s="14" t="s">
        <v>98</v>
      </c>
      <c r="Q260" s="14" t="s">
        <v>79</v>
      </c>
      <c r="R260" s="14">
        <v>1.0003</v>
      </c>
      <c r="S260" s="14" t="s">
        <v>2290</v>
      </c>
      <c r="T260" s="14">
        <v>0.81640000000000001</v>
      </c>
      <c r="U260" s="23">
        <v>45.578299999999999</v>
      </c>
      <c r="V260" s="14">
        <v>0.13159999999999999</v>
      </c>
      <c r="W260" s="14">
        <v>1.0003</v>
      </c>
      <c r="X260" s="14" t="s">
        <v>2291</v>
      </c>
      <c r="Y260" s="14">
        <v>0.87860000000000005</v>
      </c>
      <c r="Z260" s="14" t="s">
        <v>62</v>
      </c>
      <c r="AA260" s="14" t="s">
        <v>62</v>
      </c>
      <c r="AB260" s="14" t="s">
        <v>62</v>
      </c>
      <c r="AC260" s="14" t="s">
        <v>140</v>
      </c>
      <c r="AD260" s="14" t="s">
        <v>204</v>
      </c>
    </row>
    <row r="261" spans="1:30" ht="14.25" hidden="1">
      <c r="A261" s="23" t="s">
        <v>52</v>
      </c>
      <c r="B261" s="23" t="s">
        <v>84</v>
      </c>
      <c r="C261" s="23" t="s">
        <v>74</v>
      </c>
      <c r="D261" s="23" t="s">
        <v>164</v>
      </c>
      <c r="E261" s="14"/>
      <c r="F261" s="14" t="s">
        <v>2243</v>
      </c>
      <c r="G261" s="23" t="s">
        <v>165</v>
      </c>
      <c r="H261" s="23" t="s">
        <v>2292</v>
      </c>
      <c r="I261" s="23" t="s">
        <v>133</v>
      </c>
      <c r="J261" s="23" t="s">
        <v>2293</v>
      </c>
      <c r="K261" s="23" t="s">
        <v>79</v>
      </c>
      <c r="L261" s="23">
        <v>37</v>
      </c>
      <c r="M261" s="23" t="s">
        <v>79</v>
      </c>
      <c r="N261" s="23" t="s">
        <v>79</v>
      </c>
      <c r="O261" s="23" t="s">
        <v>97</v>
      </c>
      <c r="P261" s="23" t="s">
        <v>98</v>
      </c>
      <c r="Q261" s="14" t="s">
        <v>79</v>
      </c>
      <c r="R261" s="23">
        <v>0.99839999999999995</v>
      </c>
      <c r="S261" s="23" t="s">
        <v>2294</v>
      </c>
      <c r="T261" s="23">
        <v>0.32600000000000001</v>
      </c>
      <c r="U261" s="14">
        <v>35.373600000000003</v>
      </c>
      <c r="V261" s="14">
        <v>0.49819999999999998</v>
      </c>
      <c r="W261" s="23">
        <v>0.99950000000000006</v>
      </c>
      <c r="X261" s="23" t="s">
        <v>2295</v>
      </c>
      <c r="Y261" s="23">
        <v>0.85089999999999999</v>
      </c>
      <c r="Z261" s="14" t="s">
        <v>62</v>
      </c>
      <c r="AA261" s="14" t="s">
        <v>62</v>
      </c>
      <c r="AB261" s="14" t="s">
        <v>62</v>
      </c>
      <c r="AC261" s="23" t="s">
        <v>140</v>
      </c>
      <c r="AD261" s="23" t="s">
        <v>204</v>
      </c>
    </row>
    <row r="262" spans="1:30" ht="14.25" hidden="1">
      <c r="A262" s="23" t="s">
        <v>52</v>
      </c>
      <c r="B262" s="23" t="s">
        <v>84</v>
      </c>
      <c r="C262" s="23" t="s">
        <v>74</v>
      </c>
      <c r="D262" s="23" t="s">
        <v>164</v>
      </c>
      <c r="E262" s="14"/>
      <c r="F262" s="14" t="s">
        <v>820</v>
      </c>
      <c r="G262" s="23" t="s">
        <v>165</v>
      </c>
      <c r="H262" s="23" t="s">
        <v>79</v>
      </c>
      <c r="I262" s="23" t="s">
        <v>133</v>
      </c>
      <c r="J262" s="23" t="s">
        <v>2293</v>
      </c>
      <c r="K262" s="23" t="s">
        <v>79</v>
      </c>
      <c r="L262" s="23">
        <v>39</v>
      </c>
      <c r="M262" s="23" t="s">
        <v>79</v>
      </c>
      <c r="N262" s="23" t="s">
        <v>79</v>
      </c>
      <c r="O262" s="23" t="s">
        <v>97</v>
      </c>
      <c r="P262" s="23" t="s">
        <v>98</v>
      </c>
      <c r="Q262" s="14" t="s">
        <v>79</v>
      </c>
      <c r="R262" s="23">
        <v>0.23139999999999999</v>
      </c>
      <c r="S262" s="23" t="s">
        <v>2299</v>
      </c>
      <c r="T262" s="23">
        <v>4.3E-3</v>
      </c>
      <c r="U262" s="14">
        <v>36.069899999999997</v>
      </c>
      <c r="V262" s="14">
        <v>0.55900000000000005</v>
      </c>
      <c r="W262" s="23">
        <v>0.31950000000000001</v>
      </c>
      <c r="X262" s="23" t="s">
        <v>2300</v>
      </c>
      <c r="Y262" s="23">
        <v>0.1237</v>
      </c>
      <c r="Z262" s="14" t="s">
        <v>62</v>
      </c>
      <c r="AA262" s="14" t="s">
        <v>62</v>
      </c>
      <c r="AB262" s="14" t="s">
        <v>62</v>
      </c>
      <c r="AC262" s="23" t="s">
        <v>140</v>
      </c>
      <c r="AD262" s="23" t="s">
        <v>204</v>
      </c>
    </row>
    <row r="263" spans="1:30" ht="14.25" hidden="1">
      <c r="A263" s="23" t="s">
        <v>52</v>
      </c>
      <c r="B263" s="23" t="s">
        <v>84</v>
      </c>
      <c r="C263" s="23" t="s">
        <v>74</v>
      </c>
      <c r="D263" s="23" t="s">
        <v>164</v>
      </c>
      <c r="E263" s="14"/>
      <c r="F263" s="14" t="s">
        <v>2250</v>
      </c>
      <c r="G263" s="23" t="s">
        <v>165</v>
      </c>
      <c r="H263" s="23" t="s">
        <v>79</v>
      </c>
      <c r="I263" s="23" t="s">
        <v>133</v>
      </c>
      <c r="J263" s="23" t="s">
        <v>2293</v>
      </c>
      <c r="K263" s="23" t="s">
        <v>79</v>
      </c>
      <c r="L263" s="23">
        <v>39</v>
      </c>
      <c r="M263" s="23" t="s">
        <v>79</v>
      </c>
      <c r="N263" s="23" t="s">
        <v>79</v>
      </c>
      <c r="O263" s="23" t="s">
        <v>97</v>
      </c>
      <c r="P263" s="23" t="s">
        <v>98</v>
      </c>
      <c r="Q263" s="14" t="s">
        <v>79</v>
      </c>
      <c r="R263" s="23">
        <v>6.8900000000000003E-2</v>
      </c>
      <c r="S263" s="23" t="s">
        <v>2301</v>
      </c>
      <c r="T263" s="23">
        <v>1.3599999999999999E-2</v>
      </c>
      <c r="U263" s="14">
        <v>34.194800000000001</v>
      </c>
      <c r="V263" s="14">
        <v>0.64610000000000001</v>
      </c>
      <c r="W263" s="23">
        <v>5.74E-2</v>
      </c>
      <c r="X263" s="23" t="s">
        <v>2302</v>
      </c>
      <c r="Y263" s="23">
        <v>6.1800000000000001E-2</v>
      </c>
      <c r="Z263" s="14" t="s">
        <v>62</v>
      </c>
      <c r="AA263" s="14" t="s">
        <v>62</v>
      </c>
      <c r="AB263" s="14" t="s">
        <v>62</v>
      </c>
      <c r="AC263" s="23" t="s">
        <v>140</v>
      </c>
      <c r="AD263" s="23" t="s">
        <v>204</v>
      </c>
    </row>
    <row r="264" spans="1:30" ht="14.25" hidden="1">
      <c r="A264" s="23" t="s">
        <v>52</v>
      </c>
      <c r="B264" s="23" t="s">
        <v>84</v>
      </c>
      <c r="C264" s="23" t="s">
        <v>74</v>
      </c>
      <c r="D264" s="23" t="s">
        <v>164</v>
      </c>
      <c r="E264" s="14"/>
      <c r="F264" s="14" t="s">
        <v>423</v>
      </c>
      <c r="G264" s="23" t="s">
        <v>165</v>
      </c>
      <c r="H264" s="23" t="s">
        <v>79</v>
      </c>
      <c r="I264" s="23" t="s">
        <v>133</v>
      </c>
      <c r="J264" s="23" t="s">
        <v>2293</v>
      </c>
      <c r="K264" s="23" t="s">
        <v>79</v>
      </c>
      <c r="L264" s="23">
        <v>41</v>
      </c>
      <c r="M264" s="23" t="s">
        <v>79</v>
      </c>
      <c r="N264" s="23" t="s">
        <v>79</v>
      </c>
      <c r="O264" s="23" t="s">
        <v>97</v>
      </c>
      <c r="P264" s="23" t="s">
        <v>98</v>
      </c>
      <c r="Q264" s="14" t="s">
        <v>79</v>
      </c>
      <c r="R264" s="23">
        <v>0.54759999999999998</v>
      </c>
      <c r="S264" s="23" t="s">
        <v>2303</v>
      </c>
      <c r="T264" s="23">
        <v>1.9199999999999998E-2</v>
      </c>
      <c r="U264" s="14">
        <v>43.874600000000001</v>
      </c>
      <c r="V264" s="14">
        <v>0.31069999999999998</v>
      </c>
      <c r="W264" s="23">
        <v>0.64739999999999998</v>
      </c>
      <c r="X264" s="23" t="s">
        <v>2304</v>
      </c>
      <c r="Y264" s="23">
        <v>0.22220000000000001</v>
      </c>
      <c r="Z264" s="14" t="s">
        <v>62</v>
      </c>
      <c r="AA264" s="14" t="s">
        <v>62</v>
      </c>
      <c r="AB264" s="14" t="s">
        <v>62</v>
      </c>
      <c r="AC264" s="23" t="s">
        <v>140</v>
      </c>
      <c r="AD264" s="23" t="s">
        <v>204</v>
      </c>
    </row>
    <row r="265" spans="1:30" ht="14.25" hidden="1">
      <c r="A265" s="23" t="s">
        <v>52</v>
      </c>
      <c r="B265" s="23" t="s">
        <v>84</v>
      </c>
      <c r="C265" s="23" t="s">
        <v>74</v>
      </c>
      <c r="D265" s="23" t="s">
        <v>164</v>
      </c>
      <c r="E265" s="14"/>
      <c r="F265" s="14" t="s">
        <v>2264</v>
      </c>
      <c r="G265" s="23" t="s">
        <v>165</v>
      </c>
      <c r="H265" s="23" t="s">
        <v>79</v>
      </c>
      <c r="I265" s="23" t="s">
        <v>133</v>
      </c>
      <c r="J265" s="23" t="s">
        <v>2293</v>
      </c>
      <c r="K265" s="23" t="s">
        <v>79</v>
      </c>
      <c r="L265" s="23">
        <v>39</v>
      </c>
      <c r="M265" s="23" t="s">
        <v>79</v>
      </c>
      <c r="N265" s="23" t="s">
        <v>79</v>
      </c>
      <c r="O265" s="23" t="s">
        <v>97</v>
      </c>
      <c r="P265" s="23" t="s">
        <v>98</v>
      </c>
      <c r="Q265" s="14" t="s">
        <v>79</v>
      </c>
      <c r="R265" s="23">
        <v>0.81289999999999996</v>
      </c>
      <c r="S265" s="23" t="s">
        <v>2305</v>
      </c>
      <c r="T265" s="23">
        <v>0.78439999999999999</v>
      </c>
      <c r="U265" s="14">
        <v>38.351999999999997</v>
      </c>
      <c r="V265" s="14">
        <v>0.45350000000000001</v>
      </c>
      <c r="W265" s="23">
        <v>0.83779999999999999</v>
      </c>
      <c r="X265" s="23" t="s">
        <v>2306</v>
      </c>
      <c r="Y265" s="23">
        <v>0.82269999999999999</v>
      </c>
      <c r="Z265" s="14" t="s">
        <v>62</v>
      </c>
      <c r="AA265" s="14" t="s">
        <v>62</v>
      </c>
      <c r="AB265" s="14" t="s">
        <v>62</v>
      </c>
      <c r="AC265" s="23" t="s">
        <v>140</v>
      </c>
      <c r="AD265" s="23" t="s">
        <v>204</v>
      </c>
    </row>
    <row r="266" spans="1:30" ht="14.25" hidden="1">
      <c r="A266" s="23" t="s">
        <v>52</v>
      </c>
      <c r="B266" s="23" t="s">
        <v>84</v>
      </c>
      <c r="C266" s="23" t="s">
        <v>74</v>
      </c>
      <c r="D266" s="23" t="s">
        <v>164</v>
      </c>
      <c r="E266" s="14"/>
      <c r="F266" s="14" t="s">
        <v>2268</v>
      </c>
      <c r="G266" s="23" t="s">
        <v>165</v>
      </c>
      <c r="H266" s="23" t="s">
        <v>79</v>
      </c>
      <c r="I266" s="23" t="s">
        <v>133</v>
      </c>
      <c r="J266" s="23" t="s">
        <v>2293</v>
      </c>
      <c r="K266" s="23" t="s">
        <v>79</v>
      </c>
      <c r="L266" s="23">
        <v>39</v>
      </c>
      <c r="M266" s="23" t="s">
        <v>79</v>
      </c>
      <c r="N266" s="23" t="s">
        <v>79</v>
      </c>
      <c r="O266" s="23" t="s">
        <v>97</v>
      </c>
      <c r="P266" s="23" t="s">
        <v>98</v>
      </c>
      <c r="Q266" s="14" t="s">
        <v>79</v>
      </c>
      <c r="R266" s="23">
        <v>1.9157999999999999</v>
      </c>
      <c r="S266" s="23" t="s">
        <v>2307</v>
      </c>
      <c r="T266" s="23">
        <v>0.35349999999999998</v>
      </c>
      <c r="U266" s="14">
        <v>36.057200000000002</v>
      </c>
      <c r="V266" s="14">
        <v>0.55959999999999999</v>
      </c>
      <c r="W266" s="23">
        <v>1.6961999999999999</v>
      </c>
      <c r="X266" s="23" t="s">
        <v>2308</v>
      </c>
      <c r="Y266" s="23">
        <v>0.60140000000000005</v>
      </c>
      <c r="Z266" s="14" t="s">
        <v>62</v>
      </c>
      <c r="AA266" s="14" t="s">
        <v>62</v>
      </c>
      <c r="AB266" s="14" t="s">
        <v>62</v>
      </c>
      <c r="AC266" s="23" t="s">
        <v>140</v>
      </c>
      <c r="AD266" s="23" t="s">
        <v>204</v>
      </c>
    </row>
    <row r="267" spans="1:30" ht="14.25" hidden="1">
      <c r="A267" s="23" t="s">
        <v>52</v>
      </c>
      <c r="B267" s="23" t="s">
        <v>84</v>
      </c>
      <c r="C267" s="23" t="s">
        <v>74</v>
      </c>
      <c r="D267" s="23" t="s">
        <v>164</v>
      </c>
      <c r="E267" s="14"/>
      <c r="F267" s="14" t="s">
        <v>1718</v>
      </c>
      <c r="G267" s="23" t="s">
        <v>165</v>
      </c>
      <c r="H267" s="23" t="s">
        <v>79</v>
      </c>
      <c r="I267" s="23" t="s">
        <v>133</v>
      </c>
      <c r="J267" s="23" t="s">
        <v>2293</v>
      </c>
      <c r="K267" s="23" t="s">
        <v>79</v>
      </c>
      <c r="L267" s="23">
        <v>39</v>
      </c>
      <c r="M267" s="23" t="s">
        <v>79</v>
      </c>
      <c r="N267" s="23" t="s">
        <v>79</v>
      </c>
      <c r="O267" s="23" t="s">
        <v>97</v>
      </c>
      <c r="P267" s="23" t="s">
        <v>98</v>
      </c>
      <c r="Q267" s="14" t="s">
        <v>79</v>
      </c>
      <c r="R267" s="23">
        <v>0.6502</v>
      </c>
      <c r="S267" s="23" t="s">
        <v>2309</v>
      </c>
      <c r="T267" s="23">
        <v>0.79330000000000001</v>
      </c>
      <c r="U267" s="14">
        <v>38.973300000000002</v>
      </c>
      <c r="V267" s="14">
        <v>0.42580000000000001</v>
      </c>
      <c r="W267" s="23">
        <v>0.60389999999999999</v>
      </c>
      <c r="X267" s="23" t="s">
        <v>2310</v>
      </c>
      <c r="Y267" s="23">
        <v>0.83069999999999999</v>
      </c>
      <c r="Z267" s="14" t="s">
        <v>62</v>
      </c>
      <c r="AA267" s="14" t="s">
        <v>62</v>
      </c>
      <c r="AB267" s="14" t="s">
        <v>62</v>
      </c>
      <c r="AC267" s="23" t="s">
        <v>140</v>
      </c>
      <c r="AD267" s="23" t="s">
        <v>204</v>
      </c>
    </row>
    <row r="268" spans="1:30" ht="14.25" hidden="1">
      <c r="A268" s="23" t="s">
        <v>52</v>
      </c>
      <c r="B268" s="23" t="s">
        <v>84</v>
      </c>
      <c r="C268" s="23" t="s">
        <v>74</v>
      </c>
      <c r="D268" s="23" t="s">
        <v>164</v>
      </c>
      <c r="E268" s="14"/>
      <c r="F268" s="14" t="s">
        <v>900</v>
      </c>
      <c r="G268" s="23" t="s">
        <v>165</v>
      </c>
      <c r="H268" s="23" t="s">
        <v>79</v>
      </c>
      <c r="I268" s="23" t="s">
        <v>133</v>
      </c>
      <c r="J268" s="23" t="s">
        <v>2293</v>
      </c>
      <c r="K268" s="23" t="s">
        <v>79</v>
      </c>
      <c r="L268" s="23">
        <v>39</v>
      </c>
      <c r="M268" s="23" t="s">
        <v>79</v>
      </c>
      <c r="N268" s="23" t="s">
        <v>79</v>
      </c>
      <c r="O268" s="23" t="s">
        <v>97</v>
      </c>
      <c r="P268" s="23" t="s">
        <v>98</v>
      </c>
      <c r="Q268" s="14" t="s">
        <v>79</v>
      </c>
      <c r="R268" s="23">
        <v>0.55310000000000004</v>
      </c>
      <c r="S268" s="23" t="s">
        <v>2311</v>
      </c>
      <c r="T268" s="23">
        <v>0.49740000000000001</v>
      </c>
      <c r="U268" s="14">
        <v>19.299299999999999</v>
      </c>
      <c r="V268" s="14">
        <v>0.995</v>
      </c>
      <c r="W268" s="23">
        <v>0.81269999999999998</v>
      </c>
      <c r="X268" s="23" t="s">
        <v>2312</v>
      </c>
      <c r="Y268" s="23">
        <v>0.85599999999999998</v>
      </c>
      <c r="Z268" s="14" t="s">
        <v>62</v>
      </c>
      <c r="AA268" s="14" t="s">
        <v>62</v>
      </c>
      <c r="AB268" s="14" t="s">
        <v>62</v>
      </c>
      <c r="AC268" s="23" t="s">
        <v>140</v>
      </c>
      <c r="AD268" s="23" t="s">
        <v>204</v>
      </c>
    </row>
    <row r="269" spans="1:30" ht="14.25" hidden="1">
      <c r="A269" s="23" t="s">
        <v>52</v>
      </c>
      <c r="B269" s="23" t="s">
        <v>84</v>
      </c>
      <c r="C269" s="23" t="s">
        <v>74</v>
      </c>
      <c r="D269" s="23" t="s">
        <v>164</v>
      </c>
      <c r="E269" s="14"/>
      <c r="F269" s="14" t="s">
        <v>2113</v>
      </c>
      <c r="G269" s="23" t="s">
        <v>165</v>
      </c>
      <c r="H269" s="23" t="s">
        <v>2313</v>
      </c>
      <c r="I269" s="23" t="s">
        <v>133</v>
      </c>
      <c r="J269" s="23" t="s">
        <v>2293</v>
      </c>
      <c r="K269" s="23" t="s">
        <v>79</v>
      </c>
      <c r="L269" s="23">
        <v>20</v>
      </c>
      <c r="M269" s="23" t="s">
        <v>79</v>
      </c>
      <c r="N269" s="23" t="s">
        <v>79</v>
      </c>
      <c r="O269" s="23" t="s">
        <v>97</v>
      </c>
      <c r="P269" s="23" t="s">
        <v>98</v>
      </c>
      <c r="Q269" s="14" t="s">
        <v>79</v>
      </c>
      <c r="R269" s="23">
        <v>0.99939999999999996</v>
      </c>
      <c r="S269" s="23" t="s">
        <v>2314</v>
      </c>
      <c r="T269" s="23">
        <v>0.78249999999999997</v>
      </c>
      <c r="U269" s="14">
        <v>18.723800000000001</v>
      </c>
      <c r="V269" s="14">
        <v>0.47470000000000001</v>
      </c>
      <c r="W269" s="23">
        <v>0.99919999999999998</v>
      </c>
      <c r="X269" s="23" t="s">
        <v>2315</v>
      </c>
      <c r="Y269" s="23">
        <v>0.81179999999999997</v>
      </c>
      <c r="Z269" s="14" t="s">
        <v>62</v>
      </c>
      <c r="AA269" s="14" t="s">
        <v>62</v>
      </c>
      <c r="AB269" s="14" t="s">
        <v>62</v>
      </c>
      <c r="AC269" s="23" t="s">
        <v>140</v>
      </c>
      <c r="AD269" s="23" t="s">
        <v>204</v>
      </c>
    </row>
    <row r="270" spans="1:30" ht="14.25" hidden="1">
      <c r="A270" s="23" t="s">
        <v>52</v>
      </c>
      <c r="B270" s="23" t="s">
        <v>84</v>
      </c>
      <c r="C270" s="23" t="s">
        <v>74</v>
      </c>
      <c r="D270" s="23" t="s">
        <v>164</v>
      </c>
      <c r="E270" s="14"/>
      <c r="F270" s="14" t="s">
        <v>2280</v>
      </c>
      <c r="G270" s="23" t="s">
        <v>165</v>
      </c>
      <c r="H270" s="23" t="s">
        <v>79</v>
      </c>
      <c r="I270" s="23" t="s">
        <v>133</v>
      </c>
      <c r="J270" s="23" t="s">
        <v>2293</v>
      </c>
      <c r="K270" s="23" t="s">
        <v>79</v>
      </c>
      <c r="L270" s="23">
        <v>39</v>
      </c>
      <c r="M270" s="23" t="s">
        <v>79</v>
      </c>
      <c r="N270" s="23" t="s">
        <v>79</v>
      </c>
      <c r="O270" s="23" t="s">
        <v>97</v>
      </c>
      <c r="P270" s="23" t="s">
        <v>98</v>
      </c>
      <c r="Q270" s="14" t="s">
        <v>79</v>
      </c>
      <c r="R270" s="23">
        <v>0.48349999999999999</v>
      </c>
      <c r="S270" s="23" t="s">
        <v>2316</v>
      </c>
      <c r="T270" s="23">
        <v>0.28549999999999998</v>
      </c>
      <c r="U270" s="14">
        <v>39.256799999999998</v>
      </c>
      <c r="V270" s="14">
        <v>0.4133</v>
      </c>
      <c r="W270" s="23">
        <v>0.47620000000000001</v>
      </c>
      <c r="X270" s="23" t="s">
        <v>2317</v>
      </c>
      <c r="Y270" s="23">
        <v>0.43730000000000002</v>
      </c>
      <c r="Z270" s="14" t="s">
        <v>62</v>
      </c>
      <c r="AA270" s="14" t="s">
        <v>62</v>
      </c>
      <c r="AB270" s="14" t="s">
        <v>62</v>
      </c>
      <c r="AC270" s="23" t="s">
        <v>140</v>
      </c>
      <c r="AD270" s="23" t="s">
        <v>204</v>
      </c>
    </row>
    <row r="271" spans="1:30" ht="14.25" hidden="1">
      <c r="A271" s="23" t="s">
        <v>52</v>
      </c>
      <c r="B271" s="23" t="s">
        <v>84</v>
      </c>
      <c r="C271" s="23" t="s">
        <v>74</v>
      </c>
      <c r="D271" s="23" t="s">
        <v>164</v>
      </c>
      <c r="E271" s="14"/>
      <c r="F271" s="14" t="s">
        <v>2284</v>
      </c>
      <c r="G271" s="23" t="s">
        <v>165</v>
      </c>
      <c r="H271" s="23" t="s">
        <v>79</v>
      </c>
      <c r="I271" s="23" t="s">
        <v>133</v>
      </c>
      <c r="J271" s="23" t="s">
        <v>2293</v>
      </c>
      <c r="K271" s="23" t="s">
        <v>79</v>
      </c>
      <c r="L271" s="23">
        <v>39</v>
      </c>
      <c r="M271" s="23" t="s">
        <v>79</v>
      </c>
      <c r="N271" s="23" t="s">
        <v>79</v>
      </c>
      <c r="O271" s="23" t="s">
        <v>97</v>
      </c>
      <c r="P271" s="23" t="s">
        <v>98</v>
      </c>
      <c r="Q271" s="14" t="s">
        <v>79</v>
      </c>
      <c r="R271" s="23">
        <v>1.1536999999999999</v>
      </c>
      <c r="S271" s="23" t="s">
        <v>2318</v>
      </c>
      <c r="T271" s="23">
        <v>0.63049999999999995</v>
      </c>
      <c r="U271" s="14">
        <v>50.193300000000001</v>
      </c>
      <c r="V271" s="14">
        <v>8.8999999999999996E-2</v>
      </c>
      <c r="W271" s="23">
        <v>1.0307999999999999</v>
      </c>
      <c r="X271" s="23" t="s">
        <v>2319</v>
      </c>
      <c r="Y271" s="23">
        <v>0.93910000000000005</v>
      </c>
      <c r="Z271" s="14" t="s">
        <v>62</v>
      </c>
      <c r="AA271" s="14" t="s">
        <v>62</v>
      </c>
      <c r="AB271" s="14" t="s">
        <v>62</v>
      </c>
      <c r="AC271" s="23" t="s">
        <v>140</v>
      </c>
      <c r="AD271" s="23" t="s">
        <v>204</v>
      </c>
    </row>
    <row r="272" spans="1:30" ht="14.25" hidden="1">
      <c r="A272" s="23" t="s">
        <v>52</v>
      </c>
      <c r="B272" s="23" t="s">
        <v>84</v>
      </c>
      <c r="C272" s="23" t="s">
        <v>74</v>
      </c>
      <c r="D272" s="23" t="s">
        <v>164</v>
      </c>
      <c r="E272" s="14"/>
      <c r="F272" s="14" t="s">
        <v>1468</v>
      </c>
      <c r="G272" s="23" t="s">
        <v>165</v>
      </c>
      <c r="H272" s="23" t="s">
        <v>79</v>
      </c>
      <c r="I272" s="23" t="s">
        <v>133</v>
      </c>
      <c r="J272" s="23" t="s">
        <v>2293</v>
      </c>
      <c r="K272" s="23" t="s">
        <v>79</v>
      </c>
      <c r="L272" s="23">
        <v>39</v>
      </c>
      <c r="M272" s="23" t="s">
        <v>79</v>
      </c>
      <c r="N272" s="23" t="s">
        <v>79</v>
      </c>
      <c r="O272" s="23" t="s">
        <v>97</v>
      </c>
      <c r="P272" s="23" t="s">
        <v>98</v>
      </c>
      <c r="Q272" s="14" t="s">
        <v>79</v>
      </c>
      <c r="R272" s="23">
        <v>0.54390000000000005</v>
      </c>
      <c r="S272" s="23" t="s">
        <v>2320</v>
      </c>
      <c r="T272" s="23">
        <v>0.29149999999999998</v>
      </c>
      <c r="U272" s="14">
        <v>18.335699999999999</v>
      </c>
      <c r="V272" s="14">
        <v>0.997</v>
      </c>
      <c r="W272" s="23">
        <v>0.58560000000000001</v>
      </c>
      <c r="X272" s="23" t="s">
        <v>2321</v>
      </c>
      <c r="Y272" s="23">
        <v>0.3604</v>
      </c>
      <c r="Z272" s="14" t="s">
        <v>62</v>
      </c>
      <c r="AA272" s="14" t="s">
        <v>62</v>
      </c>
      <c r="AB272" s="14" t="s">
        <v>62</v>
      </c>
      <c r="AC272" s="23" t="s">
        <v>140</v>
      </c>
      <c r="AD272" s="23" t="s">
        <v>204</v>
      </c>
    </row>
    <row r="273" spans="1:30" ht="14.25" hidden="1">
      <c r="A273" s="23" t="s">
        <v>52</v>
      </c>
      <c r="B273" s="23" t="s">
        <v>84</v>
      </c>
      <c r="C273" s="23" t="s">
        <v>74</v>
      </c>
      <c r="D273" s="23" t="s">
        <v>164</v>
      </c>
      <c r="E273" s="14"/>
      <c r="F273" s="14" t="s">
        <v>1495</v>
      </c>
      <c r="G273" s="23" t="s">
        <v>165</v>
      </c>
      <c r="H273" s="23" t="s">
        <v>79</v>
      </c>
      <c r="I273" s="23" t="s">
        <v>133</v>
      </c>
      <c r="J273" s="23" t="s">
        <v>2293</v>
      </c>
      <c r="K273" s="23" t="s">
        <v>79</v>
      </c>
      <c r="L273" s="23">
        <v>39</v>
      </c>
      <c r="M273" s="23" t="s">
        <v>79</v>
      </c>
      <c r="N273" s="23" t="s">
        <v>79</v>
      </c>
      <c r="O273" s="23" t="s">
        <v>97</v>
      </c>
      <c r="P273" s="23" t="s">
        <v>98</v>
      </c>
      <c r="Q273" s="14" t="s">
        <v>79</v>
      </c>
      <c r="R273" s="23">
        <v>1.08</v>
      </c>
      <c r="S273" s="23" t="s">
        <v>2322</v>
      </c>
      <c r="T273" s="23">
        <v>0.67</v>
      </c>
      <c r="U273" s="14">
        <v>34.326000000000001</v>
      </c>
      <c r="V273" s="14">
        <v>0.6401</v>
      </c>
      <c r="W273" s="23">
        <v>0.66310000000000002</v>
      </c>
      <c r="X273" s="23" t="s">
        <v>2323</v>
      </c>
      <c r="Y273" s="23">
        <v>0.95669999999999999</v>
      </c>
      <c r="Z273" s="14" t="s">
        <v>62</v>
      </c>
      <c r="AA273" s="14" t="s">
        <v>62</v>
      </c>
      <c r="AB273" s="14" t="s">
        <v>62</v>
      </c>
      <c r="AC273" s="23" t="s">
        <v>140</v>
      </c>
      <c r="AD273" s="23" t="s">
        <v>204</v>
      </c>
    </row>
    <row r="274" spans="1:30" ht="14.25" hidden="1">
      <c r="A274" s="23" t="s">
        <v>52</v>
      </c>
      <c r="B274" s="23" t="s">
        <v>84</v>
      </c>
      <c r="C274" s="23" t="s">
        <v>74</v>
      </c>
      <c r="D274" s="23" t="s">
        <v>75</v>
      </c>
      <c r="E274" s="14"/>
      <c r="F274" s="14" t="s">
        <v>2243</v>
      </c>
      <c r="G274" s="23" t="s">
        <v>113</v>
      </c>
      <c r="H274" s="14" t="s">
        <v>2244</v>
      </c>
      <c r="I274" s="23" t="s">
        <v>133</v>
      </c>
      <c r="J274" s="14" t="s">
        <v>1321</v>
      </c>
      <c r="K274" s="14">
        <f t="shared" ref="K274:K290" si="14">SUM(M274:N274)</f>
        <v>4671</v>
      </c>
      <c r="L274" s="23">
        <v>29</v>
      </c>
      <c r="M274" s="14">
        <v>2342</v>
      </c>
      <c r="N274" s="14">
        <v>2329</v>
      </c>
      <c r="O274" s="23" t="s">
        <v>97</v>
      </c>
      <c r="P274" s="23" t="s">
        <v>98</v>
      </c>
      <c r="Q274" s="14" t="s">
        <v>79</v>
      </c>
      <c r="R274" s="23">
        <v>3.4931999999999999</v>
      </c>
      <c r="S274" s="23" t="s">
        <v>2324</v>
      </c>
      <c r="T274" s="23">
        <v>5.33E-2</v>
      </c>
      <c r="U274" s="23">
        <v>162.52510000000001</v>
      </c>
      <c r="V274" s="23" t="s">
        <v>2325</v>
      </c>
      <c r="W274" s="23">
        <v>1.6392</v>
      </c>
      <c r="X274" s="23" t="s">
        <v>2326</v>
      </c>
      <c r="Y274" s="23">
        <v>0.30020000000000002</v>
      </c>
      <c r="Z274" s="14" t="s">
        <v>62</v>
      </c>
      <c r="AA274" s="14" t="s">
        <v>62</v>
      </c>
      <c r="AB274" s="14" t="s">
        <v>62</v>
      </c>
      <c r="AC274" s="23" t="s">
        <v>140</v>
      </c>
      <c r="AD274" s="23" t="s">
        <v>204</v>
      </c>
    </row>
    <row r="275" spans="1:30" ht="14.25" hidden="1">
      <c r="A275" s="23" t="s">
        <v>52</v>
      </c>
      <c r="B275" s="23" t="s">
        <v>84</v>
      </c>
      <c r="C275" s="23" t="s">
        <v>74</v>
      </c>
      <c r="D275" s="23" t="s">
        <v>75</v>
      </c>
      <c r="E275" s="14"/>
      <c r="F275" s="14" t="s">
        <v>820</v>
      </c>
      <c r="G275" s="23" t="s">
        <v>113</v>
      </c>
      <c r="H275" s="14" t="s">
        <v>2247</v>
      </c>
      <c r="I275" s="23" t="s">
        <v>133</v>
      </c>
      <c r="J275" s="14" t="s">
        <v>1321</v>
      </c>
      <c r="K275" s="14">
        <f t="shared" si="14"/>
        <v>27209</v>
      </c>
      <c r="L275" s="23">
        <v>50</v>
      </c>
      <c r="M275" s="14">
        <v>11348</v>
      </c>
      <c r="N275" s="14">
        <v>15861</v>
      </c>
      <c r="O275" s="23" t="s">
        <v>97</v>
      </c>
      <c r="P275" s="23" t="s">
        <v>98</v>
      </c>
      <c r="Q275" s="14" t="s">
        <v>79</v>
      </c>
      <c r="R275" s="23">
        <v>0.94669999999999999</v>
      </c>
      <c r="S275" s="23" t="s">
        <v>2327</v>
      </c>
      <c r="T275" s="23">
        <v>0.88090000000000002</v>
      </c>
      <c r="U275" s="23">
        <v>69.278800000000004</v>
      </c>
      <c r="V275" s="23">
        <v>2.3800000000000002E-2</v>
      </c>
      <c r="W275" s="23">
        <v>1.3090999999999999</v>
      </c>
      <c r="X275" s="23" t="s">
        <v>2328</v>
      </c>
      <c r="Y275" s="23">
        <v>0.55740000000000001</v>
      </c>
      <c r="Z275" s="14" t="s">
        <v>62</v>
      </c>
      <c r="AA275" s="14" t="s">
        <v>62</v>
      </c>
      <c r="AB275" s="14" t="s">
        <v>62</v>
      </c>
      <c r="AC275" s="23" t="s">
        <v>140</v>
      </c>
      <c r="AD275" s="23" t="s">
        <v>204</v>
      </c>
    </row>
    <row r="276" spans="1:30" ht="14.25" hidden="1">
      <c r="A276" s="23" t="s">
        <v>52</v>
      </c>
      <c r="B276" s="23" t="s">
        <v>84</v>
      </c>
      <c r="C276" s="23" t="s">
        <v>74</v>
      </c>
      <c r="D276" s="23" t="s">
        <v>75</v>
      </c>
      <c r="E276" s="14"/>
      <c r="F276" s="14" t="s">
        <v>2250</v>
      </c>
      <c r="G276" s="23" t="s">
        <v>113</v>
      </c>
      <c r="H276" s="14" t="s">
        <v>2251</v>
      </c>
      <c r="I276" s="23" t="s">
        <v>133</v>
      </c>
      <c r="J276" s="14" t="s">
        <v>1321</v>
      </c>
      <c r="K276" s="14">
        <f t="shared" si="14"/>
        <v>18313</v>
      </c>
      <c r="L276" s="23">
        <v>50</v>
      </c>
      <c r="M276" s="14">
        <v>3275</v>
      </c>
      <c r="N276" s="14">
        <v>15038</v>
      </c>
      <c r="O276" s="23" t="s">
        <v>97</v>
      </c>
      <c r="P276" s="23" t="s">
        <v>98</v>
      </c>
      <c r="Q276" s="14" t="s">
        <v>79</v>
      </c>
      <c r="R276" s="23">
        <v>0.48780000000000001</v>
      </c>
      <c r="S276" s="23" t="s">
        <v>2329</v>
      </c>
      <c r="T276" s="23">
        <v>0.21629999999999999</v>
      </c>
      <c r="U276" s="23">
        <v>76.017499999999998</v>
      </c>
      <c r="V276" s="23">
        <v>6.1000000000000004E-3</v>
      </c>
      <c r="W276" s="23">
        <v>0.96509999999999996</v>
      </c>
      <c r="X276" s="23" t="s">
        <v>2330</v>
      </c>
      <c r="Y276" s="23">
        <v>0.96020000000000005</v>
      </c>
      <c r="Z276" s="14" t="s">
        <v>62</v>
      </c>
      <c r="AA276" s="14" t="s">
        <v>62</v>
      </c>
      <c r="AB276" s="14" t="s">
        <v>62</v>
      </c>
      <c r="AC276" s="23" t="s">
        <v>140</v>
      </c>
      <c r="AD276" s="23" t="s">
        <v>204</v>
      </c>
    </row>
    <row r="277" spans="1:30" ht="14.25" hidden="1">
      <c r="A277" s="23" t="s">
        <v>52</v>
      </c>
      <c r="B277" s="23" t="s">
        <v>84</v>
      </c>
      <c r="C277" s="23" t="s">
        <v>74</v>
      </c>
      <c r="D277" s="23" t="s">
        <v>75</v>
      </c>
      <c r="E277" s="14"/>
      <c r="F277" s="14" t="s">
        <v>423</v>
      </c>
      <c r="G277" s="23" t="s">
        <v>113</v>
      </c>
      <c r="H277" s="14" t="s">
        <v>1536</v>
      </c>
      <c r="I277" s="23" t="s">
        <v>133</v>
      </c>
      <c r="J277" s="14" t="s">
        <v>1321</v>
      </c>
      <c r="K277" s="14">
        <f t="shared" si="14"/>
        <v>33832</v>
      </c>
      <c r="L277" s="23">
        <v>52</v>
      </c>
      <c r="M277" s="14">
        <v>15748</v>
      </c>
      <c r="N277" s="14">
        <v>18084</v>
      </c>
      <c r="O277" s="23" t="s">
        <v>97</v>
      </c>
      <c r="P277" s="23" t="s">
        <v>98</v>
      </c>
      <c r="Q277" s="14" t="s">
        <v>79</v>
      </c>
      <c r="R277" s="23">
        <v>0.64959999999999996</v>
      </c>
      <c r="S277" s="23" t="s">
        <v>1539</v>
      </c>
      <c r="T277" s="23">
        <v>3.6499999999999998E-2</v>
      </c>
      <c r="U277" s="23">
        <v>71.489900000000006</v>
      </c>
      <c r="V277" s="23">
        <v>2.4799999999999999E-2</v>
      </c>
      <c r="W277" s="23">
        <v>0.60670000000000002</v>
      </c>
      <c r="X277" s="23" t="s">
        <v>1540</v>
      </c>
      <c r="Y277" s="23">
        <v>6.4100000000000004E-2</v>
      </c>
      <c r="Z277" s="14" t="s">
        <v>62</v>
      </c>
      <c r="AA277" s="14" t="s">
        <v>62</v>
      </c>
      <c r="AB277" s="14" t="s">
        <v>62</v>
      </c>
      <c r="AC277" s="23" t="s">
        <v>140</v>
      </c>
      <c r="AD277" s="23" t="s">
        <v>204</v>
      </c>
    </row>
    <row r="278" spans="1:30" ht="14.25" hidden="1">
      <c r="A278" s="23" t="s">
        <v>52</v>
      </c>
      <c r="B278" s="23" t="s">
        <v>84</v>
      </c>
      <c r="C278" s="23" t="s">
        <v>74</v>
      </c>
      <c r="D278" s="23" t="s">
        <v>75</v>
      </c>
      <c r="E278" s="14"/>
      <c r="F278" s="14" t="s">
        <v>2264</v>
      </c>
      <c r="G278" s="23" t="s">
        <v>113</v>
      </c>
      <c r="H278" s="14" t="s">
        <v>2265</v>
      </c>
      <c r="I278" s="23" t="s">
        <v>133</v>
      </c>
      <c r="J278" s="14" t="s">
        <v>1321</v>
      </c>
      <c r="K278" s="14">
        <f t="shared" si="14"/>
        <v>66450</v>
      </c>
      <c r="L278" s="23">
        <v>53</v>
      </c>
      <c r="M278" s="14">
        <v>25509</v>
      </c>
      <c r="N278" s="14">
        <v>40941</v>
      </c>
      <c r="O278" s="23" t="s">
        <v>97</v>
      </c>
      <c r="P278" s="23" t="s">
        <v>98</v>
      </c>
      <c r="Q278" s="14" t="s">
        <v>79</v>
      </c>
      <c r="R278" s="23">
        <v>0.62060000000000004</v>
      </c>
      <c r="S278" s="23" t="s">
        <v>2331</v>
      </c>
      <c r="T278" s="23">
        <v>9.69E-2</v>
      </c>
      <c r="U278" s="23">
        <v>85.227199999999996</v>
      </c>
      <c r="V278" s="23">
        <v>1.9E-3</v>
      </c>
      <c r="W278" s="23">
        <v>0.64870000000000005</v>
      </c>
      <c r="X278" s="23" t="s">
        <v>2332</v>
      </c>
      <c r="Y278" s="23">
        <v>0.22700000000000001</v>
      </c>
      <c r="Z278" s="14" t="s">
        <v>62</v>
      </c>
      <c r="AA278" s="14" t="s">
        <v>62</v>
      </c>
      <c r="AB278" s="14" t="s">
        <v>62</v>
      </c>
      <c r="AC278" s="23" t="s">
        <v>140</v>
      </c>
      <c r="AD278" s="23" t="s">
        <v>204</v>
      </c>
    </row>
    <row r="279" spans="1:30" ht="14.25" hidden="1">
      <c r="A279" s="23" t="s">
        <v>52</v>
      </c>
      <c r="B279" s="23" t="s">
        <v>84</v>
      </c>
      <c r="C279" s="23" t="s">
        <v>74</v>
      </c>
      <c r="D279" s="23" t="s">
        <v>75</v>
      </c>
      <c r="E279" s="14"/>
      <c r="F279" s="14" t="s">
        <v>2268</v>
      </c>
      <c r="G279" s="23" t="s">
        <v>113</v>
      </c>
      <c r="H279" s="14" t="s">
        <v>2269</v>
      </c>
      <c r="I279" s="23" t="s">
        <v>133</v>
      </c>
      <c r="J279" s="14" t="s">
        <v>1321</v>
      </c>
      <c r="K279" s="14">
        <f t="shared" si="14"/>
        <v>3835</v>
      </c>
      <c r="L279" s="23">
        <v>6</v>
      </c>
      <c r="M279" s="14">
        <v>1896</v>
      </c>
      <c r="N279" s="14">
        <v>1939</v>
      </c>
      <c r="O279" s="23" t="s">
        <v>97</v>
      </c>
      <c r="P279" s="23" t="s">
        <v>98</v>
      </c>
      <c r="Q279" s="14" t="s">
        <v>79</v>
      </c>
      <c r="R279" s="23">
        <v>1.6E-2</v>
      </c>
      <c r="S279" s="23" t="s">
        <v>2333</v>
      </c>
      <c r="T279" s="23">
        <v>7.3400000000000007E-2</v>
      </c>
      <c r="U279" s="23">
        <v>1.9155</v>
      </c>
      <c r="V279" s="23">
        <v>0.75129999999999997</v>
      </c>
      <c r="W279" s="23">
        <v>3.85E-2</v>
      </c>
      <c r="X279" s="23" t="s">
        <v>2334</v>
      </c>
      <c r="Y279" s="23">
        <v>0.23569999999999999</v>
      </c>
      <c r="Z279" s="14" t="s">
        <v>62</v>
      </c>
      <c r="AA279" s="14" t="s">
        <v>62</v>
      </c>
      <c r="AB279" s="14" t="s">
        <v>62</v>
      </c>
      <c r="AC279" s="23" t="s">
        <v>140</v>
      </c>
      <c r="AD279" s="23" t="s">
        <v>204</v>
      </c>
    </row>
    <row r="280" spans="1:30" ht="14.25" hidden="1">
      <c r="A280" s="23" t="s">
        <v>52</v>
      </c>
      <c r="B280" s="23" t="s">
        <v>84</v>
      </c>
      <c r="C280" s="23" t="s">
        <v>74</v>
      </c>
      <c r="D280" s="23" t="s">
        <v>75</v>
      </c>
      <c r="E280" s="14"/>
      <c r="F280" s="14" t="s">
        <v>1718</v>
      </c>
      <c r="G280" s="23" t="s">
        <v>113</v>
      </c>
      <c r="H280" s="14" t="s">
        <v>2335</v>
      </c>
      <c r="I280" s="23" t="s">
        <v>133</v>
      </c>
      <c r="J280" s="14" t="s">
        <v>1321</v>
      </c>
      <c r="K280" s="14">
        <f t="shared" si="14"/>
        <v>199086</v>
      </c>
      <c r="L280" s="23">
        <v>46</v>
      </c>
      <c r="M280" s="14">
        <v>563</v>
      </c>
      <c r="N280" s="14">
        <v>198523</v>
      </c>
      <c r="O280" s="23" t="s">
        <v>97</v>
      </c>
      <c r="P280" s="23" t="s">
        <v>98</v>
      </c>
      <c r="Q280" s="14" t="s">
        <v>79</v>
      </c>
      <c r="R280" s="23">
        <v>0.99770000000000003</v>
      </c>
      <c r="S280" s="23" t="s">
        <v>1720</v>
      </c>
      <c r="T280" s="23">
        <v>0.43149999999999999</v>
      </c>
      <c r="U280" s="23">
        <v>43.467100000000002</v>
      </c>
      <c r="V280" s="23">
        <v>0.49430000000000002</v>
      </c>
      <c r="W280" s="23">
        <v>0.99760000000000004</v>
      </c>
      <c r="X280" s="23" t="s">
        <v>1721</v>
      </c>
      <c r="Y280" s="23">
        <v>0.56889999999999996</v>
      </c>
      <c r="Z280" s="14" t="s">
        <v>62</v>
      </c>
      <c r="AA280" s="14" t="s">
        <v>62</v>
      </c>
      <c r="AB280" s="14" t="s">
        <v>62</v>
      </c>
      <c r="AC280" s="23" t="s">
        <v>140</v>
      </c>
      <c r="AD280" s="23" t="s">
        <v>204</v>
      </c>
    </row>
    <row r="281" spans="1:30" ht="14.25" hidden="1">
      <c r="A281" s="23" t="s">
        <v>52</v>
      </c>
      <c r="B281" s="23" t="s">
        <v>84</v>
      </c>
      <c r="C281" s="23" t="s">
        <v>74</v>
      </c>
      <c r="D281" s="23" t="s">
        <v>75</v>
      </c>
      <c r="E281" s="14"/>
      <c r="F281" s="14" t="s">
        <v>900</v>
      </c>
      <c r="G281" s="23" t="s">
        <v>113</v>
      </c>
      <c r="H281" s="14" t="s">
        <v>2275</v>
      </c>
      <c r="I281" s="23" t="s">
        <v>133</v>
      </c>
      <c r="J281" s="14" t="s">
        <v>1321</v>
      </c>
      <c r="K281" s="14">
        <f t="shared" si="14"/>
        <v>18336</v>
      </c>
      <c r="L281" s="23">
        <v>50</v>
      </c>
      <c r="M281" s="14">
        <v>3442</v>
      </c>
      <c r="N281" s="14">
        <v>14894</v>
      </c>
      <c r="O281" s="23" t="s">
        <v>97</v>
      </c>
      <c r="P281" s="23" t="s">
        <v>98</v>
      </c>
      <c r="Q281" s="14" t="s">
        <v>79</v>
      </c>
      <c r="R281" s="23">
        <v>1.3164</v>
      </c>
      <c r="S281" s="23" t="s">
        <v>2336</v>
      </c>
      <c r="T281" s="23">
        <v>0.5806</v>
      </c>
      <c r="U281" s="23">
        <v>54.889600000000002</v>
      </c>
      <c r="V281" s="23">
        <v>0.2298</v>
      </c>
      <c r="W281" s="23">
        <v>1.6326000000000001</v>
      </c>
      <c r="X281" s="23" t="s">
        <v>2337</v>
      </c>
      <c r="Y281" s="23">
        <v>0.50070000000000003</v>
      </c>
      <c r="Z281" s="14" t="s">
        <v>62</v>
      </c>
      <c r="AA281" s="14" t="s">
        <v>62</v>
      </c>
      <c r="AB281" s="14" t="s">
        <v>62</v>
      </c>
      <c r="AC281" s="23" t="s">
        <v>140</v>
      </c>
      <c r="AD281" s="23" t="s">
        <v>204</v>
      </c>
    </row>
    <row r="282" spans="1:30" ht="14.25" hidden="1">
      <c r="A282" s="23" t="s">
        <v>52</v>
      </c>
      <c r="B282" s="23" t="s">
        <v>84</v>
      </c>
      <c r="C282" s="23" t="s">
        <v>74</v>
      </c>
      <c r="D282" s="23" t="s">
        <v>75</v>
      </c>
      <c r="E282" s="14"/>
      <c r="F282" s="14" t="s">
        <v>2113</v>
      </c>
      <c r="G282" s="23" t="s">
        <v>113</v>
      </c>
      <c r="H282" s="14" t="s">
        <v>2114</v>
      </c>
      <c r="I282" s="23" t="s">
        <v>133</v>
      </c>
      <c r="J282" s="14" t="s">
        <v>1321</v>
      </c>
      <c r="K282" s="14">
        <f t="shared" si="14"/>
        <v>121885</v>
      </c>
      <c r="L282" s="23">
        <v>53</v>
      </c>
      <c r="M282" s="14">
        <v>12906</v>
      </c>
      <c r="N282" s="14">
        <v>108979</v>
      </c>
      <c r="O282" s="23" t="s">
        <v>97</v>
      </c>
      <c r="P282" s="23" t="s">
        <v>98</v>
      </c>
      <c r="Q282" s="14" t="s">
        <v>79</v>
      </c>
      <c r="R282" s="23">
        <v>1.1642999999999999</v>
      </c>
      <c r="S282" s="23" t="s">
        <v>2118</v>
      </c>
      <c r="T282" s="23">
        <v>0.59819999999999995</v>
      </c>
      <c r="U282" s="23">
        <v>65.754400000000004</v>
      </c>
      <c r="V282" s="23">
        <v>8.0100000000000005E-2</v>
      </c>
      <c r="W282" s="23">
        <v>1.0193000000000001</v>
      </c>
      <c r="X282" s="23" t="s">
        <v>2119</v>
      </c>
      <c r="Y282" s="23">
        <v>0.96260000000000001</v>
      </c>
      <c r="Z282" s="14" t="s">
        <v>62</v>
      </c>
      <c r="AA282" s="14" t="s">
        <v>62</v>
      </c>
      <c r="AB282" s="14" t="s">
        <v>62</v>
      </c>
      <c r="AC282" s="23" t="s">
        <v>140</v>
      </c>
      <c r="AD282" s="23" t="s">
        <v>204</v>
      </c>
    </row>
    <row r="283" spans="1:30" ht="14.25" hidden="1">
      <c r="A283" s="23" t="s">
        <v>52</v>
      </c>
      <c r="B283" s="23" t="s">
        <v>84</v>
      </c>
      <c r="C283" s="23" t="s">
        <v>74</v>
      </c>
      <c r="D283" s="23" t="s">
        <v>75</v>
      </c>
      <c r="E283" s="14"/>
      <c r="F283" s="14" t="s">
        <v>2280</v>
      </c>
      <c r="G283" s="23" t="s">
        <v>113</v>
      </c>
      <c r="H283" s="14" t="s">
        <v>2281</v>
      </c>
      <c r="I283" s="23" t="s">
        <v>133</v>
      </c>
      <c r="J283" s="14" t="s">
        <v>1321</v>
      </c>
      <c r="K283" s="14">
        <f t="shared" si="14"/>
        <v>1080</v>
      </c>
      <c r="L283" s="23">
        <v>9</v>
      </c>
      <c r="M283" s="14">
        <v>649</v>
      </c>
      <c r="N283" s="14">
        <v>431</v>
      </c>
      <c r="O283" s="23" t="s">
        <v>97</v>
      </c>
      <c r="P283" s="23" t="s">
        <v>98</v>
      </c>
      <c r="Q283" s="14" t="s">
        <v>79</v>
      </c>
      <c r="R283" s="23">
        <v>0.39910000000000001</v>
      </c>
      <c r="S283" s="23" t="s">
        <v>2338</v>
      </c>
      <c r="T283" s="23">
        <v>0.78959999999999997</v>
      </c>
      <c r="U283" s="23">
        <v>10.047000000000001</v>
      </c>
      <c r="V283" s="23">
        <v>0.18590000000000001</v>
      </c>
      <c r="W283" s="23">
        <v>2.6499999999999999E-2</v>
      </c>
      <c r="X283" s="23" t="s">
        <v>2339</v>
      </c>
      <c r="Y283" s="23">
        <v>0.40679999999999999</v>
      </c>
      <c r="Z283" s="14" t="s">
        <v>62</v>
      </c>
      <c r="AA283" s="14" t="s">
        <v>62</v>
      </c>
      <c r="AB283" s="14" t="s">
        <v>62</v>
      </c>
      <c r="AC283" s="23" t="s">
        <v>140</v>
      </c>
      <c r="AD283" s="23" t="s">
        <v>204</v>
      </c>
    </row>
    <row r="284" spans="1:30" ht="14.25" hidden="1">
      <c r="A284" s="23" t="s">
        <v>52</v>
      </c>
      <c r="B284" s="23" t="s">
        <v>84</v>
      </c>
      <c r="C284" s="23" t="s">
        <v>74</v>
      </c>
      <c r="D284" s="23" t="s">
        <v>75</v>
      </c>
      <c r="E284" s="14"/>
      <c r="F284" s="14" t="s">
        <v>2284</v>
      </c>
      <c r="G284" s="23" t="s">
        <v>113</v>
      </c>
      <c r="H284" s="14" t="s">
        <v>2285</v>
      </c>
      <c r="I284" s="23" t="s">
        <v>133</v>
      </c>
      <c r="J284" s="14" t="s">
        <v>1321</v>
      </c>
      <c r="K284" s="14">
        <f t="shared" si="14"/>
        <v>140254</v>
      </c>
      <c r="L284" s="23">
        <v>53</v>
      </c>
      <c r="M284" s="14">
        <v>79148</v>
      </c>
      <c r="N284" s="14">
        <v>61106</v>
      </c>
      <c r="O284" s="23" t="s">
        <v>97</v>
      </c>
      <c r="P284" s="23" t="s">
        <v>98</v>
      </c>
      <c r="Q284" s="14" t="s">
        <v>79</v>
      </c>
      <c r="R284" s="23">
        <v>1.298</v>
      </c>
      <c r="S284" s="23" t="s">
        <v>2340</v>
      </c>
      <c r="T284" s="23">
        <v>0.1772</v>
      </c>
      <c r="U284" s="23">
        <v>103.6109</v>
      </c>
      <c r="V284" s="23" t="s">
        <v>2341</v>
      </c>
      <c r="W284" s="23">
        <v>1.379</v>
      </c>
      <c r="X284" s="23" t="s">
        <v>2342</v>
      </c>
      <c r="Y284" s="23">
        <v>0.13569999999999999</v>
      </c>
      <c r="Z284" s="14" t="s">
        <v>62</v>
      </c>
      <c r="AA284" s="14" t="s">
        <v>62</v>
      </c>
      <c r="AB284" s="14" t="s">
        <v>62</v>
      </c>
      <c r="AC284" s="23" t="s">
        <v>140</v>
      </c>
      <c r="AD284" s="23" t="s">
        <v>204</v>
      </c>
    </row>
    <row r="285" spans="1:30" ht="14.25" hidden="1">
      <c r="A285" s="23" t="s">
        <v>52</v>
      </c>
      <c r="B285" s="23" t="s">
        <v>84</v>
      </c>
      <c r="C285" s="23" t="s">
        <v>74</v>
      </c>
      <c r="D285" s="23" t="s">
        <v>75</v>
      </c>
      <c r="E285" s="14"/>
      <c r="F285" s="14" t="s">
        <v>1468</v>
      </c>
      <c r="G285" s="23" t="s">
        <v>113</v>
      </c>
      <c r="H285" s="14" t="s">
        <v>1471</v>
      </c>
      <c r="I285" s="23" t="s">
        <v>133</v>
      </c>
      <c r="J285" s="14" t="s">
        <v>1321</v>
      </c>
      <c r="K285" s="14">
        <f t="shared" si="14"/>
        <v>373295</v>
      </c>
      <c r="L285" s="23">
        <v>47</v>
      </c>
      <c r="M285" s="14">
        <v>1279</v>
      </c>
      <c r="N285" s="14">
        <v>372016</v>
      </c>
      <c r="O285" s="23" t="s">
        <v>97</v>
      </c>
      <c r="P285" s="23" t="s">
        <v>98</v>
      </c>
      <c r="Q285" s="14" t="s">
        <v>79</v>
      </c>
      <c r="R285" s="23">
        <v>0.99809999999999999</v>
      </c>
      <c r="S285" s="23" t="s">
        <v>1472</v>
      </c>
      <c r="T285" s="23">
        <v>0.41</v>
      </c>
      <c r="U285" s="23">
        <v>44.757899999999999</v>
      </c>
      <c r="V285" s="23">
        <v>0.48209999999999997</v>
      </c>
      <c r="W285" s="23">
        <v>0.99929999999999997</v>
      </c>
      <c r="X285" s="23" t="s">
        <v>1474</v>
      </c>
      <c r="Y285" s="23">
        <v>0.85270000000000001</v>
      </c>
      <c r="Z285" s="14" t="s">
        <v>62</v>
      </c>
      <c r="AA285" s="14" t="s">
        <v>62</v>
      </c>
      <c r="AB285" s="14" t="s">
        <v>62</v>
      </c>
      <c r="AC285" s="23" t="s">
        <v>140</v>
      </c>
      <c r="AD285" s="23" t="s">
        <v>204</v>
      </c>
    </row>
    <row r="286" spans="1:30" ht="14.25" hidden="1">
      <c r="A286" s="23" t="s">
        <v>52</v>
      </c>
      <c r="B286" s="23" t="s">
        <v>84</v>
      </c>
      <c r="C286" s="23" t="s">
        <v>74</v>
      </c>
      <c r="D286" s="23" t="s">
        <v>75</v>
      </c>
      <c r="E286" s="14"/>
      <c r="F286" s="14" t="s">
        <v>1495</v>
      </c>
      <c r="G286" s="23" t="s">
        <v>113</v>
      </c>
      <c r="H286" s="14" t="s">
        <v>1496</v>
      </c>
      <c r="I286" s="23" t="s">
        <v>133</v>
      </c>
      <c r="J286" s="14" t="s">
        <v>1321</v>
      </c>
      <c r="K286" s="14">
        <f t="shared" si="14"/>
        <v>372622</v>
      </c>
      <c r="L286" s="23">
        <v>46</v>
      </c>
      <c r="M286" s="14">
        <v>606</v>
      </c>
      <c r="N286" s="14">
        <v>372016</v>
      </c>
      <c r="O286" s="23" t="s">
        <v>97</v>
      </c>
      <c r="P286" s="23" t="s">
        <v>98</v>
      </c>
      <c r="Q286" s="14" t="s">
        <v>79</v>
      </c>
      <c r="R286" s="23">
        <v>0.99719999999999998</v>
      </c>
      <c r="S286" s="23" t="s">
        <v>1497</v>
      </c>
      <c r="T286" s="23">
        <v>7.0300000000000001E-2</v>
      </c>
      <c r="U286" s="23">
        <v>69.693100000000001</v>
      </c>
      <c r="V286" s="23">
        <v>8.0999999999999996E-3</v>
      </c>
      <c r="W286" s="23">
        <v>0.99629999999999996</v>
      </c>
      <c r="X286" s="23" t="s">
        <v>1500</v>
      </c>
      <c r="Y286" s="23">
        <v>0.28029999999999999</v>
      </c>
      <c r="Z286" s="14" t="s">
        <v>62</v>
      </c>
      <c r="AA286" s="14" t="s">
        <v>62</v>
      </c>
      <c r="AB286" s="14" t="s">
        <v>62</v>
      </c>
      <c r="AC286" s="23" t="s">
        <v>140</v>
      </c>
      <c r="AD286" s="23" t="s">
        <v>204</v>
      </c>
    </row>
    <row r="287" spans="1:30" ht="14.25" hidden="1">
      <c r="A287" s="10" t="s">
        <v>52</v>
      </c>
      <c r="B287" s="10" t="s">
        <v>86</v>
      </c>
      <c r="C287" s="10" t="s">
        <v>74</v>
      </c>
      <c r="D287" s="33" t="s">
        <v>622</v>
      </c>
      <c r="E287" s="33"/>
      <c r="F287" s="33" t="s">
        <v>2343</v>
      </c>
      <c r="G287" s="33" t="s">
        <v>215</v>
      </c>
      <c r="H287" s="33" t="s">
        <v>2344</v>
      </c>
      <c r="I287" s="10" t="s">
        <v>2345</v>
      </c>
      <c r="J287" s="10" t="s">
        <v>2346</v>
      </c>
      <c r="K287" s="34">
        <f t="shared" si="14"/>
        <v>337199</v>
      </c>
      <c r="L287" s="33">
        <v>17</v>
      </c>
      <c r="M287" s="35">
        <v>4837</v>
      </c>
      <c r="N287" s="35">
        <v>332362</v>
      </c>
      <c r="O287" s="10" t="s">
        <v>97</v>
      </c>
      <c r="P287" s="10" t="s">
        <v>98</v>
      </c>
      <c r="Q287" s="10" t="s">
        <v>79</v>
      </c>
      <c r="R287" s="10">
        <v>1</v>
      </c>
      <c r="S287" s="10" t="s">
        <v>2347</v>
      </c>
      <c r="T287" s="10">
        <v>0.82399999999999995</v>
      </c>
      <c r="U287" s="10">
        <v>30.1112</v>
      </c>
      <c r="V287" s="10">
        <v>1.7000000000000001E-2</v>
      </c>
      <c r="W287" s="10">
        <v>1.01</v>
      </c>
      <c r="X287" s="10" t="s">
        <v>2348</v>
      </c>
      <c r="Y287" s="10">
        <v>0.38500000000000001</v>
      </c>
      <c r="Z287" s="10">
        <v>1.08</v>
      </c>
      <c r="AA287" s="10" t="s">
        <v>2349</v>
      </c>
      <c r="AB287" s="10">
        <v>0.14199999999999999</v>
      </c>
      <c r="AC287" s="10" t="s">
        <v>109</v>
      </c>
      <c r="AD287" s="10" t="s">
        <v>1689</v>
      </c>
    </row>
    <row r="288" spans="1:30" ht="14.25" hidden="1">
      <c r="A288" s="10" t="s">
        <v>52</v>
      </c>
      <c r="B288" s="10" t="s">
        <v>86</v>
      </c>
      <c r="C288" s="10" t="s">
        <v>74</v>
      </c>
      <c r="D288" s="33" t="s">
        <v>622</v>
      </c>
      <c r="E288" s="33"/>
      <c r="F288" s="33" t="s">
        <v>2350</v>
      </c>
      <c r="G288" s="33" t="s">
        <v>215</v>
      </c>
      <c r="H288" s="33" t="s">
        <v>2351</v>
      </c>
      <c r="I288" s="10" t="s">
        <v>2352</v>
      </c>
      <c r="J288" s="10" t="s">
        <v>2353</v>
      </c>
      <c r="K288" s="34">
        <f t="shared" si="14"/>
        <v>337199</v>
      </c>
      <c r="L288" s="33">
        <v>17</v>
      </c>
      <c r="M288" s="35">
        <v>3927</v>
      </c>
      <c r="N288" s="35">
        <v>333272</v>
      </c>
      <c r="O288" s="10" t="s">
        <v>97</v>
      </c>
      <c r="P288" s="10" t="s">
        <v>98</v>
      </c>
      <c r="Q288" s="10" t="s">
        <v>79</v>
      </c>
      <c r="R288" s="10">
        <v>0.99</v>
      </c>
      <c r="S288" s="10" t="s">
        <v>2354</v>
      </c>
      <c r="T288" s="10">
        <v>0.246</v>
      </c>
      <c r="U288" s="10">
        <v>20.708100000000002</v>
      </c>
      <c r="V288" s="10">
        <v>0.19</v>
      </c>
      <c r="W288" s="10">
        <v>0.98</v>
      </c>
      <c r="X288" s="10" t="s">
        <v>2355</v>
      </c>
      <c r="Y288" s="10">
        <v>0.107</v>
      </c>
      <c r="Z288" s="10">
        <v>1.05</v>
      </c>
      <c r="AA288" s="10" t="s">
        <v>2356</v>
      </c>
      <c r="AB288" s="10">
        <v>0.253</v>
      </c>
      <c r="AC288" s="10" t="s">
        <v>109</v>
      </c>
      <c r="AD288" s="10" t="s">
        <v>1689</v>
      </c>
    </row>
    <row r="289" spans="1:30" ht="14.25" hidden="1">
      <c r="A289" s="10" t="s">
        <v>52</v>
      </c>
      <c r="B289" s="10" t="s">
        <v>86</v>
      </c>
      <c r="C289" s="10" t="s">
        <v>74</v>
      </c>
      <c r="D289" s="33" t="s">
        <v>622</v>
      </c>
      <c r="E289" s="33"/>
      <c r="F289" s="33" t="s">
        <v>2357</v>
      </c>
      <c r="G289" s="33" t="s">
        <v>215</v>
      </c>
      <c r="H289" s="33" t="s">
        <v>2358</v>
      </c>
      <c r="I289" s="10" t="s">
        <v>2359</v>
      </c>
      <c r="J289" s="10" t="s">
        <v>2360</v>
      </c>
      <c r="K289" s="34">
        <f t="shared" si="14"/>
        <v>337199</v>
      </c>
      <c r="L289" s="33">
        <v>17</v>
      </c>
      <c r="M289" s="35">
        <v>8755</v>
      </c>
      <c r="N289" s="35">
        <v>328444</v>
      </c>
      <c r="O289" s="10" t="s">
        <v>97</v>
      </c>
      <c r="P289" s="10" t="s">
        <v>98</v>
      </c>
      <c r="Q289" s="10" t="s">
        <v>79</v>
      </c>
      <c r="R289" s="10">
        <v>1</v>
      </c>
      <c r="S289" s="10" t="s">
        <v>2361</v>
      </c>
      <c r="T289" s="10">
        <v>0.95199999999999996</v>
      </c>
      <c r="U289" s="10">
        <v>33.383299999999998</v>
      </c>
      <c r="V289" s="10">
        <v>7.0000000000000001E-3</v>
      </c>
      <c r="W289" s="10">
        <v>0.99</v>
      </c>
      <c r="X289" s="10" t="s">
        <v>2362</v>
      </c>
      <c r="Y289" s="10">
        <v>0.60299999999999998</v>
      </c>
      <c r="Z289" s="10">
        <v>1.18</v>
      </c>
      <c r="AA289" s="10" t="s">
        <v>2363</v>
      </c>
      <c r="AB289" s="10">
        <v>1.9E-2</v>
      </c>
      <c r="AC289" s="10" t="s">
        <v>140</v>
      </c>
      <c r="AD289" s="10" t="s">
        <v>1689</v>
      </c>
    </row>
    <row r="290" spans="1:30" ht="14.25" hidden="1">
      <c r="A290" s="10" t="s">
        <v>52</v>
      </c>
      <c r="B290" s="10" t="s">
        <v>86</v>
      </c>
      <c r="C290" s="10" t="s">
        <v>74</v>
      </c>
      <c r="D290" s="33" t="s">
        <v>622</v>
      </c>
      <c r="E290" s="33"/>
      <c r="F290" s="33" t="s">
        <v>2364</v>
      </c>
      <c r="G290" s="33" t="s">
        <v>215</v>
      </c>
      <c r="H290" s="33" t="s">
        <v>2365</v>
      </c>
      <c r="I290" s="10" t="s">
        <v>2366</v>
      </c>
      <c r="J290" s="10" t="s">
        <v>2367</v>
      </c>
      <c r="K290" s="34">
        <f t="shared" si="14"/>
        <v>361194</v>
      </c>
      <c r="L290" s="33">
        <v>17</v>
      </c>
      <c r="M290" s="35">
        <v>2353</v>
      </c>
      <c r="N290" s="35">
        <v>358841</v>
      </c>
      <c r="O290" s="10" t="s">
        <v>97</v>
      </c>
      <c r="P290" s="10" t="s">
        <v>98</v>
      </c>
      <c r="Q290" s="10" t="s">
        <v>79</v>
      </c>
      <c r="R290" s="10">
        <v>1</v>
      </c>
      <c r="S290" s="10" t="s">
        <v>2368</v>
      </c>
      <c r="T290" s="10">
        <v>0.53900000000000003</v>
      </c>
      <c r="U290" s="10">
        <v>28.101800000000001</v>
      </c>
      <c r="V290" s="10">
        <v>3.1E-2</v>
      </c>
      <c r="W290" s="10">
        <v>0.99</v>
      </c>
      <c r="X290" s="10" t="s">
        <v>2354</v>
      </c>
      <c r="Y290" s="10">
        <v>0.34</v>
      </c>
      <c r="Z290" s="10">
        <v>0.97</v>
      </c>
      <c r="AA290" s="10" t="s">
        <v>2369</v>
      </c>
      <c r="AB290" s="10">
        <v>0.34</v>
      </c>
      <c r="AC290" s="10" t="s">
        <v>109</v>
      </c>
      <c r="AD290" s="10" t="s">
        <v>1689</v>
      </c>
    </row>
    <row r="291" spans="1:30" ht="14.25" hidden="1">
      <c r="A291" s="10" t="s">
        <v>52</v>
      </c>
      <c r="B291" s="10" t="s">
        <v>86</v>
      </c>
      <c r="C291" s="10" t="s">
        <v>74</v>
      </c>
      <c r="D291" s="33" t="s">
        <v>622</v>
      </c>
      <c r="E291" s="33"/>
      <c r="F291" s="33" t="s">
        <v>2370</v>
      </c>
      <c r="G291" s="33" t="s">
        <v>215</v>
      </c>
      <c r="H291" s="33" t="s">
        <v>2371</v>
      </c>
      <c r="I291" s="10" t="s">
        <v>2372</v>
      </c>
      <c r="J291" s="10" t="s">
        <v>2373</v>
      </c>
      <c r="K291" s="10" t="s">
        <v>79</v>
      </c>
      <c r="L291" s="33">
        <v>16</v>
      </c>
      <c r="M291" s="33" t="s">
        <v>79</v>
      </c>
      <c r="N291" s="33" t="s">
        <v>79</v>
      </c>
      <c r="O291" s="10" t="s">
        <v>97</v>
      </c>
      <c r="P291" s="10" t="s">
        <v>98</v>
      </c>
      <c r="Q291" s="10" t="s">
        <v>79</v>
      </c>
      <c r="R291" s="10">
        <v>0.99</v>
      </c>
      <c r="S291" s="10" t="s">
        <v>2374</v>
      </c>
      <c r="T291" s="10">
        <v>0.05</v>
      </c>
      <c r="U291" s="10">
        <v>30.918500000000002</v>
      </c>
      <c r="V291" s="10">
        <v>8.9999999999999993E-3</v>
      </c>
      <c r="W291" s="10">
        <v>0.98</v>
      </c>
      <c r="X291" s="10" t="s">
        <v>2374</v>
      </c>
      <c r="Y291" s="10">
        <v>1.7000000000000001E-2</v>
      </c>
      <c r="Z291" s="10">
        <v>0.99</v>
      </c>
      <c r="AA291" s="10" t="s">
        <v>2375</v>
      </c>
      <c r="AB291" s="10">
        <v>0.85199999999999998</v>
      </c>
      <c r="AC291" s="10" t="s">
        <v>109</v>
      </c>
      <c r="AD291" s="10" t="s">
        <v>1689</v>
      </c>
    </row>
    <row r="292" spans="1:30" ht="14.25" hidden="1">
      <c r="A292" s="10" t="s">
        <v>52</v>
      </c>
      <c r="B292" s="10" t="s">
        <v>86</v>
      </c>
      <c r="C292" s="10" t="s">
        <v>74</v>
      </c>
      <c r="D292" s="33" t="s">
        <v>622</v>
      </c>
      <c r="E292" s="33"/>
      <c r="F292" s="33" t="s">
        <v>2376</v>
      </c>
      <c r="G292" s="33" t="s">
        <v>215</v>
      </c>
      <c r="H292" s="33" t="s">
        <v>2377</v>
      </c>
      <c r="I292" s="10" t="s">
        <v>2378</v>
      </c>
      <c r="J292" s="10" t="s">
        <v>2379</v>
      </c>
      <c r="K292" s="10" t="s">
        <v>79</v>
      </c>
      <c r="L292" s="33">
        <v>18</v>
      </c>
      <c r="M292" s="33" t="s">
        <v>79</v>
      </c>
      <c r="N292" s="33" t="s">
        <v>79</v>
      </c>
      <c r="O292" s="10" t="s">
        <v>97</v>
      </c>
      <c r="P292" s="10" t="s">
        <v>98</v>
      </c>
      <c r="Q292" s="10" t="s">
        <v>79</v>
      </c>
      <c r="R292" s="10">
        <v>0.99</v>
      </c>
      <c r="S292" s="10" t="s">
        <v>2380</v>
      </c>
      <c r="T292" s="10">
        <v>0.56999999999999995</v>
      </c>
      <c r="U292" s="10">
        <v>35.0578</v>
      </c>
      <c r="V292" s="10">
        <v>6.0000000000000001E-3</v>
      </c>
      <c r="W292" s="10">
        <v>0.99</v>
      </c>
      <c r="X292" s="10" t="s">
        <v>2381</v>
      </c>
      <c r="Y292" s="10">
        <v>0.32400000000000001</v>
      </c>
      <c r="Z292" s="10">
        <v>1.1200000000000001</v>
      </c>
      <c r="AA292" s="10" t="s">
        <v>2382</v>
      </c>
      <c r="AB292" s="10">
        <v>6.4000000000000001E-2</v>
      </c>
      <c r="AC292" s="10" t="s">
        <v>109</v>
      </c>
      <c r="AD292" s="10" t="s">
        <v>1689</v>
      </c>
    </row>
    <row r="293" spans="1:30" ht="14.25" hidden="1">
      <c r="A293" s="10" t="s">
        <v>52</v>
      </c>
      <c r="B293" s="10" t="s">
        <v>86</v>
      </c>
      <c r="C293" s="10" t="s">
        <v>74</v>
      </c>
      <c r="D293" s="33" t="s">
        <v>246</v>
      </c>
      <c r="E293" s="33"/>
      <c r="F293" s="33" t="s">
        <v>2343</v>
      </c>
      <c r="G293" s="33" t="s">
        <v>248</v>
      </c>
      <c r="H293" s="33" t="s">
        <v>2344</v>
      </c>
      <c r="I293" s="10" t="s">
        <v>2383</v>
      </c>
      <c r="J293" s="10" t="s">
        <v>2384</v>
      </c>
      <c r="K293" s="34">
        <f t="shared" ref="K293:K296" si="15">SUM(M293:N293)</f>
        <v>337199</v>
      </c>
      <c r="L293" s="33">
        <v>17</v>
      </c>
      <c r="M293" s="35">
        <v>4837</v>
      </c>
      <c r="N293" s="35">
        <v>332362</v>
      </c>
      <c r="O293" s="10" t="s">
        <v>97</v>
      </c>
      <c r="P293" s="10" t="s">
        <v>98</v>
      </c>
      <c r="Q293" s="10" t="s">
        <v>79</v>
      </c>
      <c r="R293" s="10">
        <v>1</v>
      </c>
      <c r="S293" s="10" t="s">
        <v>2347</v>
      </c>
      <c r="T293" s="10">
        <v>0.97699999999999998</v>
      </c>
      <c r="U293" s="10">
        <v>19.976700000000001</v>
      </c>
      <c r="V293" s="10">
        <v>0.221</v>
      </c>
      <c r="W293" s="10">
        <v>1.01</v>
      </c>
      <c r="X293" s="10" t="s">
        <v>2385</v>
      </c>
      <c r="Y293" s="10">
        <v>0.43</v>
      </c>
      <c r="Z293" s="10">
        <v>1.0900000000000001</v>
      </c>
      <c r="AA293" s="10" t="s">
        <v>2386</v>
      </c>
      <c r="AB293" s="10">
        <v>0.33600000000000002</v>
      </c>
      <c r="AC293" s="10" t="s">
        <v>109</v>
      </c>
      <c r="AD293" s="10" t="s">
        <v>1689</v>
      </c>
    </row>
    <row r="294" spans="1:30" ht="14.25" hidden="1">
      <c r="A294" s="10" t="s">
        <v>52</v>
      </c>
      <c r="B294" s="10" t="s">
        <v>86</v>
      </c>
      <c r="C294" s="10" t="s">
        <v>74</v>
      </c>
      <c r="D294" s="33" t="s">
        <v>246</v>
      </c>
      <c r="E294" s="33"/>
      <c r="F294" s="33" t="s">
        <v>2350</v>
      </c>
      <c r="G294" s="33" t="s">
        <v>248</v>
      </c>
      <c r="H294" s="33" t="s">
        <v>2351</v>
      </c>
      <c r="I294" s="10" t="s">
        <v>2387</v>
      </c>
      <c r="J294" s="10" t="s">
        <v>2388</v>
      </c>
      <c r="K294" s="34">
        <f t="shared" si="15"/>
        <v>337199</v>
      </c>
      <c r="L294" s="33">
        <v>17</v>
      </c>
      <c r="M294" s="35">
        <v>3927</v>
      </c>
      <c r="N294" s="35">
        <v>333272</v>
      </c>
      <c r="O294" s="10" t="s">
        <v>97</v>
      </c>
      <c r="P294" s="10" t="s">
        <v>98</v>
      </c>
      <c r="Q294" s="10" t="s">
        <v>79</v>
      </c>
      <c r="R294" s="10">
        <v>1</v>
      </c>
      <c r="S294" s="10" t="s">
        <v>2368</v>
      </c>
      <c r="T294" s="10">
        <v>0.67800000000000005</v>
      </c>
      <c r="U294" s="10">
        <v>34.654800000000002</v>
      </c>
      <c r="V294" s="10">
        <v>4.0000000000000001E-3</v>
      </c>
      <c r="W294" s="10">
        <v>1</v>
      </c>
      <c r="X294" s="10" t="s">
        <v>2347</v>
      </c>
      <c r="Y294" s="10">
        <v>0.75900000000000001</v>
      </c>
      <c r="Z294" s="10">
        <v>1.1200000000000001</v>
      </c>
      <c r="AA294" s="10" t="s">
        <v>2389</v>
      </c>
      <c r="AB294" s="10">
        <v>0.29899999999999999</v>
      </c>
      <c r="AC294" s="10" t="s">
        <v>109</v>
      </c>
      <c r="AD294" s="10" t="s">
        <v>1689</v>
      </c>
    </row>
    <row r="295" spans="1:30" ht="14.25" hidden="1">
      <c r="A295" s="10" t="s">
        <v>52</v>
      </c>
      <c r="B295" s="10" t="s">
        <v>86</v>
      </c>
      <c r="C295" s="10" t="s">
        <v>74</v>
      </c>
      <c r="D295" s="33" t="s">
        <v>246</v>
      </c>
      <c r="E295" s="33"/>
      <c r="F295" s="33" t="s">
        <v>2357</v>
      </c>
      <c r="G295" s="33" t="s">
        <v>248</v>
      </c>
      <c r="H295" s="33" t="s">
        <v>2358</v>
      </c>
      <c r="I295" s="10" t="s">
        <v>2390</v>
      </c>
      <c r="J295" s="10" t="s">
        <v>2391</v>
      </c>
      <c r="K295" s="34">
        <f t="shared" si="15"/>
        <v>337199</v>
      </c>
      <c r="L295" s="33">
        <v>17</v>
      </c>
      <c r="M295" s="35">
        <v>8755</v>
      </c>
      <c r="N295" s="35">
        <v>328444</v>
      </c>
      <c r="O295" s="10" t="s">
        <v>97</v>
      </c>
      <c r="P295" s="10" t="s">
        <v>98</v>
      </c>
      <c r="Q295" s="10" t="s">
        <v>79</v>
      </c>
      <c r="R295" s="10">
        <v>1</v>
      </c>
      <c r="S295" s="10" t="s">
        <v>2380</v>
      </c>
      <c r="T295" s="10">
        <v>0.80600000000000005</v>
      </c>
      <c r="U295" s="10">
        <v>30.19464</v>
      </c>
      <c r="V295" s="10">
        <v>1.7000000000000001E-2</v>
      </c>
      <c r="W295" s="10">
        <v>0.99</v>
      </c>
      <c r="X295" s="10" t="s">
        <v>2362</v>
      </c>
      <c r="Y295" s="10">
        <v>0.45800000000000002</v>
      </c>
      <c r="Z295" s="10">
        <v>1.2</v>
      </c>
      <c r="AA295" s="10" t="s">
        <v>2392</v>
      </c>
      <c r="AB295" s="10">
        <v>0.217</v>
      </c>
      <c r="AC295" s="10" t="s">
        <v>140</v>
      </c>
      <c r="AD295" s="10" t="s">
        <v>1689</v>
      </c>
    </row>
    <row r="296" spans="1:30" ht="14.25" hidden="1">
      <c r="A296" s="10" t="s">
        <v>52</v>
      </c>
      <c r="B296" s="10" t="s">
        <v>86</v>
      </c>
      <c r="C296" s="10" t="s">
        <v>74</v>
      </c>
      <c r="D296" s="33" t="s">
        <v>246</v>
      </c>
      <c r="E296" s="33"/>
      <c r="F296" s="33" t="s">
        <v>2364</v>
      </c>
      <c r="G296" s="33" t="s">
        <v>248</v>
      </c>
      <c r="H296" s="33" t="s">
        <v>2365</v>
      </c>
      <c r="I296" s="10" t="s">
        <v>2393</v>
      </c>
      <c r="J296" s="10" t="s">
        <v>2394</v>
      </c>
      <c r="K296" s="34">
        <f t="shared" si="15"/>
        <v>361194</v>
      </c>
      <c r="L296" s="33">
        <v>17</v>
      </c>
      <c r="M296" s="35">
        <v>2353</v>
      </c>
      <c r="N296" s="35">
        <v>358841</v>
      </c>
      <c r="O296" s="10" t="s">
        <v>97</v>
      </c>
      <c r="P296" s="10" t="s">
        <v>98</v>
      </c>
      <c r="Q296" s="10" t="s">
        <v>79</v>
      </c>
      <c r="R296" s="10">
        <v>1</v>
      </c>
      <c r="S296" s="10" t="s">
        <v>2395</v>
      </c>
      <c r="T296" s="10">
        <v>0.38300000000000001</v>
      </c>
      <c r="U296" s="10">
        <v>12.43258</v>
      </c>
      <c r="V296" s="10">
        <v>0.71399999999999997</v>
      </c>
      <c r="W296" s="10">
        <v>1</v>
      </c>
      <c r="X296" s="10" t="s">
        <v>2354</v>
      </c>
      <c r="Y296" s="10">
        <v>0.80100000000000005</v>
      </c>
      <c r="Z296" s="10">
        <v>0.94</v>
      </c>
      <c r="AA296" s="10" t="s">
        <v>2396</v>
      </c>
      <c r="AB296" s="10">
        <v>0.29599999999999999</v>
      </c>
      <c r="AC296" s="10" t="s">
        <v>109</v>
      </c>
      <c r="AD296" s="10" t="s">
        <v>1689</v>
      </c>
    </row>
    <row r="297" spans="1:30" ht="14.25" hidden="1">
      <c r="A297" s="10" t="s">
        <v>52</v>
      </c>
      <c r="B297" s="10" t="s">
        <v>86</v>
      </c>
      <c r="C297" s="10" t="s">
        <v>74</v>
      </c>
      <c r="D297" s="33" t="s">
        <v>246</v>
      </c>
      <c r="E297" s="33"/>
      <c r="F297" s="33" t="s">
        <v>2370</v>
      </c>
      <c r="G297" s="33" t="s">
        <v>248</v>
      </c>
      <c r="H297" s="33" t="s">
        <v>2371</v>
      </c>
      <c r="I297" s="10" t="s">
        <v>2397</v>
      </c>
      <c r="J297" s="10" t="s">
        <v>2398</v>
      </c>
      <c r="K297" s="10" t="s">
        <v>79</v>
      </c>
      <c r="L297" s="33">
        <v>17</v>
      </c>
      <c r="M297" s="33" t="s">
        <v>79</v>
      </c>
      <c r="N297" s="33" t="s">
        <v>79</v>
      </c>
      <c r="O297" s="10" t="s">
        <v>97</v>
      </c>
      <c r="P297" s="10" t="s">
        <v>98</v>
      </c>
      <c r="Q297" s="10" t="s">
        <v>79</v>
      </c>
      <c r="R297" s="10">
        <v>1</v>
      </c>
      <c r="S297" s="10" t="s">
        <v>2395</v>
      </c>
      <c r="T297" s="10">
        <v>0.69599999999999995</v>
      </c>
      <c r="U297" s="10">
        <v>12.730130000000001</v>
      </c>
      <c r="V297" s="10">
        <v>0.69199999999999995</v>
      </c>
      <c r="W297" s="10">
        <v>1</v>
      </c>
      <c r="X297" s="10" t="s">
        <v>2395</v>
      </c>
      <c r="Y297" s="10">
        <v>0.997</v>
      </c>
      <c r="Z297" s="10">
        <v>1.03</v>
      </c>
      <c r="AA297" s="10" t="s">
        <v>2399</v>
      </c>
      <c r="AB297" s="10">
        <v>0.6</v>
      </c>
      <c r="AC297" s="10" t="s">
        <v>109</v>
      </c>
      <c r="AD297" s="10" t="s">
        <v>1689</v>
      </c>
    </row>
    <row r="298" spans="1:30" ht="14.25" hidden="1">
      <c r="A298" s="10" t="s">
        <v>52</v>
      </c>
      <c r="B298" s="10" t="s">
        <v>86</v>
      </c>
      <c r="C298" s="10" t="s">
        <v>74</v>
      </c>
      <c r="D298" s="33" t="s">
        <v>246</v>
      </c>
      <c r="E298" s="33"/>
      <c r="F298" s="33" t="s">
        <v>2376</v>
      </c>
      <c r="G298" s="33" t="s">
        <v>248</v>
      </c>
      <c r="H298" s="33" t="s">
        <v>2377</v>
      </c>
      <c r="I298" s="10" t="s">
        <v>2400</v>
      </c>
      <c r="J298" s="10" t="s">
        <v>2401</v>
      </c>
      <c r="K298" s="10" t="s">
        <v>79</v>
      </c>
      <c r="L298" s="33">
        <v>17</v>
      </c>
      <c r="M298" s="33" t="s">
        <v>79</v>
      </c>
      <c r="N298" s="33" t="s">
        <v>79</v>
      </c>
      <c r="O298" s="10" t="s">
        <v>97</v>
      </c>
      <c r="P298" s="10" t="s">
        <v>98</v>
      </c>
      <c r="Q298" s="10" t="s">
        <v>79</v>
      </c>
      <c r="R298" s="10">
        <v>1.01</v>
      </c>
      <c r="S298" s="10" t="s">
        <v>2385</v>
      </c>
      <c r="T298" s="10">
        <v>0.44900000000000001</v>
      </c>
      <c r="U298" s="10">
        <v>27.288</v>
      </c>
      <c r="V298" s="10">
        <v>3.7999999999999999E-2</v>
      </c>
      <c r="W298" s="10">
        <v>1</v>
      </c>
      <c r="X298" s="10" t="s">
        <v>2402</v>
      </c>
      <c r="Y298" s="10">
        <v>0.68899999999999995</v>
      </c>
      <c r="Z298" s="10">
        <v>1.0900000000000001</v>
      </c>
      <c r="AA298" s="10" t="s">
        <v>2403</v>
      </c>
      <c r="AB298" s="10">
        <v>0.46899999999999997</v>
      </c>
      <c r="AC298" s="10" t="s">
        <v>109</v>
      </c>
      <c r="AD298" s="10" t="s">
        <v>1689</v>
      </c>
    </row>
    <row r="299" spans="1:30" ht="14.25" hidden="1">
      <c r="A299" s="14" t="s">
        <v>52</v>
      </c>
      <c r="B299" s="14" t="s">
        <v>87</v>
      </c>
      <c r="C299" s="14" t="s">
        <v>2196</v>
      </c>
      <c r="D299" s="14" t="s">
        <v>246</v>
      </c>
      <c r="E299" s="14"/>
      <c r="F299" s="14" t="s">
        <v>2404</v>
      </c>
      <c r="G299" s="14" t="s">
        <v>248</v>
      </c>
      <c r="H299" s="14" t="s">
        <v>79</v>
      </c>
      <c r="I299" s="14" t="s">
        <v>2405</v>
      </c>
      <c r="J299" s="14" t="s">
        <v>2406</v>
      </c>
      <c r="K299" s="14">
        <v>361797</v>
      </c>
      <c r="L299" s="14">
        <v>15</v>
      </c>
      <c r="M299" s="14">
        <v>37014</v>
      </c>
      <c r="N299" s="14">
        <f t="shared" ref="N299:N308" si="16">K299-M299</f>
        <v>324783</v>
      </c>
      <c r="O299" s="14" t="s">
        <v>97</v>
      </c>
      <c r="P299" s="14" t="s">
        <v>98</v>
      </c>
      <c r="Q299" s="14">
        <v>68.67</v>
      </c>
      <c r="R299" s="14">
        <v>1.0900000000000001</v>
      </c>
      <c r="S299" s="14" t="s">
        <v>2407</v>
      </c>
      <c r="T299" s="14" t="s">
        <v>79</v>
      </c>
      <c r="U299" s="14" t="s">
        <v>79</v>
      </c>
      <c r="V299" s="14" t="s">
        <v>79</v>
      </c>
      <c r="W299" s="14" t="s">
        <v>62</v>
      </c>
      <c r="X299" s="14" t="s">
        <v>62</v>
      </c>
      <c r="Y299" s="14" t="s">
        <v>62</v>
      </c>
      <c r="Z299" s="14" t="s">
        <v>62</v>
      </c>
      <c r="AA299" s="14" t="s">
        <v>62</v>
      </c>
      <c r="AB299" s="14" t="s">
        <v>62</v>
      </c>
      <c r="AC299" s="14" t="s">
        <v>140</v>
      </c>
      <c r="AD299" s="14" t="s">
        <v>1689</v>
      </c>
    </row>
    <row r="300" spans="1:30" ht="14.25" hidden="1">
      <c r="A300" s="14" t="s">
        <v>52</v>
      </c>
      <c r="B300" s="14" t="s">
        <v>87</v>
      </c>
      <c r="C300" s="14" t="s">
        <v>2196</v>
      </c>
      <c r="D300" s="14" t="s">
        <v>246</v>
      </c>
      <c r="E300" s="14"/>
      <c r="F300" s="14" t="s">
        <v>2408</v>
      </c>
      <c r="G300" s="14" t="s">
        <v>248</v>
      </c>
      <c r="H300" s="14" t="s">
        <v>79</v>
      </c>
      <c r="I300" s="14" t="s">
        <v>2409</v>
      </c>
      <c r="J300" s="14" t="s">
        <v>2410</v>
      </c>
      <c r="K300" s="14">
        <v>361797</v>
      </c>
      <c r="L300" s="14">
        <v>15</v>
      </c>
      <c r="M300" s="14">
        <v>9298</v>
      </c>
      <c r="N300" s="14">
        <f t="shared" si="16"/>
        <v>352499</v>
      </c>
      <c r="O300" s="14" t="s">
        <v>97</v>
      </c>
      <c r="P300" s="14" t="s">
        <v>98</v>
      </c>
      <c r="Q300" s="14">
        <v>70.17</v>
      </c>
      <c r="R300" s="14">
        <v>0.59</v>
      </c>
      <c r="S300" s="14" t="s">
        <v>2411</v>
      </c>
      <c r="T300" s="14" t="s">
        <v>79</v>
      </c>
      <c r="U300" s="14" t="s">
        <v>79</v>
      </c>
      <c r="V300" s="14" t="s">
        <v>79</v>
      </c>
      <c r="W300" s="14" t="s">
        <v>62</v>
      </c>
      <c r="X300" s="14" t="s">
        <v>62</v>
      </c>
      <c r="Y300" s="14" t="s">
        <v>62</v>
      </c>
      <c r="Z300" s="14" t="s">
        <v>62</v>
      </c>
      <c r="AA300" s="14" t="s">
        <v>62</v>
      </c>
      <c r="AB300" s="14" t="s">
        <v>62</v>
      </c>
      <c r="AC300" s="14" t="s">
        <v>140</v>
      </c>
      <c r="AD300" s="14" t="s">
        <v>1689</v>
      </c>
    </row>
    <row r="301" spans="1:30" ht="14.25" hidden="1">
      <c r="A301" s="14" t="s">
        <v>52</v>
      </c>
      <c r="B301" s="14" t="s">
        <v>87</v>
      </c>
      <c r="C301" s="14" t="s">
        <v>2196</v>
      </c>
      <c r="D301" s="14" t="s">
        <v>246</v>
      </c>
      <c r="E301" s="14"/>
      <c r="F301" s="14" t="s">
        <v>2412</v>
      </c>
      <c r="G301" s="14" t="s">
        <v>248</v>
      </c>
      <c r="H301" s="14" t="s">
        <v>79</v>
      </c>
      <c r="I301" s="14" t="s">
        <v>2413</v>
      </c>
      <c r="J301" s="14" t="s">
        <v>2414</v>
      </c>
      <c r="K301" s="14">
        <v>361797</v>
      </c>
      <c r="L301" s="14">
        <v>15</v>
      </c>
      <c r="M301" s="14">
        <v>7264</v>
      </c>
      <c r="N301" s="14">
        <f t="shared" si="16"/>
        <v>354533</v>
      </c>
      <c r="O301" s="14" t="s">
        <v>97</v>
      </c>
      <c r="P301" s="14" t="s">
        <v>98</v>
      </c>
      <c r="Q301" s="14">
        <v>70.27</v>
      </c>
      <c r="R301" s="14">
        <v>0.69</v>
      </c>
      <c r="S301" s="14" t="s">
        <v>2415</v>
      </c>
      <c r="T301" s="14" t="s">
        <v>79</v>
      </c>
      <c r="U301" s="14" t="s">
        <v>79</v>
      </c>
      <c r="V301" s="14" t="s">
        <v>79</v>
      </c>
      <c r="W301" s="14" t="s">
        <v>62</v>
      </c>
      <c r="X301" s="14" t="s">
        <v>62</v>
      </c>
      <c r="Y301" s="14" t="s">
        <v>62</v>
      </c>
      <c r="Z301" s="14" t="s">
        <v>62</v>
      </c>
      <c r="AA301" s="14" t="s">
        <v>62</v>
      </c>
      <c r="AB301" s="14" t="s">
        <v>62</v>
      </c>
      <c r="AC301" s="14" t="s">
        <v>140</v>
      </c>
      <c r="AD301" s="14" t="s">
        <v>1689</v>
      </c>
    </row>
    <row r="302" spans="1:30" ht="14.25" hidden="1">
      <c r="A302" s="14" t="s">
        <v>52</v>
      </c>
      <c r="B302" s="14" t="s">
        <v>87</v>
      </c>
      <c r="C302" s="14" t="s">
        <v>2196</v>
      </c>
      <c r="D302" s="14" t="s">
        <v>246</v>
      </c>
      <c r="E302" s="14"/>
      <c r="F302" s="14" t="s">
        <v>2416</v>
      </c>
      <c r="G302" s="14" t="s">
        <v>248</v>
      </c>
      <c r="H302" s="14" t="s">
        <v>79</v>
      </c>
      <c r="I302" s="14" t="s">
        <v>2417</v>
      </c>
      <c r="J302" s="14" t="s">
        <v>2418</v>
      </c>
      <c r="K302" s="14">
        <v>361797</v>
      </c>
      <c r="L302" s="14">
        <v>15</v>
      </c>
      <c r="M302" s="14">
        <v>11773</v>
      </c>
      <c r="N302" s="14">
        <f t="shared" si="16"/>
        <v>350024</v>
      </c>
      <c r="O302" s="14" t="s">
        <v>97</v>
      </c>
      <c r="P302" s="14" t="s">
        <v>98</v>
      </c>
      <c r="Q302" s="14">
        <v>68.03</v>
      </c>
      <c r="R302" s="14">
        <v>0.77</v>
      </c>
      <c r="S302" s="14" t="s">
        <v>2419</v>
      </c>
      <c r="T302" s="14" t="s">
        <v>79</v>
      </c>
      <c r="U302" s="14" t="s">
        <v>79</v>
      </c>
      <c r="V302" s="14" t="s">
        <v>79</v>
      </c>
      <c r="W302" s="14" t="s">
        <v>62</v>
      </c>
      <c r="X302" s="14" t="s">
        <v>62</v>
      </c>
      <c r="Y302" s="14" t="s">
        <v>62</v>
      </c>
      <c r="Z302" s="14" t="s">
        <v>62</v>
      </c>
      <c r="AA302" s="14" t="s">
        <v>62</v>
      </c>
      <c r="AB302" s="14" t="s">
        <v>62</v>
      </c>
      <c r="AC302" s="14" t="s">
        <v>140</v>
      </c>
      <c r="AD302" s="14" t="s">
        <v>1689</v>
      </c>
    </row>
    <row r="303" spans="1:30" ht="14.25" hidden="1">
      <c r="A303" s="14" t="s">
        <v>52</v>
      </c>
      <c r="B303" s="14" t="s">
        <v>87</v>
      </c>
      <c r="C303" s="14" t="s">
        <v>2196</v>
      </c>
      <c r="D303" s="14" t="s">
        <v>246</v>
      </c>
      <c r="E303" s="14"/>
      <c r="F303" s="14" t="s">
        <v>2420</v>
      </c>
      <c r="G303" s="14" t="s">
        <v>248</v>
      </c>
      <c r="H303" s="14" t="s">
        <v>79</v>
      </c>
      <c r="I303" s="14" t="s">
        <v>2421</v>
      </c>
      <c r="J303" s="14" t="s">
        <v>2422</v>
      </c>
      <c r="K303" s="14">
        <v>361797</v>
      </c>
      <c r="L303" s="14">
        <v>15</v>
      </c>
      <c r="M303" s="14">
        <v>25915</v>
      </c>
      <c r="N303" s="14">
        <f t="shared" si="16"/>
        <v>335882</v>
      </c>
      <c r="O303" s="14" t="s">
        <v>97</v>
      </c>
      <c r="P303" s="14" t="s">
        <v>98</v>
      </c>
      <c r="Q303" s="14">
        <v>62.42</v>
      </c>
      <c r="R303" s="14">
        <v>0.74</v>
      </c>
      <c r="S303" s="14" t="s">
        <v>2423</v>
      </c>
      <c r="T303" s="14" t="s">
        <v>79</v>
      </c>
      <c r="U303" s="14" t="s">
        <v>79</v>
      </c>
      <c r="V303" s="14" t="s">
        <v>79</v>
      </c>
      <c r="W303" s="14" t="s">
        <v>62</v>
      </c>
      <c r="X303" s="14" t="s">
        <v>62</v>
      </c>
      <c r="Y303" s="14" t="s">
        <v>62</v>
      </c>
      <c r="Z303" s="14" t="s">
        <v>62</v>
      </c>
      <c r="AA303" s="14" t="s">
        <v>62</v>
      </c>
      <c r="AB303" s="14" t="s">
        <v>62</v>
      </c>
      <c r="AC303" s="14" t="s">
        <v>140</v>
      </c>
      <c r="AD303" s="14" t="s">
        <v>1689</v>
      </c>
    </row>
    <row r="304" spans="1:30" ht="14.25" hidden="1">
      <c r="A304" s="14" t="s">
        <v>52</v>
      </c>
      <c r="B304" s="14" t="s">
        <v>87</v>
      </c>
      <c r="C304" s="14" t="s">
        <v>2196</v>
      </c>
      <c r="D304" s="14" t="s">
        <v>622</v>
      </c>
      <c r="E304" s="14"/>
      <c r="F304" s="14" t="s">
        <v>2404</v>
      </c>
      <c r="G304" s="14" t="s">
        <v>215</v>
      </c>
      <c r="H304" s="14" t="s">
        <v>79</v>
      </c>
      <c r="I304" s="14" t="s">
        <v>2424</v>
      </c>
      <c r="J304" s="14" t="s">
        <v>2425</v>
      </c>
      <c r="K304" s="14">
        <v>361797</v>
      </c>
      <c r="L304" s="14">
        <v>28</v>
      </c>
      <c r="M304" s="14">
        <v>37014</v>
      </c>
      <c r="N304" s="14">
        <f t="shared" si="16"/>
        <v>324783</v>
      </c>
      <c r="O304" s="14" t="s">
        <v>97</v>
      </c>
      <c r="P304" s="14" t="s">
        <v>98</v>
      </c>
      <c r="Q304" s="14">
        <v>288.74</v>
      </c>
      <c r="R304" s="14">
        <v>0.87</v>
      </c>
      <c r="S304" s="14" t="s">
        <v>2426</v>
      </c>
      <c r="T304" s="14" t="s">
        <v>79</v>
      </c>
      <c r="U304" s="14" t="s">
        <v>79</v>
      </c>
      <c r="V304" s="14" t="s">
        <v>79</v>
      </c>
      <c r="W304" s="14" t="s">
        <v>62</v>
      </c>
      <c r="X304" s="14" t="s">
        <v>62</v>
      </c>
      <c r="Y304" s="14" t="s">
        <v>62</v>
      </c>
      <c r="Z304" s="14" t="s">
        <v>62</v>
      </c>
      <c r="AA304" s="14" t="s">
        <v>62</v>
      </c>
      <c r="AB304" s="14" t="s">
        <v>62</v>
      </c>
      <c r="AC304" s="14" t="s">
        <v>140</v>
      </c>
      <c r="AD304" s="14" t="s">
        <v>1689</v>
      </c>
    </row>
    <row r="305" spans="1:30" ht="14.25" hidden="1">
      <c r="A305" s="14" t="s">
        <v>52</v>
      </c>
      <c r="B305" s="14" t="s">
        <v>87</v>
      </c>
      <c r="C305" s="14" t="s">
        <v>2196</v>
      </c>
      <c r="D305" s="14" t="s">
        <v>622</v>
      </c>
      <c r="E305" s="14"/>
      <c r="F305" s="14" t="s">
        <v>2408</v>
      </c>
      <c r="G305" s="14" t="s">
        <v>215</v>
      </c>
      <c r="H305" s="14" t="s">
        <v>79</v>
      </c>
      <c r="I305" s="14" t="s">
        <v>2427</v>
      </c>
      <c r="J305" s="14" t="s">
        <v>2428</v>
      </c>
      <c r="K305" s="14">
        <v>361797</v>
      </c>
      <c r="L305" s="14">
        <v>28</v>
      </c>
      <c r="M305" s="14">
        <v>9298</v>
      </c>
      <c r="N305" s="14">
        <f t="shared" si="16"/>
        <v>352499</v>
      </c>
      <c r="O305" s="14" t="s">
        <v>97</v>
      </c>
      <c r="P305" s="14" t="s">
        <v>98</v>
      </c>
      <c r="Q305" s="14">
        <v>319.57</v>
      </c>
      <c r="R305" s="14">
        <v>0.92</v>
      </c>
      <c r="S305" s="14" t="s">
        <v>2429</v>
      </c>
      <c r="T305" s="14" t="s">
        <v>79</v>
      </c>
      <c r="U305" s="14" t="s">
        <v>79</v>
      </c>
      <c r="V305" s="14" t="s">
        <v>79</v>
      </c>
      <c r="W305" s="14" t="s">
        <v>62</v>
      </c>
      <c r="X305" s="14" t="s">
        <v>62</v>
      </c>
      <c r="Y305" s="14" t="s">
        <v>62</v>
      </c>
      <c r="Z305" s="14" t="s">
        <v>62</v>
      </c>
      <c r="AA305" s="14" t="s">
        <v>62</v>
      </c>
      <c r="AB305" s="14" t="s">
        <v>62</v>
      </c>
      <c r="AC305" s="14" t="s">
        <v>140</v>
      </c>
      <c r="AD305" s="14" t="s">
        <v>1689</v>
      </c>
    </row>
    <row r="306" spans="1:30" ht="14.25" hidden="1">
      <c r="A306" s="14" t="s">
        <v>52</v>
      </c>
      <c r="B306" s="14" t="s">
        <v>87</v>
      </c>
      <c r="C306" s="14" t="s">
        <v>2196</v>
      </c>
      <c r="D306" s="14" t="s">
        <v>622</v>
      </c>
      <c r="E306" s="14"/>
      <c r="F306" s="14" t="s">
        <v>2412</v>
      </c>
      <c r="G306" s="14" t="s">
        <v>215</v>
      </c>
      <c r="H306" s="14" t="s">
        <v>79</v>
      </c>
      <c r="I306" s="14" t="s">
        <v>2430</v>
      </c>
      <c r="J306" s="14" t="s">
        <v>2431</v>
      </c>
      <c r="K306" s="14">
        <v>361797</v>
      </c>
      <c r="L306" s="14">
        <v>28</v>
      </c>
      <c r="M306" s="14">
        <v>7264</v>
      </c>
      <c r="N306" s="14">
        <f t="shared" si="16"/>
        <v>354533</v>
      </c>
      <c r="O306" s="14" t="s">
        <v>97</v>
      </c>
      <c r="P306" s="14" t="s">
        <v>98</v>
      </c>
      <c r="Q306" s="14">
        <v>322.39</v>
      </c>
      <c r="R306" s="14">
        <v>0.87</v>
      </c>
      <c r="S306" s="14" t="s">
        <v>2432</v>
      </c>
      <c r="T306" s="14" t="s">
        <v>79</v>
      </c>
      <c r="U306" s="14" t="s">
        <v>79</v>
      </c>
      <c r="V306" s="14" t="s">
        <v>79</v>
      </c>
      <c r="W306" s="14" t="s">
        <v>62</v>
      </c>
      <c r="X306" s="14" t="s">
        <v>62</v>
      </c>
      <c r="Y306" s="14" t="s">
        <v>62</v>
      </c>
      <c r="Z306" s="14" t="s">
        <v>62</v>
      </c>
      <c r="AA306" s="14" t="s">
        <v>62</v>
      </c>
      <c r="AB306" s="14" t="s">
        <v>62</v>
      </c>
      <c r="AC306" s="14" t="s">
        <v>140</v>
      </c>
      <c r="AD306" s="14" t="s">
        <v>1689</v>
      </c>
    </row>
    <row r="307" spans="1:30" ht="14.25" hidden="1">
      <c r="A307" s="14" t="s">
        <v>52</v>
      </c>
      <c r="B307" s="14" t="s">
        <v>87</v>
      </c>
      <c r="C307" s="14" t="s">
        <v>2196</v>
      </c>
      <c r="D307" s="14" t="s">
        <v>622</v>
      </c>
      <c r="E307" s="14"/>
      <c r="F307" s="14" t="s">
        <v>2416</v>
      </c>
      <c r="G307" s="14" t="s">
        <v>215</v>
      </c>
      <c r="H307" s="14" t="s">
        <v>79</v>
      </c>
      <c r="I307" s="14" t="s">
        <v>2434</v>
      </c>
      <c r="J307" s="14" t="s">
        <v>2435</v>
      </c>
      <c r="K307" s="14">
        <v>361797</v>
      </c>
      <c r="L307" s="14">
        <v>28</v>
      </c>
      <c r="M307" s="14">
        <v>11773</v>
      </c>
      <c r="N307" s="14">
        <f t="shared" si="16"/>
        <v>350024</v>
      </c>
      <c r="O307" s="14" t="s">
        <v>97</v>
      </c>
      <c r="P307" s="14" t="s">
        <v>98</v>
      </c>
      <c r="Q307" s="14">
        <v>321.19</v>
      </c>
      <c r="R307" s="14">
        <v>0.83</v>
      </c>
      <c r="S307" s="14" t="s">
        <v>2436</v>
      </c>
      <c r="T307" s="14" t="s">
        <v>79</v>
      </c>
      <c r="U307" s="14" t="s">
        <v>79</v>
      </c>
      <c r="V307" s="14" t="s">
        <v>79</v>
      </c>
      <c r="W307" s="14" t="s">
        <v>62</v>
      </c>
      <c r="X307" s="14" t="s">
        <v>62</v>
      </c>
      <c r="Y307" s="14" t="s">
        <v>62</v>
      </c>
      <c r="Z307" s="14" t="s">
        <v>62</v>
      </c>
      <c r="AA307" s="14" t="s">
        <v>62</v>
      </c>
      <c r="AB307" s="14" t="s">
        <v>62</v>
      </c>
      <c r="AC307" s="14" t="s">
        <v>140</v>
      </c>
      <c r="AD307" s="14" t="s">
        <v>1689</v>
      </c>
    </row>
    <row r="308" spans="1:30" ht="14.25" hidden="1">
      <c r="A308" s="14" t="s">
        <v>52</v>
      </c>
      <c r="B308" s="14" t="s">
        <v>87</v>
      </c>
      <c r="C308" s="14" t="s">
        <v>2196</v>
      </c>
      <c r="D308" s="14" t="s">
        <v>622</v>
      </c>
      <c r="E308" s="14"/>
      <c r="F308" s="14" t="s">
        <v>2420</v>
      </c>
      <c r="G308" s="14" t="s">
        <v>215</v>
      </c>
      <c r="H308" s="14" t="s">
        <v>79</v>
      </c>
      <c r="I308" s="14" t="s">
        <v>2438</v>
      </c>
      <c r="J308" s="14" t="s">
        <v>2439</v>
      </c>
      <c r="K308" s="14">
        <v>361797</v>
      </c>
      <c r="L308" s="14">
        <v>28</v>
      </c>
      <c r="M308" s="14">
        <v>25915</v>
      </c>
      <c r="N308" s="14">
        <f t="shared" si="16"/>
        <v>335882</v>
      </c>
      <c r="O308" s="14" t="s">
        <v>97</v>
      </c>
      <c r="P308" s="14" t="s">
        <v>98</v>
      </c>
      <c r="Q308" s="14">
        <v>318.8</v>
      </c>
      <c r="R308" s="14">
        <v>0.82</v>
      </c>
      <c r="S308" s="14" t="s">
        <v>2440</v>
      </c>
      <c r="T308" s="14" t="s">
        <v>79</v>
      </c>
      <c r="U308" s="14" t="s">
        <v>79</v>
      </c>
      <c r="V308" s="14" t="s">
        <v>79</v>
      </c>
      <c r="W308" s="14" t="s">
        <v>62</v>
      </c>
      <c r="X308" s="14" t="s">
        <v>62</v>
      </c>
      <c r="Y308" s="14" t="s">
        <v>62</v>
      </c>
      <c r="Z308" s="14" t="s">
        <v>62</v>
      </c>
      <c r="AA308" s="14" t="s">
        <v>62</v>
      </c>
      <c r="AB308" s="14" t="s">
        <v>62</v>
      </c>
      <c r="AC308" s="14" t="s">
        <v>140</v>
      </c>
      <c r="AD308" s="14" t="s">
        <v>1689</v>
      </c>
    </row>
    <row r="309" spans="1:30" ht="14.25" hidden="1">
      <c r="A309" s="14" t="s">
        <v>52</v>
      </c>
      <c r="B309" s="14" t="s">
        <v>87</v>
      </c>
      <c r="C309" s="14" t="s">
        <v>74</v>
      </c>
      <c r="D309" s="14" t="s">
        <v>246</v>
      </c>
      <c r="E309" s="14"/>
      <c r="F309" s="14" t="s">
        <v>2404</v>
      </c>
      <c r="G309" s="14" t="s">
        <v>248</v>
      </c>
      <c r="H309" s="14" t="s">
        <v>79</v>
      </c>
      <c r="I309" s="14" t="s">
        <v>2441</v>
      </c>
      <c r="J309" s="14" t="s">
        <v>1264</v>
      </c>
      <c r="K309" s="14">
        <v>218792</v>
      </c>
      <c r="L309" s="14">
        <v>15</v>
      </c>
      <c r="M309" s="14">
        <v>21012</v>
      </c>
      <c r="N309" s="14">
        <v>197780</v>
      </c>
      <c r="O309" s="14" t="s">
        <v>97</v>
      </c>
      <c r="P309" s="14" t="s">
        <v>98</v>
      </c>
      <c r="Q309" s="14">
        <v>71.63</v>
      </c>
      <c r="R309" s="14">
        <v>1.07</v>
      </c>
      <c r="S309" s="14" t="s">
        <v>2442</v>
      </c>
      <c r="T309" s="14">
        <v>0.75</v>
      </c>
      <c r="U309" s="14" t="s">
        <v>1321</v>
      </c>
      <c r="V309" s="14" t="s">
        <v>1321</v>
      </c>
      <c r="W309" s="14">
        <v>0.96</v>
      </c>
      <c r="X309" s="14" t="s">
        <v>2443</v>
      </c>
      <c r="Y309" s="14">
        <v>0.87</v>
      </c>
      <c r="Z309" s="14">
        <v>0.55000000000000004</v>
      </c>
      <c r="AA309" s="14" t="s">
        <v>2444</v>
      </c>
      <c r="AB309" s="14">
        <v>0.52</v>
      </c>
      <c r="AC309" s="14" t="s">
        <v>140</v>
      </c>
      <c r="AD309" s="14" t="s">
        <v>1689</v>
      </c>
    </row>
    <row r="310" spans="1:30" ht="14.25" hidden="1">
      <c r="A310" s="14" t="s">
        <v>52</v>
      </c>
      <c r="B310" s="14" t="s">
        <v>87</v>
      </c>
      <c r="C310" s="14" t="s">
        <v>74</v>
      </c>
      <c r="D310" s="14" t="s">
        <v>246</v>
      </c>
      <c r="E310" s="14"/>
      <c r="F310" s="14" t="s">
        <v>2408</v>
      </c>
      <c r="G310" s="14" t="s">
        <v>248</v>
      </c>
      <c r="H310" s="14" t="s">
        <v>79</v>
      </c>
      <c r="I310" s="14" t="s">
        <v>2446</v>
      </c>
      <c r="J310" s="14" t="s">
        <v>1264</v>
      </c>
      <c r="K310" s="14">
        <v>212947</v>
      </c>
      <c r="L310" s="14">
        <v>15</v>
      </c>
      <c r="M310" s="14">
        <v>12632</v>
      </c>
      <c r="N310" s="14">
        <v>200315</v>
      </c>
      <c r="O310" s="14" t="s">
        <v>97</v>
      </c>
      <c r="P310" s="14" t="s">
        <v>98</v>
      </c>
      <c r="Q310" s="14">
        <v>71.63</v>
      </c>
      <c r="R310" s="14">
        <v>1.03</v>
      </c>
      <c r="S310" s="14" t="s">
        <v>2447</v>
      </c>
      <c r="T310" s="14">
        <v>0.9</v>
      </c>
      <c r="U310" s="14" t="s">
        <v>1321</v>
      </c>
      <c r="V310" s="14" t="s">
        <v>1321</v>
      </c>
      <c r="W310" s="14">
        <v>0.85</v>
      </c>
      <c r="X310" s="14" t="s">
        <v>2448</v>
      </c>
      <c r="Y310" s="14">
        <v>0.59</v>
      </c>
      <c r="Z310" s="14">
        <v>4.63</v>
      </c>
      <c r="AA310" s="14" t="s">
        <v>2449</v>
      </c>
      <c r="AB310" s="14">
        <v>0.12</v>
      </c>
      <c r="AC310" s="14" t="s">
        <v>140</v>
      </c>
      <c r="AD310" s="14" t="s">
        <v>1689</v>
      </c>
    </row>
    <row r="311" spans="1:30" ht="14.25" hidden="1">
      <c r="A311" s="14" t="s">
        <v>52</v>
      </c>
      <c r="B311" s="14" t="s">
        <v>87</v>
      </c>
      <c r="C311" s="14" t="s">
        <v>74</v>
      </c>
      <c r="D311" s="14" t="s">
        <v>246</v>
      </c>
      <c r="E311" s="14"/>
      <c r="F311" s="14" t="s">
        <v>2412</v>
      </c>
      <c r="G311" s="14" t="s">
        <v>248</v>
      </c>
      <c r="H311" s="14" t="s">
        <v>79</v>
      </c>
      <c r="I311" s="14" t="s">
        <v>2450</v>
      </c>
      <c r="J311" s="14" t="s">
        <v>1264</v>
      </c>
      <c r="K311" s="14">
        <v>212774</v>
      </c>
      <c r="L311" s="14">
        <v>15</v>
      </c>
      <c r="M311" s="14">
        <v>10551</v>
      </c>
      <c r="N311" s="14">
        <v>202223</v>
      </c>
      <c r="O311" s="14" t="s">
        <v>97</v>
      </c>
      <c r="P311" s="14" t="s">
        <v>98</v>
      </c>
      <c r="Q311" s="14">
        <v>71.63</v>
      </c>
      <c r="R311" s="14">
        <v>0.88</v>
      </c>
      <c r="S311" s="14" t="s">
        <v>2451</v>
      </c>
      <c r="T311" s="14">
        <v>0.65</v>
      </c>
      <c r="U311" s="14" t="s">
        <v>1321</v>
      </c>
      <c r="V311" s="14" t="s">
        <v>1321</v>
      </c>
      <c r="W311" s="14">
        <v>0.86</v>
      </c>
      <c r="X311" s="14" t="s">
        <v>2452</v>
      </c>
      <c r="Y311" s="14">
        <v>0.64</v>
      </c>
      <c r="Z311" s="14">
        <v>5.98</v>
      </c>
      <c r="AA311" s="14" t="s">
        <v>2453</v>
      </c>
      <c r="AB311" s="14">
        <v>0.08</v>
      </c>
      <c r="AC311" s="14" t="s">
        <v>140</v>
      </c>
      <c r="AD311" s="14" t="s">
        <v>1689</v>
      </c>
    </row>
    <row r="312" spans="1:30" ht="14.25" hidden="1">
      <c r="A312" s="14" t="s">
        <v>52</v>
      </c>
      <c r="B312" s="14" t="s">
        <v>87</v>
      </c>
      <c r="C312" s="14" t="s">
        <v>74</v>
      </c>
      <c r="D312" s="14" t="s">
        <v>246</v>
      </c>
      <c r="E312" s="14"/>
      <c r="F312" s="14" t="s">
        <v>2416</v>
      </c>
      <c r="G312" s="14" t="s">
        <v>248</v>
      </c>
      <c r="H312" s="14" t="s">
        <v>79</v>
      </c>
      <c r="I312" s="14" t="s">
        <v>2454</v>
      </c>
      <c r="J312" s="14" t="s">
        <v>1264</v>
      </c>
      <c r="K312" s="14">
        <v>195091</v>
      </c>
      <c r="L312" s="14">
        <v>15</v>
      </c>
      <c r="M312" s="14">
        <v>23701</v>
      </c>
      <c r="N312" s="14">
        <v>171390</v>
      </c>
      <c r="O312" s="14" t="s">
        <v>97</v>
      </c>
      <c r="P312" s="14" t="s">
        <v>98</v>
      </c>
      <c r="Q312" s="14">
        <v>71.63</v>
      </c>
      <c r="R312" s="14">
        <v>1.05</v>
      </c>
      <c r="S312" s="14" t="s">
        <v>2455</v>
      </c>
      <c r="T312" s="14">
        <v>0.76</v>
      </c>
      <c r="U312" s="14" t="s">
        <v>1321</v>
      </c>
      <c r="V312" s="14" t="s">
        <v>1321</v>
      </c>
      <c r="W312" s="14">
        <v>1.17</v>
      </c>
      <c r="X312" s="14" t="s">
        <v>2456</v>
      </c>
      <c r="Y312" s="14">
        <v>0.49</v>
      </c>
      <c r="Z312" s="14">
        <v>3.56</v>
      </c>
      <c r="AA312" s="14" t="s">
        <v>2457</v>
      </c>
      <c r="AB312" s="14">
        <v>0.05</v>
      </c>
      <c r="AC312" s="14" t="s">
        <v>140</v>
      </c>
      <c r="AD312" s="14" t="s">
        <v>1689</v>
      </c>
    </row>
    <row r="313" spans="1:30" ht="14.25" hidden="1">
      <c r="A313" s="14" t="s">
        <v>52</v>
      </c>
      <c r="B313" s="14" t="s">
        <v>87</v>
      </c>
      <c r="C313" s="14" t="s">
        <v>74</v>
      </c>
      <c r="D313" s="14" t="s">
        <v>246</v>
      </c>
      <c r="E313" s="14"/>
      <c r="F313" s="14" t="s">
        <v>2420</v>
      </c>
      <c r="G313" s="14" t="s">
        <v>248</v>
      </c>
      <c r="H313" s="14" t="s">
        <v>79</v>
      </c>
      <c r="I313" s="14" t="s">
        <v>2458</v>
      </c>
      <c r="J313" s="14" t="s">
        <v>1264</v>
      </c>
      <c r="K313" s="14">
        <v>116926</v>
      </c>
      <c r="L313" s="14">
        <v>15</v>
      </c>
      <c r="M313" s="14">
        <v>22068</v>
      </c>
      <c r="N313" s="14">
        <v>94858</v>
      </c>
      <c r="O313" s="14" t="s">
        <v>97</v>
      </c>
      <c r="P313" s="14" t="s">
        <v>98</v>
      </c>
      <c r="Q313" s="14">
        <v>71.63</v>
      </c>
      <c r="R313" s="14">
        <v>1.22</v>
      </c>
      <c r="S313" s="14" t="s">
        <v>2459</v>
      </c>
      <c r="T313" s="14">
        <v>0.56999999999999995</v>
      </c>
      <c r="U313" s="14" t="s">
        <v>1321</v>
      </c>
      <c r="V313" s="14" t="s">
        <v>1321</v>
      </c>
      <c r="W313" s="14">
        <v>0.98</v>
      </c>
      <c r="X313" s="14" t="s">
        <v>2460</v>
      </c>
      <c r="Y313" s="14">
        <v>0.96</v>
      </c>
      <c r="Z313" s="14">
        <v>4.5599999999999996</v>
      </c>
      <c r="AA313" s="14" t="s">
        <v>2461</v>
      </c>
      <c r="AB313" s="14">
        <v>0.28999999999999998</v>
      </c>
      <c r="AC313" s="14" t="s">
        <v>140</v>
      </c>
      <c r="AD313" s="14" t="s">
        <v>1689</v>
      </c>
    </row>
    <row r="314" spans="1:30" ht="14.25" hidden="1">
      <c r="A314" s="14" t="s">
        <v>52</v>
      </c>
      <c r="B314" s="14" t="s">
        <v>87</v>
      </c>
      <c r="C314" s="14" t="s">
        <v>74</v>
      </c>
      <c r="D314" s="14" t="s">
        <v>622</v>
      </c>
      <c r="E314" s="14"/>
      <c r="F314" s="14" t="s">
        <v>2404</v>
      </c>
      <c r="G314" s="14" t="s">
        <v>215</v>
      </c>
      <c r="H314" s="14" t="s">
        <v>79</v>
      </c>
      <c r="I314" s="14" t="s">
        <v>2462</v>
      </c>
      <c r="J314" s="14" t="s">
        <v>1264</v>
      </c>
      <c r="K314" s="14">
        <v>218792</v>
      </c>
      <c r="L314" s="14">
        <v>27</v>
      </c>
      <c r="M314" s="14">
        <v>21012</v>
      </c>
      <c r="N314" s="14">
        <v>197780</v>
      </c>
      <c r="O314" s="14" t="s">
        <v>97</v>
      </c>
      <c r="P314" s="14" t="s">
        <v>98</v>
      </c>
      <c r="Q314" s="14">
        <v>101.62</v>
      </c>
      <c r="R314" s="14">
        <v>1.06</v>
      </c>
      <c r="S314" s="14" t="s">
        <v>2463</v>
      </c>
      <c r="T314" s="14">
        <v>0.65</v>
      </c>
      <c r="U314" s="14" t="s">
        <v>1321</v>
      </c>
      <c r="V314" s="14" t="s">
        <v>1321</v>
      </c>
      <c r="W314" s="14">
        <v>1.1000000000000001</v>
      </c>
      <c r="X314" s="14" t="s">
        <v>2464</v>
      </c>
      <c r="Y314" s="14">
        <v>0.57999999999999996</v>
      </c>
      <c r="Z314" s="14">
        <v>0.78</v>
      </c>
      <c r="AA314" s="14" t="s">
        <v>2465</v>
      </c>
      <c r="AB314" s="14">
        <v>0.78</v>
      </c>
      <c r="AC314" s="14" t="s">
        <v>140</v>
      </c>
      <c r="AD314" s="14" t="s">
        <v>1689</v>
      </c>
    </row>
    <row r="315" spans="1:30" ht="14.25" hidden="1">
      <c r="A315" s="14" t="s">
        <v>52</v>
      </c>
      <c r="B315" s="14" t="s">
        <v>87</v>
      </c>
      <c r="C315" s="14" t="s">
        <v>74</v>
      </c>
      <c r="D315" s="14" t="s">
        <v>622</v>
      </c>
      <c r="E315" s="14"/>
      <c r="F315" s="14" t="s">
        <v>2408</v>
      </c>
      <c r="G315" s="14" t="s">
        <v>215</v>
      </c>
      <c r="H315" s="14" t="s">
        <v>79</v>
      </c>
      <c r="I315" s="14" t="s">
        <v>2466</v>
      </c>
      <c r="J315" s="14" t="s">
        <v>1264</v>
      </c>
      <c r="K315" s="14">
        <v>212947</v>
      </c>
      <c r="L315" s="14">
        <v>27</v>
      </c>
      <c r="M315" s="14">
        <v>12632</v>
      </c>
      <c r="N315" s="14">
        <v>200315</v>
      </c>
      <c r="O315" s="14" t="s">
        <v>97</v>
      </c>
      <c r="P315" s="14" t="s">
        <v>98</v>
      </c>
      <c r="Q315" s="14">
        <v>101.62</v>
      </c>
      <c r="R315" s="14">
        <v>0.85</v>
      </c>
      <c r="S315" s="14" t="s">
        <v>2467</v>
      </c>
      <c r="T315" s="14">
        <v>0.25</v>
      </c>
      <c r="U315" s="14" t="s">
        <v>1321</v>
      </c>
      <c r="V315" s="14" t="s">
        <v>1321</v>
      </c>
      <c r="W315" s="14">
        <v>0.8</v>
      </c>
      <c r="X315" s="14" t="s">
        <v>2468</v>
      </c>
      <c r="Y315" s="14">
        <v>0.22</v>
      </c>
      <c r="Z315" s="14">
        <v>0.88</v>
      </c>
      <c r="AA315" s="14" t="s">
        <v>2469</v>
      </c>
      <c r="AB315" s="14">
        <v>0.9</v>
      </c>
      <c r="AC315" s="14" t="s">
        <v>140</v>
      </c>
      <c r="AD315" s="14" t="s">
        <v>1689</v>
      </c>
    </row>
    <row r="316" spans="1:30" ht="14.25" hidden="1">
      <c r="A316" s="14" t="s">
        <v>52</v>
      </c>
      <c r="B316" s="14" t="s">
        <v>87</v>
      </c>
      <c r="C316" s="14" t="s">
        <v>74</v>
      </c>
      <c r="D316" s="14" t="s">
        <v>622</v>
      </c>
      <c r="E316" s="14"/>
      <c r="F316" s="14" t="s">
        <v>2412</v>
      </c>
      <c r="G316" s="14" t="s">
        <v>215</v>
      </c>
      <c r="H316" s="14" t="s">
        <v>79</v>
      </c>
      <c r="I316" s="14" t="s">
        <v>2470</v>
      </c>
      <c r="J316" s="14" t="s">
        <v>1264</v>
      </c>
      <c r="K316" s="14">
        <v>212774</v>
      </c>
      <c r="L316" s="14">
        <v>27</v>
      </c>
      <c r="M316" s="14">
        <v>10551</v>
      </c>
      <c r="N316" s="14">
        <v>202223</v>
      </c>
      <c r="O316" s="14" t="s">
        <v>97</v>
      </c>
      <c r="P316" s="14" t="s">
        <v>98</v>
      </c>
      <c r="Q316" s="14">
        <v>101.62</v>
      </c>
      <c r="R316" s="14">
        <v>0.82</v>
      </c>
      <c r="S316" s="14" t="s">
        <v>2471</v>
      </c>
      <c r="T316" s="14">
        <v>0.16</v>
      </c>
      <c r="U316" s="14" t="s">
        <v>1321</v>
      </c>
      <c r="V316" s="14" t="s">
        <v>1321</v>
      </c>
      <c r="W316" s="14">
        <v>0.84</v>
      </c>
      <c r="X316" s="14" t="s">
        <v>2472</v>
      </c>
      <c r="Y316" s="14">
        <v>0.38</v>
      </c>
      <c r="Z316" s="14">
        <v>0.9</v>
      </c>
      <c r="AA316" s="14" t="s">
        <v>2473</v>
      </c>
      <c r="AB316" s="14">
        <v>0.92</v>
      </c>
      <c r="AC316" s="14" t="s">
        <v>140</v>
      </c>
      <c r="AD316" s="14" t="s">
        <v>1689</v>
      </c>
    </row>
    <row r="317" spans="1:30" ht="14.25" hidden="1">
      <c r="A317" s="14" t="s">
        <v>52</v>
      </c>
      <c r="B317" s="14" t="s">
        <v>87</v>
      </c>
      <c r="C317" s="14" t="s">
        <v>74</v>
      </c>
      <c r="D317" s="14" t="s">
        <v>622</v>
      </c>
      <c r="E317" s="14"/>
      <c r="F317" s="14" t="s">
        <v>2416</v>
      </c>
      <c r="G317" s="14" t="s">
        <v>215</v>
      </c>
      <c r="H317" s="14" t="s">
        <v>79</v>
      </c>
      <c r="I317" s="14" t="s">
        <v>2474</v>
      </c>
      <c r="J317" s="14" t="s">
        <v>1264</v>
      </c>
      <c r="K317" s="14">
        <v>195091</v>
      </c>
      <c r="L317" s="14">
        <v>27</v>
      </c>
      <c r="M317" s="14">
        <v>23701</v>
      </c>
      <c r="N317" s="14">
        <v>171390</v>
      </c>
      <c r="O317" s="14" t="s">
        <v>97</v>
      </c>
      <c r="P317" s="14" t="s">
        <v>98</v>
      </c>
      <c r="Q317" s="14">
        <v>101.62</v>
      </c>
      <c r="R317" s="14">
        <v>1.1399999999999999</v>
      </c>
      <c r="S317" s="14" t="s">
        <v>2475</v>
      </c>
      <c r="T317" s="14">
        <v>0.21</v>
      </c>
      <c r="U317" s="14" t="s">
        <v>1321</v>
      </c>
      <c r="V317" s="14" t="s">
        <v>1321</v>
      </c>
      <c r="W317" s="14">
        <v>1.26</v>
      </c>
      <c r="X317" s="14" t="s">
        <v>2476</v>
      </c>
      <c r="Y317" s="14">
        <v>0.12</v>
      </c>
      <c r="Z317" s="14">
        <v>0.79</v>
      </c>
      <c r="AA317" s="14" t="s">
        <v>2477</v>
      </c>
      <c r="AB317" s="14">
        <v>0.75</v>
      </c>
      <c r="AC317" s="14" t="s">
        <v>140</v>
      </c>
      <c r="AD317" s="14" t="s">
        <v>1689</v>
      </c>
    </row>
    <row r="318" spans="1:30" ht="14.25" hidden="1">
      <c r="A318" s="14" t="s">
        <v>52</v>
      </c>
      <c r="B318" s="14" t="s">
        <v>87</v>
      </c>
      <c r="C318" s="14" t="s">
        <v>74</v>
      </c>
      <c r="D318" s="14" t="s">
        <v>622</v>
      </c>
      <c r="E318" s="14"/>
      <c r="F318" s="14" t="s">
        <v>2420</v>
      </c>
      <c r="G318" s="14" t="s">
        <v>215</v>
      </c>
      <c r="H318" s="14" t="s">
        <v>79</v>
      </c>
      <c r="I318" s="14" t="s">
        <v>2478</v>
      </c>
      <c r="J318" s="14" t="s">
        <v>1264</v>
      </c>
      <c r="K318" s="14">
        <v>116926</v>
      </c>
      <c r="L318" s="14">
        <v>27</v>
      </c>
      <c r="M318" s="14">
        <v>22068</v>
      </c>
      <c r="N318" s="14">
        <v>94858</v>
      </c>
      <c r="O318" s="14" t="s">
        <v>97</v>
      </c>
      <c r="P318" s="14" t="s">
        <v>98</v>
      </c>
      <c r="Q318" s="14">
        <v>101.62</v>
      </c>
      <c r="R318" s="14">
        <v>0.92</v>
      </c>
      <c r="S318" s="14" t="s">
        <v>2479</v>
      </c>
      <c r="T318" s="14">
        <v>0.68</v>
      </c>
      <c r="U318" s="14" t="s">
        <v>1321</v>
      </c>
      <c r="V318" s="14" t="s">
        <v>1321</v>
      </c>
      <c r="W318" s="14">
        <v>0.98</v>
      </c>
      <c r="X318" s="14" t="s">
        <v>2480</v>
      </c>
      <c r="Y318" s="14">
        <v>0.94</v>
      </c>
      <c r="Z318" s="14">
        <v>0.03</v>
      </c>
      <c r="AA318" s="14" t="s">
        <v>2481</v>
      </c>
      <c r="AB318" s="14">
        <v>0.01</v>
      </c>
      <c r="AC318" s="14" t="s">
        <v>140</v>
      </c>
      <c r="AD318" s="14" t="s">
        <v>1689</v>
      </c>
    </row>
    <row r="319" spans="1:30" ht="14.25" hidden="1">
      <c r="A319" s="14" t="s">
        <v>52</v>
      </c>
      <c r="B319" s="14" t="s">
        <v>87</v>
      </c>
      <c r="C319" s="14" t="s">
        <v>74</v>
      </c>
      <c r="D319" s="14" t="s">
        <v>246</v>
      </c>
      <c r="E319" s="14"/>
      <c r="F319" s="14" t="s">
        <v>2404</v>
      </c>
      <c r="G319" s="14" t="s">
        <v>248</v>
      </c>
      <c r="H319" s="14" t="s">
        <v>79</v>
      </c>
      <c r="I319" s="14" t="s">
        <v>2482</v>
      </c>
      <c r="J319" s="14" t="s">
        <v>2483</v>
      </c>
      <c r="K319" s="14">
        <v>184305</v>
      </c>
      <c r="L319" s="14">
        <v>15</v>
      </c>
      <c r="M319" s="14">
        <v>60801</v>
      </c>
      <c r="N319" s="14">
        <v>123504</v>
      </c>
      <c r="O319" s="14" t="s">
        <v>97</v>
      </c>
      <c r="P319" s="14" t="s">
        <v>98</v>
      </c>
      <c r="Q319" s="14">
        <v>71.63</v>
      </c>
      <c r="R319" s="14">
        <v>1.0900000000000001</v>
      </c>
      <c r="S319" s="14" t="s">
        <v>2484</v>
      </c>
      <c r="T319" s="14">
        <v>0.57999999999999996</v>
      </c>
      <c r="U319" s="14" t="s">
        <v>1321</v>
      </c>
      <c r="V319" s="14" t="s">
        <v>1321</v>
      </c>
      <c r="W319" s="14">
        <v>1.41</v>
      </c>
      <c r="X319" s="14" t="s">
        <v>2485</v>
      </c>
      <c r="Y319" s="14">
        <v>0.08</v>
      </c>
      <c r="Z319" s="14">
        <v>0.81</v>
      </c>
      <c r="AA319" s="14" t="s">
        <v>2486</v>
      </c>
      <c r="AB319" s="14">
        <v>0.75</v>
      </c>
      <c r="AC319" s="14" t="s">
        <v>140</v>
      </c>
      <c r="AD319" s="14" t="s">
        <v>1689</v>
      </c>
    </row>
    <row r="320" spans="1:30" ht="14.25" hidden="1">
      <c r="A320" s="14" t="s">
        <v>52</v>
      </c>
      <c r="B320" s="14" t="s">
        <v>87</v>
      </c>
      <c r="C320" s="14" t="s">
        <v>74</v>
      </c>
      <c r="D320" s="14" t="s">
        <v>246</v>
      </c>
      <c r="E320" s="14"/>
      <c r="F320" s="14" t="s">
        <v>2408</v>
      </c>
      <c r="G320" s="14" t="s">
        <v>248</v>
      </c>
      <c r="H320" s="14" t="s">
        <v>79</v>
      </c>
      <c r="I320" s="14" t="s">
        <v>2487</v>
      </c>
      <c r="J320" s="14" t="s">
        <v>2488</v>
      </c>
      <c r="K320" s="14">
        <v>446696</v>
      </c>
      <c r="L320" s="14">
        <v>15</v>
      </c>
      <c r="M320" s="14">
        <v>40585</v>
      </c>
      <c r="N320" s="14">
        <v>406111</v>
      </c>
      <c r="O320" s="14" t="s">
        <v>97</v>
      </c>
      <c r="P320" s="14" t="s">
        <v>98</v>
      </c>
      <c r="Q320" s="14">
        <v>71.63</v>
      </c>
      <c r="R320" s="14">
        <v>0.99</v>
      </c>
      <c r="S320" s="14" t="s">
        <v>2489</v>
      </c>
      <c r="T320" s="14">
        <v>0.96</v>
      </c>
      <c r="U320" s="14" t="s">
        <v>1321</v>
      </c>
      <c r="V320" s="14" t="s">
        <v>1321</v>
      </c>
      <c r="W320" s="14">
        <v>0.74</v>
      </c>
      <c r="X320" s="14" t="s">
        <v>2490</v>
      </c>
      <c r="Y320" s="14">
        <v>0.11</v>
      </c>
      <c r="Z320" s="14">
        <v>0.63</v>
      </c>
      <c r="AA320" s="14" t="s">
        <v>2491</v>
      </c>
      <c r="AB320" s="14">
        <v>0.46</v>
      </c>
      <c r="AC320" s="14" t="s">
        <v>140</v>
      </c>
      <c r="AD320" s="14" t="s">
        <v>1689</v>
      </c>
    </row>
    <row r="321" spans="1:30" ht="14.25" hidden="1">
      <c r="A321" s="14" t="s">
        <v>52</v>
      </c>
      <c r="B321" s="14" t="s">
        <v>87</v>
      </c>
      <c r="C321" s="14" t="s">
        <v>74</v>
      </c>
      <c r="D321" s="14" t="s">
        <v>246</v>
      </c>
      <c r="E321" s="14"/>
      <c r="F321" s="14" t="s">
        <v>2412</v>
      </c>
      <c r="G321" s="14" t="s">
        <v>248</v>
      </c>
      <c r="H321" s="14" t="s">
        <v>79</v>
      </c>
      <c r="I321" s="14" t="s">
        <v>2492</v>
      </c>
      <c r="J321" s="14" t="s">
        <v>2488</v>
      </c>
      <c r="K321" s="14">
        <v>440328</v>
      </c>
      <c r="L321" s="14">
        <v>15</v>
      </c>
      <c r="M321" s="14">
        <v>34217</v>
      </c>
      <c r="N321" s="14">
        <v>406111</v>
      </c>
      <c r="O321" s="14" t="s">
        <v>97</v>
      </c>
      <c r="P321" s="14" t="s">
        <v>98</v>
      </c>
      <c r="Q321" s="14">
        <v>71.63</v>
      </c>
      <c r="R321" s="14">
        <v>0.96</v>
      </c>
      <c r="S321" s="14" t="s">
        <v>2493</v>
      </c>
      <c r="T321" s="14">
        <v>0.82</v>
      </c>
      <c r="U321" s="14" t="s">
        <v>1321</v>
      </c>
      <c r="V321" s="14" t="s">
        <v>1321</v>
      </c>
      <c r="W321" s="14">
        <v>0.75</v>
      </c>
      <c r="X321" s="14" t="s">
        <v>2494</v>
      </c>
      <c r="Y321" s="14">
        <v>0.18</v>
      </c>
      <c r="Z321" s="14">
        <v>0.38</v>
      </c>
      <c r="AA321" s="14" t="s">
        <v>2495</v>
      </c>
      <c r="AB321" s="14">
        <v>0.16</v>
      </c>
      <c r="AC321" s="14" t="s">
        <v>140</v>
      </c>
      <c r="AD321" s="14" t="s">
        <v>1689</v>
      </c>
    </row>
    <row r="322" spans="1:30" ht="14.25" hidden="1">
      <c r="A322" s="14" t="s">
        <v>52</v>
      </c>
      <c r="B322" s="14" t="s">
        <v>87</v>
      </c>
      <c r="C322" s="14" t="s">
        <v>74</v>
      </c>
      <c r="D322" s="14" t="s">
        <v>246</v>
      </c>
      <c r="E322" s="14"/>
      <c r="F322" s="14" t="s">
        <v>2416</v>
      </c>
      <c r="G322" s="14" t="s">
        <v>248</v>
      </c>
      <c r="H322" s="14" t="s">
        <v>79</v>
      </c>
      <c r="I322" s="14" t="s">
        <v>2496</v>
      </c>
      <c r="J322" s="14" t="s">
        <v>2497</v>
      </c>
      <c r="K322" s="14">
        <v>977323</v>
      </c>
      <c r="L322" s="14">
        <v>15</v>
      </c>
      <c r="M322" s="14">
        <v>47309</v>
      </c>
      <c r="N322" s="14">
        <v>930014</v>
      </c>
      <c r="O322" s="14" t="s">
        <v>97</v>
      </c>
      <c r="P322" s="14" t="s">
        <v>98</v>
      </c>
      <c r="Q322" s="14">
        <v>71.63</v>
      </c>
      <c r="R322" s="14">
        <v>1.38</v>
      </c>
      <c r="S322" s="14" t="s">
        <v>2498</v>
      </c>
      <c r="T322" s="14">
        <v>0.02</v>
      </c>
      <c r="U322" s="14" t="s">
        <v>1321</v>
      </c>
      <c r="V322" s="14" t="s">
        <v>1321</v>
      </c>
      <c r="W322" s="14">
        <v>1.62</v>
      </c>
      <c r="X322" s="14" t="s">
        <v>2499</v>
      </c>
      <c r="Y322" s="14">
        <v>0.01</v>
      </c>
      <c r="Z322" s="14">
        <v>1.45</v>
      </c>
      <c r="AA322" s="14" t="s">
        <v>2500</v>
      </c>
      <c r="AB322" s="14">
        <v>0.49</v>
      </c>
      <c r="AC322" s="14" t="s">
        <v>140</v>
      </c>
      <c r="AD322" s="14" t="s">
        <v>1689</v>
      </c>
    </row>
    <row r="323" spans="1:30" ht="14.25" hidden="1">
      <c r="A323" s="14" t="s">
        <v>52</v>
      </c>
      <c r="B323" s="14" t="s">
        <v>87</v>
      </c>
      <c r="C323" s="14" t="s">
        <v>74</v>
      </c>
      <c r="D323" s="14" t="s">
        <v>246</v>
      </c>
      <c r="E323" s="14"/>
      <c r="F323" s="14" t="s">
        <v>2420</v>
      </c>
      <c r="G323" s="14" t="s">
        <v>248</v>
      </c>
      <c r="H323" s="14" t="s">
        <v>79</v>
      </c>
      <c r="I323" s="14" t="s">
        <v>2501</v>
      </c>
      <c r="J323" s="14" t="s">
        <v>2502</v>
      </c>
      <c r="K323" s="14">
        <v>1030836</v>
      </c>
      <c r="L323" s="14">
        <v>15</v>
      </c>
      <c r="M323" s="14">
        <v>60662</v>
      </c>
      <c r="N323" s="14">
        <v>970174</v>
      </c>
      <c r="O323" s="14" t="s">
        <v>97</v>
      </c>
      <c r="P323" s="14" t="s">
        <v>98</v>
      </c>
      <c r="Q323" s="14">
        <v>71.63</v>
      </c>
      <c r="R323" s="14">
        <v>0.98</v>
      </c>
      <c r="S323" s="14" t="s">
        <v>2503</v>
      </c>
      <c r="T323" s="14">
        <v>0.84</v>
      </c>
      <c r="U323" s="14" t="s">
        <v>1321</v>
      </c>
      <c r="V323" s="14" t="s">
        <v>1321</v>
      </c>
      <c r="W323" s="14">
        <v>0.87</v>
      </c>
      <c r="X323" s="14" t="s">
        <v>2504</v>
      </c>
      <c r="Y323" s="14">
        <v>0.28999999999999998</v>
      </c>
      <c r="Z323" s="14">
        <v>0.83</v>
      </c>
      <c r="AA323" s="14" t="s">
        <v>2505</v>
      </c>
      <c r="AB323" s="14">
        <v>0.67</v>
      </c>
      <c r="AC323" s="14" t="s">
        <v>140</v>
      </c>
      <c r="AD323" s="14" t="s">
        <v>1689</v>
      </c>
    </row>
    <row r="324" spans="1:30" ht="14.25" hidden="1">
      <c r="A324" s="14" t="s">
        <v>52</v>
      </c>
      <c r="B324" s="14" t="s">
        <v>87</v>
      </c>
      <c r="C324" s="14" t="s">
        <v>74</v>
      </c>
      <c r="D324" s="14" t="s">
        <v>622</v>
      </c>
      <c r="E324" s="14"/>
      <c r="F324" s="14" t="s">
        <v>2404</v>
      </c>
      <c r="G324" s="14" t="s">
        <v>215</v>
      </c>
      <c r="H324" s="14" t="s">
        <v>79</v>
      </c>
      <c r="I324" s="14" t="s">
        <v>2506</v>
      </c>
      <c r="J324" s="14" t="s">
        <v>2483</v>
      </c>
      <c r="K324" s="14">
        <v>184305</v>
      </c>
      <c r="L324" s="14">
        <v>28</v>
      </c>
      <c r="M324" s="14">
        <v>60801</v>
      </c>
      <c r="N324" s="14">
        <v>123504</v>
      </c>
      <c r="O324" s="14" t="s">
        <v>97</v>
      </c>
      <c r="P324" s="14" t="s">
        <v>98</v>
      </c>
      <c r="Q324" s="14">
        <v>101.43</v>
      </c>
      <c r="R324" s="14">
        <v>0.88</v>
      </c>
      <c r="S324" s="14" t="s">
        <v>2507</v>
      </c>
      <c r="T324" s="14">
        <v>0.21</v>
      </c>
      <c r="U324" s="14" t="s">
        <v>1321</v>
      </c>
      <c r="V324" s="14" t="s">
        <v>1321</v>
      </c>
      <c r="W324" s="14">
        <v>0.82</v>
      </c>
      <c r="X324" s="14" t="s">
        <v>2508</v>
      </c>
      <c r="Y324" s="14">
        <v>0.13</v>
      </c>
      <c r="Z324" s="14">
        <v>0.83</v>
      </c>
      <c r="AA324" s="14" t="s">
        <v>2509</v>
      </c>
      <c r="AB324" s="14">
        <v>0.8</v>
      </c>
      <c r="AC324" s="14" t="s">
        <v>140</v>
      </c>
      <c r="AD324" s="14" t="s">
        <v>1689</v>
      </c>
    </row>
    <row r="325" spans="1:30" ht="14.25" hidden="1">
      <c r="A325" s="14" t="s">
        <v>52</v>
      </c>
      <c r="B325" s="14" t="s">
        <v>87</v>
      </c>
      <c r="C325" s="14" t="s">
        <v>74</v>
      </c>
      <c r="D325" s="14" t="s">
        <v>622</v>
      </c>
      <c r="E325" s="14"/>
      <c r="F325" s="14" t="s">
        <v>2408</v>
      </c>
      <c r="G325" s="14" t="s">
        <v>215</v>
      </c>
      <c r="H325" s="14" t="s">
        <v>79</v>
      </c>
      <c r="I325" s="14" t="s">
        <v>2510</v>
      </c>
      <c r="J325" s="14" t="s">
        <v>2488</v>
      </c>
      <c r="K325" s="14">
        <v>446696</v>
      </c>
      <c r="L325" s="14">
        <v>28</v>
      </c>
      <c r="M325" s="14">
        <v>40585</v>
      </c>
      <c r="N325" s="14">
        <v>406111</v>
      </c>
      <c r="O325" s="14" t="s">
        <v>97</v>
      </c>
      <c r="P325" s="14" t="s">
        <v>98</v>
      </c>
      <c r="Q325" s="14">
        <v>101.43</v>
      </c>
      <c r="R325" s="14">
        <v>0.91</v>
      </c>
      <c r="S325" s="14" t="s">
        <v>2511</v>
      </c>
      <c r="T325" s="14">
        <v>0.25</v>
      </c>
      <c r="U325" s="14" t="s">
        <v>1321</v>
      </c>
      <c r="V325" s="14" t="s">
        <v>1321</v>
      </c>
      <c r="W325" s="14">
        <v>0.91</v>
      </c>
      <c r="X325" s="14" t="s">
        <v>2512</v>
      </c>
      <c r="Y325" s="14">
        <v>0.4</v>
      </c>
      <c r="Z325" s="14">
        <v>0.61</v>
      </c>
      <c r="AA325" s="14" t="s">
        <v>2513</v>
      </c>
      <c r="AB325" s="14">
        <v>0.38</v>
      </c>
      <c r="AC325" s="14" t="s">
        <v>140</v>
      </c>
      <c r="AD325" s="14" t="s">
        <v>1689</v>
      </c>
    </row>
    <row r="326" spans="1:30" ht="14.25" hidden="1">
      <c r="A326" s="14" t="s">
        <v>52</v>
      </c>
      <c r="B326" s="14" t="s">
        <v>87</v>
      </c>
      <c r="C326" s="14" t="s">
        <v>74</v>
      </c>
      <c r="D326" s="14" t="s">
        <v>622</v>
      </c>
      <c r="E326" s="14"/>
      <c r="F326" s="14" t="s">
        <v>2412</v>
      </c>
      <c r="G326" s="14" t="s">
        <v>215</v>
      </c>
      <c r="H326" s="14" t="s">
        <v>79</v>
      </c>
      <c r="I326" s="14" t="s">
        <v>2514</v>
      </c>
      <c r="J326" s="14" t="s">
        <v>2488</v>
      </c>
      <c r="K326" s="14">
        <v>440328</v>
      </c>
      <c r="L326" s="14">
        <v>28</v>
      </c>
      <c r="M326" s="14">
        <v>34217</v>
      </c>
      <c r="N326" s="14">
        <v>406111</v>
      </c>
      <c r="O326" s="14" t="s">
        <v>97</v>
      </c>
      <c r="P326" s="14" t="s">
        <v>98</v>
      </c>
      <c r="Q326" s="14">
        <v>101.43</v>
      </c>
      <c r="R326" s="14">
        <v>0.94</v>
      </c>
      <c r="S326" s="14" t="s">
        <v>2515</v>
      </c>
      <c r="T326" s="14">
        <v>0.51</v>
      </c>
      <c r="U326" s="14" t="s">
        <v>1321</v>
      </c>
      <c r="V326" s="14" t="s">
        <v>1321</v>
      </c>
      <c r="W326" s="14">
        <v>1.1200000000000001</v>
      </c>
      <c r="X326" s="14" t="s">
        <v>2516</v>
      </c>
      <c r="Y326" s="14">
        <v>0.37</v>
      </c>
      <c r="Z326" s="14">
        <v>0.67</v>
      </c>
      <c r="AA326" s="14" t="s">
        <v>2517</v>
      </c>
      <c r="AB326" s="14">
        <v>0.52</v>
      </c>
      <c r="AC326" s="14" t="s">
        <v>140</v>
      </c>
      <c r="AD326" s="14" t="s">
        <v>1689</v>
      </c>
    </row>
    <row r="327" spans="1:30" ht="14.25" hidden="1">
      <c r="A327" s="14" t="s">
        <v>52</v>
      </c>
      <c r="B327" s="14" t="s">
        <v>87</v>
      </c>
      <c r="C327" s="14" t="s">
        <v>74</v>
      </c>
      <c r="D327" s="14" t="s">
        <v>622</v>
      </c>
      <c r="E327" s="14"/>
      <c r="F327" s="14" t="s">
        <v>2416</v>
      </c>
      <c r="G327" s="14" t="s">
        <v>215</v>
      </c>
      <c r="H327" s="14" t="s">
        <v>79</v>
      </c>
      <c r="I327" s="14" t="s">
        <v>2518</v>
      </c>
      <c r="J327" s="14" t="s">
        <v>2497</v>
      </c>
      <c r="K327" s="14">
        <v>977323</v>
      </c>
      <c r="L327" s="14">
        <v>28</v>
      </c>
      <c r="M327" s="14">
        <v>47309</v>
      </c>
      <c r="N327" s="14">
        <v>930014</v>
      </c>
      <c r="O327" s="14" t="s">
        <v>97</v>
      </c>
      <c r="P327" s="14" t="s">
        <v>98</v>
      </c>
      <c r="Q327" s="14">
        <v>101.43</v>
      </c>
      <c r="R327" s="14">
        <v>1.0900000000000001</v>
      </c>
      <c r="S327" s="14" t="s">
        <v>2519</v>
      </c>
      <c r="T327" s="14">
        <v>0.25</v>
      </c>
      <c r="U327" s="14" t="s">
        <v>1321</v>
      </c>
      <c r="V327" s="14" t="s">
        <v>1321</v>
      </c>
      <c r="W327" s="14">
        <v>1.1000000000000001</v>
      </c>
      <c r="X327" s="14" t="s">
        <v>2520</v>
      </c>
      <c r="Y327" s="14">
        <v>0.34</v>
      </c>
      <c r="Z327" s="14">
        <v>0.79</v>
      </c>
      <c r="AA327" s="14" t="s">
        <v>2521</v>
      </c>
      <c r="AB327" s="14">
        <v>0.65</v>
      </c>
      <c r="AC327" s="14" t="s">
        <v>140</v>
      </c>
      <c r="AD327" s="14" t="s">
        <v>1689</v>
      </c>
    </row>
    <row r="328" spans="1:30" ht="14.25" hidden="1">
      <c r="A328" s="14" t="s">
        <v>52</v>
      </c>
      <c r="B328" s="14" t="s">
        <v>87</v>
      </c>
      <c r="C328" s="14" t="s">
        <v>74</v>
      </c>
      <c r="D328" s="14" t="s">
        <v>622</v>
      </c>
      <c r="E328" s="14"/>
      <c r="F328" s="14" t="s">
        <v>2420</v>
      </c>
      <c r="G328" s="14" t="s">
        <v>215</v>
      </c>
      <c r="H328" s="14" t="s">
        <v>79</v>
      </c>
      <c r="I328" s="14" t="s">
        <v>2522</v>
      </c>
      <c r="J328" s="14" t="s">
        <v>2523</v>
      </c>
      <c r="K328" s="14">
        <v>1030836</v>
      </c>
      <c r="L328" s="14">
        <v>28</v>
      </c>
      <c r="M328" s="14">
        <v>60662</v>
      </c>
      <c r="N328" s="14">
        <v>970174</v>
      </c>
      <c r="O328" s="14" t="s">
        <v>97</v>
      </c>
      <c r="P328" s="14" t="s">
        <v>98</v>
      </c>
      <c r="Q328" s="14">
        <v>101.43</v>
      </c>
      <c r="R328" s="14">
        <v>1.03</v>
      </c>
      <c r="S328" s="14" t="s">
        <v>2524</v>
      </c>
      <c r="T328" s="14">
        <v>0.78</v>
      </c>
      <c r="U328" s="14" t="s">
        <v>1321</v>
      </c>
      <c r="V328" s="14" t="s">
        <v>1321</v>
      </c>
      <c r="W328" s="14">
        <v>1.26</v>
      </c>
      <c r="X328" s="14" t="s">
        <v>2525</v>
      </c>
      <c r="Y328" s="14">
        <v>0.04</v>
      </c>
      <c r="Z328" s="14">
        <v>0.76</v>
      </c>
      <c r="AA328" s="14" t="s">
        <v>2526</v>
      </c>
      <c r="AB328" s="14">
        <v>0.72</v>
      </c>
      <c r="AC328" s="14" t="s">
        <v>140</v>
      </c>
      <c r="AD328" s="14" t="s">
        <v>1689</v>
      </c>
    </row>
    <row r="329" spans="1:30" ht="14.25" hidden="1">
      <c r="A329" s="38" t="s">
        <v>70</v>
      </c>
      <c r="B329" s="82" t="s">
        <v>177</v>
      </c>
      <c r="C329" s="41" t="s">
        <v>74</v>
      </c>
      <c r="D329" s="82" t="s">
        <v>246</v>
      </c>
      <c r="E329" s="41"/>
      <c r="F329" s="41" t="s">
        <v>2056</v>
      </c>
      <c r="G329" s="41" t="s">
        <v>248</v>
      </c>
      <c r="H329" s="41" t="s">
        <v>2058</v>
      </c>
      <c r="I329" s="41" t="s">
        <v>133</v>
      </c>
      <c r="J329" s="41" t="s">
        <v>2059</v>
      </c>
      <c r="K329" s="41" t="s">
        <v>79</v>
      </c>
      <c r="L329" s="41" t="s">
        <v>79</v>
      </c>
      <c r="M329" s="130">
        <v>3751</v>
      </c>
      <c r="N329" s="130">
        <v>372016</v>
      </c>
      <c r="O329" s="41" t="s">
        <v>79</v>
      </c>
      <c r="P329" s="41" t="s">
        <v>98</v>
      </c>
      <c r="Q329" s="41" t="s">
        <v>79</v>
      </c>
      <c r="R329" s="130">
        <v>1.0009999999999999</v>
      </c>
      <c r="S329" s="41" t="s">
        <v>2527</v>
      </c>
      <c r="T329" s="41">
        <v>0.82899999999999996</v>
      </c>
      <c r="U329" s="41" t="s">
        <v>79</v>
      </c>
      <c r="V329" s="41" t="s">
        <v>79</v>
      </c>
      <c r="W329" s="41" t="s">
        <v>79</v>
      </c>
      <c r="X329" s="41" t="s">
        <v>79</v>
      </c>
      <c r="Y329" s="41" t="s">
        <v>79</v>
      </c>
      <c r="Z329" s="41" t="s">
        <v>79</v>
      </c>
      <c r="AA329" s="41" t="s">
        <v>79</v>
      </c>
      <c r="AB329" s="41" t="s">
        <v>79</v>
      </c>
      <c r="AC329" s="41" t="s">
        <v>109</v>
      </c>
      <c r="AD329" s="41" t="s">
        <v>204</v>
      </c>
    </row>
    <row r="330" spans="1:30" ht="14.25" hidden="1">
      <c r="A330" s="38" t="s">
        <v>70</v>
      </c>
      <c r="B330" s="82" t="s">
        <v>177</v>
      </c>
      <c r="C330" s="41" t="s">
        <v>74</v>
      </c>
      <c r="D330" s="82" t="s">
        <v>459</v>
      </c>
      <c r="E330" s="41"/>
      <c r="F330" s="41" t="s">
        <v>2056</v>
      </c>
      <c r="G330" s="41" t="s">
        <v>2528</v>
      </c>
      <c r="H330" s="41" t="s">
        <v>2058</v>
      </c>
      <c r="I330" s="41" t="s">
        <v>133</v>
      </c>
      <c r="J330" s="41" t="s">
        <v>2059</v>
      </c>
      <c r="K330" s="41" t="s">
        <v>79</v>
      </c>
      <c r="L330" s="41" t="s">
        <v>79</v>
      </c>
      <c r="M330" s="130">
        <v>3751</v>
      </c>
      <c r="N330" s="130">
        <v>372016</v>
      </c>
      <c r="O330" s="41" t="s">
        <v>79</v>
      </c>
      <c r="P330" s="41" t="s">
        <v>98</v>
      </c>
      <c r="Q330" s="41" t="s">
        <v>79</v>
      </c>
      <c r="R330" s="41">
        <v>0.996</v>
      </c>
      <c r="S330" s="41" t="s">
        <v>2529</v>
      </c>
      <c r="T330" s="41">
        <v>0.53500000000000003</v>
      </c>
      <c r="U330" s="41" t="s">
        <v>79</v>
      </c>
      <c r="V330" s="41" t="s">
        <v>79</v>
      </c>
      <c r="W330" s="41" t="s">
        <v>79</v>
      </c>
      <c r="X330" s="41" t="s">
        <v>79</v>
      </c>
      <c r="Y330" s="41" t="s">
        <v>79</v>
      </c>
      <c r="Z330" s="41" t="s">
        <v>79</v>
      </c>
      <c r="AA330" s="41" t="s">
        <v>79</v>
      </c>
      <c r="AB330" s="41" t="s">
        <v>79</v>
      </c>
      <c r="AC330" s="41" t="s">
        <v>109</v>
      </c>
      <c r="AD330" s="41" t="s">
        <v>204</v>
      </c>
    </row>
    <row r="331" spans="1:30" ht="14.25" hidden="1">
      <c r="A331" s="38" t="s">
        <v>70</v>
      </c>
      <c r="B331" s="82" t="s">
        <v>177</v>
      </c>
      <c r="C331" s="41" t="s">
        <v>74</v>
      </c>
      <c r="D331" s="82" t="s">
        <v>75</v>
      </c>
      <c r="E331" s="41"/>
      <c r="F331" s="41" t="s">
        <v>2056</v>
      </c>
      <c r="G331" s="41" t="s">
        <v>2057</v>
      </c>
      <c r="H331" s="41" t="s">
        <v>2058</v>
      </c>
      <c r="I331" s="41" t="s">
        <v>133</v>
      </c>
      <c r="J331" s="41" t="s">
        <v>2059</v>
      </c>
      <c r="K331" s="41" t="s">
        <v>79</v>
      </c>
      <c r="L331" s="41" t="s">
        <v>79</v>
      </c>
      <c r="M331" s="130">
        <v>3751</v>
      </c>
      <c r="N331" s="130">
        <v>372016</v>
      </c>
      <c r="O331" s="41" t="s">
        <v>79</v>
      </c>
      <c r="P331" s="41" t="s">
        <v>98</v>
      </c>
      <c r="Q331" s="41" t="s">
        <v>79</v>
      </c>
      <c r="R331" s="130">
        <v>1.004</v>
      </c>
      <c r="S331" s="41" t="s">
        <v>2060</v>
      </c>
      <c r="T331" s="41">
        <v>0.3</v>
      </c>
      <c r="U331" s="41" t="s">
        <v>79</v>
      </c>
      <c r="V331" s="41" t="s">
        <v>79</v>
      </c>
      <c r="W331" s="41" t="s">
        <v>79</v>
      </c>
      <c r="X331" s="41" t="s">
        <v>79</v>
      </c>
      <c r="Y331" s="41" t="s">
        <v>79</v>
      </c>
      <c r="Z331" s="41" t="s">
        <v>79</v>
      </c>
      <c r="AA331" s="41" t="s">
        <v>79</v>
      </c>
      <c r="AB331" s="41" t="s">
        <v>79</v>
      </c>
      <c r="AC331" s="41" t="s">
        <v>109</v>
      </c>
      <c r="AD331" s="41" t="s">
        <v>204</v>
      </c>
    </row>
    <row r="332" spans="1:30" ht="14.25" hidden="1">
      <c r="A332" s="38" t="s">
        <v>70</v>
      </c>
      <c r="B332" s="82" t="s">
        <v>177</v>
      </c>
      <c r="C332" s="41" t="s">
        <v>74</v>
      </c>
      <c r="D332" s="82" t="s">
        <v>164</v>
      </c>
      <c r="E332" s="41"/>
      <c r="F332" s="41" t="s">
        <v>2056</v>
      </c>
      <c r="G332" s="41" t="s">
        <v>2530</v>
      </c>
      <c r="H332" s="41" t="s">
        <v>2058</v>
      </c>
      <c r="I332" s="41" t="s">
        <v>133</v>
      </c>
      <c r="J332" s="41" t="s">
        <v>2059</v>
      </c>
      <c r="K332" s="41" t="s">
        <v>79</v>
      </c>
      <c r="L332" s="41" t="s">
        <v>79</v>
      </c>
      <c r="M332" s="130">
        <v>3751</v>
      </c>
      <c r="N332" s="130">
        <v>372016</v>
      </c>
      <c r="O332" s="41" t="s">
        <v>79</v>
      </c>
      <c r="P332" s="41" t="s">
        <v>98</v>
      </c>
      <c r="Q332" s="41" t="s">
        <v>79</v>
      </c>
      <c r="R332" s="130">
        <v>1.0049999999999999</v>
      </c>
      <c r="S332" s="41" t="s">
        <v>2531</v>
      </c>
      <c r="T332" s="41">
        <v>0.13</v>
      </c>
      <c r="U332" s="41" t="s">
        <v>79</v>
      </c>
      <c r="V332" s="41" t="s">
        <v>79</v>
      </c>
      <c r="W332" s="41" t="s">
        <v>79</v>
      </c>
      <c r="X332" s="41" t="s">
        <v>79</v>
      </c>
      <c r="Y332" s="41" t="s">
        <v>79</v>
      </c>
      <c r="Z332" s="41" t="s">
        <v>79</v>
      </c>
      <c r="AA332" s="41" t="s">
        <v>79</v>
      </c>
      <c r="AB332" s="41" t="s">
        <v>79</v>
      </c>
      <c r="AC332" s="41" t="s">
        <v>109</v>
      </c>
      <c r="AD332" s="41" t="s">
        <v>204</v>
      </c>
    </row>
    <row r="333" spans="1:30" ht="14.25" hidden="1">
      <c r="A333" s="38" t="s">
        <v>70</v>
      </c>
      <c r="B333" s="82" t="s">
        <v>177</v>
      </c>
      <c r="C333" s="41" t="s">
        <v>74</v>
      </c>
      <c r="D333" s="82" t="s">
        <v>246</v>
      </c>
      <c r="E333" s="41"/>
      <c r="F333" s="41" t="s">
        <v>2296</v>
      </c>
      <c r="G333" s="41" t="s">
        <v>248</v>
      </c>
      <c r="H333" s="41" t="s">
        <v>2297</v>
      </c>
      <c r="I333" s="41" t="s">
        <v>133</v>
      </c>
      <c r="J333" s="41" t="s">
        <v>2059</v>
      </c>
      <c r="K333" s="41" t="s">
        <v>79</v>
      </c>
      <c r="L333" s="41" t="s">
        <v>79</v>
      </c>
      <c r="M333" s="130">
        <v>23694</v>
      </c>
      <c r="N333" s="130">
        <v>372016</v>
      </c>
      <c r="O333" s="41" t="s">
        <v>79</v>
      </c>
      <c r="P333" s="41" t="s">
        <v>98</v>
      </c>
      <c r="Q333" s="41" t="s">
        <v>79</v>
      </c>
      <c r="R333" s="130">
        <v>1.002</v>
      </c>
      <c r="S333" s="41" t="s">
        <v>2532</v>
      </c>
      <c r="T333" s="41">
        <v>0.91</v>
      </c>
      <c r="U333" s="41" t="s">
        <v>79</v>
      </c>
      <c r="V333" s="41" t="s">
        <v>79</v>
      </c>
      <c r="W333" s="41" t="s">
        <v>79</v>
      </c>
      <c r="X333" s="41" t="s">
        <v>79</v>
      </c>
      <c r="Y333" s="41" t="s">
        <v>79</v>
      </c>
      <c r="Z333" s="41" t="s">
        <v>79</v>
      </c>
      <c r="AA333" s="41" t="s">
        <v>79</v>
      </c>
      <c r="AB333" s="41" t="s">
        <v>79</v>
      </c>
      <c r="AC333" s="41" t="s">
        <v>109</v>
      </c>
      <c r="AD333" s="41" t="s">
        <v>204</v>
      </c>
    </row>
    <row r="334" spans="1:30" ht="14.25" hidden="1">
      <c r="A334" s="38" t="s">
        <v>70</v>
      </c>
      <c r="B334" s="82" t="s">
        <v>177</v>
      </c>
      <c r="C334" s="41" t="s">
        <v>74</v>
      </c>
      <c r="D334" s="82" t="s">
        <v>459</v>
      </c>
      <c r="E334" s="41"/>
      <c r="F334" s="41" t="s">
        <v>2296</v>
      </c>
      <c r="G334" s="41" t="s">
        <v>2528</v>
      </c>
      <c r="H334" s="41" t="s">
        <v>2297</v>
      </c>
      <c r="I334" s="41" t="s">
        <v>133</v>
      </c>
      <c r="J334" s="41" t="s">
        <v>2059</v>
      </c>
      <c r="K334" s="41" t="s">
        <v>79</v>
      </c>
      <c r="L334" s="41" t="s">
        <v>79</v>
      </c>
      <c r="M334" s="130">
        <v>23694</v>
      </c>
      <c r="N334" s="130">
        <v>372016</v>
      </c>
      <c r="O334" s="41" t="s">
        <v>79</v>
      </c>
      <c r="P334" s="41" t="s">
        <v>98</v>
      </c>
      <c r="Q334" s="41" t="s">
        <v>79</v>
      </c>
      <c r="R334" s="41">
        <v>0.95199999999999996</v>
      </c>
      <c r="S334" s="41" t="s">
        <v>2533</v>
      </c>
      <c r="T334" s="41">
        <v>7.0000000000000001E-3</v>
      </c>
      <c r="U334" s="41" t="s">
        <v>79</v>
      </c>
      <c r="V334" s="41" t="s">
        <v>79</v>
      </c>
      <c r="W334" s="41" t="s">
        <v>79</v>
      </c>
      <c r="X334" s="41" t="s">
        <v>79</v>
      </c>
      <c r="Y334" s="41" t="s">
        <v>79</v>
      </c>
      <c r="Z334" s="41" t="s">
        <v>79</v>
      </c>
      <c r="AA334" s="41" t="s">
        <v>79</v>
      </c>
      <c r="AB334" s="41" t="s">
        <v>79</v>
      </c>
      <c r="AC334" s="41" t="s">
        <v>109</v>
      </c>
      <c r="AD334" s="41" t="s">
        <v>204</v>
      </c>
    </row>
    <row r="335" spans="1:30" ht="14.25" hidden="1">
      <c r="A335" s="38" t="s">
        <v>70</v>
      </c>
      <c r="B335" s="82" t="s">
        <v>177</v>
      </c>
      <c r="C335" s="41" t="s">
        <v>74</v>
      </c>
      <c r="D335" s="82" t="s">
        <v>75</v>
      </c>
      <c r="E335" s="41"/>
      <c r="F335" s="41" t="s">
        <v>2296</v>
      </c>
      <c r="G335" s="41" t="s">
        <v>2057</v>
      </c>
      <c r="H335" s="41" t="s">
        <v>2297</v>
      </c>
      <c r="I335" s="41" t="s">
        <v>133</v>
      </c>
      <c r="J335" s="41" t="s">
        <v>2059</v>
      </c>
      <c r="K335" s="41" t="s">
        <v>79</v>
      </c>
      <c r="L335" s="41" t="s">
        <v>79</v>
      </c>
      <c r="M335" s="130">
        <v>23694</v>
      </c>
      <c r="N335" s="130">
        <v>372016</v>
      </c>
      <c r="O335" s="41" t="s">
        <v>79</v>
      </c>
      <c r="P335" s="41" t="s">
        <v>98</v>
      </c>
      <c r="Q335" s="41" t="s">
        <v>79</v>
      </c>
      <c r="R335" s="130">
        <v>1.0009999999999999</v>
      </c>
      <c r="S335" s="41" t="s">
        <v>2298</v>
      </c>
      <c r="T335" s="41">
        <v>0.92400000000000004</v>
      </c>
      <c r="U335" s="41" t="s">
        <v>79</v>
      </c>
      <c r="V335" s="41" t="s">
        <v>79</v>
      </c>
      <c r="W335" s="41" t="s">
        <v>79</v>
      </c>
      <c r="X335" s="41" t="s">
        <v>79</v>
      </c>
      <c r="Y335" s="41" t="s">
        <v>79</v>
      </c>
      <c r="Z335" s="41" t="s">
        <v>79</v>
      </c>
      <c r="AA335" s="41" t="s">
        <v>79</v>
      </c>
      <c r="AB335" s="41" t="s">
        <v>79</v>
      </c>
      <c r="AC335" s="41" t="s">
        <v>109</v>
      </c>
      <c r="AD335" s="41" t="s">
        <v>204</v>
      </c>
    </row>
    <row r="336" spans="1:30" ht="14.25" hidden="1">
      <c r="A336" s="38" t="s">
        <v>70</v>
      </c>
      <c r="B336" s="82" t="s">
        <v>177</v>
      </c>
      <c r="C336" s="41" t="s">
        <v>74</v>
      </c>
      <c r="D336" s="82" t="s">
        <v>164</v>
      </c>
      <c r="E336" s="41"/>
      <c r="F336" s="41" t="s">
        <v>2296</v>
      </c>
      <c r="G336" s="41" t="s">
        <v>2530</v>
      </c>
      <c r="H336" s="41" t="s">
        <v>2297</v>
      </c>
      <c r="I336" s="41" t="s">
        <v>133</v>
      </c>
      <c r="J336" s="41" t="s">
        <v>2059</v>
      </c>
      <c r="K336" s="41" t="s">
        <v>79</v>
      </c>
      <c r="L336" s="41" t="s">
        <v>79</v>
      </c>
      <c r="M336" s="130">
        <v>23694</v>
      </c>
      <c r="N336" s="130">
        <v>372016</v>
      </c>
      <c r="O336" s="41" t="s">
        <v>79</v>
      </c>
      <c r="P336" s="41" t="s">
        <v>98</v>
      </c>
      <c r="Q336" s="41" t="s">
        <v>79</v>
      </c>
      <c r="R336" s="130">
        <v>1.0109999999999999</v>
      </c>
      <c r="S336" s="41" t="s">
        <v>2534</v>
      </c>
      <c r="T336" s="41">
        <v>0.26700000000000002</v>
      </c>
      <c r="U336" s="41" t="s">
        <v>79</v>
      </c>
      <c r="V336" s="41" t="s">
        <v>79</v>
      </c>
      <c r="W336" s="41" t="s">
        <v>79</v>
      </c>
      <c r="X336" s="41" t="s">
        <v>79</v>
      </c>
      <c r="Y336" s="41" t="s">
        <v>79</v>
      </c>
      <c r="Z336" s="41" t="s">
        <v>79</v>
      </c>
      <c r="AA336" s="41" t="s">
        <v>79</v>
      </c>
      <c r="AB336" s="41" t="s">
        <v>79</v>
      </c>
      <c r="AC336" s="41" t="s">
        <v>109</v>
      </c>
      <c r="AD336" s="41" t="s">
        <v>204</v>
      </c>
    </row>
    <row r="337" spans="1:30" ht="14.25" hidden="1">
      <c r="A337" s="23" t="s">
        <v>70</v>
      </c>
      <c r="B337" s="150" t="s">
        <v>186</v>
      </c>
      <c r="C337" s="141" t="s">
        <v>74</v>
      </c>
      <c r="D337" s="141" t="s">
        <v>75</v>
      </c>
      <c r="E337" s="141"/>
      <c r="F337" s="141" t="s">
        <v>652</v>
      </c>
      <c r="G337" s="141"/>
      <c r="H337" s="141"/>
      <c r="I337" s="141" t="s">
        <v>133</v>
      </c>
      <c r="J337" s="141" t="s">
        <v>218</v>
      </c>
      <c r="K337" s="141" t="s">
        <v>79</v>
      </c>
      <c r="L337" s="141" t="s">
        <v>79</v>
      </c>
      <c r="M337" s="143">
        <v>350</v>
      </c>
      <c r="N337" s="143">
        <v>212952</v>
      </c>
      <c r="O337" s="141" t="s">
        <v>79</v>
      </c>
      <c r="P337" s="141" t="s">
        <v>98</v>
      </c>
      <c r="Q337" s="141" t="s">
        <v>79</v>
      </c>
      <c r="R337" s="141">
        <v>1.96</v>
      </c>
      <c r="S337" s="141" t="s">
        <v>2536</v>
      </c>
      <c r="T337" s="141">
        <v>0.59599999999999997</v>
      </c>
      <c r="U337" s="141" t="s">
        <v>79</v>
      </c>
      <c r="V337" s="141" t="s">
        <v>79</v>
      </c>
      <c r="W337" s="141" t="s">
        <v>79</v>
      </c>
      <c r="X337" s="141" t="s">
        <v>79</v>
      </c>
      <c r="Y337" s="141" t="s">
        <v>79</v>
      </c>
      <c r="Z337" s="141" t="s">
        <v>79</v>
      </c>
      <c r="AA337" s="141" t="s">
        <v>79</v>
      </c>
      <c r="AB337" s="141" t="s">
        <v>79</v>
      </c>
      <c r="AC337" s="141" t="s">
        <v>1754</v>
      </c>
      <c r="AD337" s="141" t="s">
        <v>145</v>
      </c>
    </row>
    <row r="338" spans="1:30" ht="14.25" hidden="1">
      <c r="A338" s="23" t="s">
        <v>70</v>
      </c>
      <c r="B338" s="150" t="s">
        <v>186</v>
      </c>
      <c r="C338" s="151" t="s">
        <v>74</v>
      </c>
      <c r="D338" s="150" t="s">
        <v>622</v>
      </c>
      <c r="E338" s="151"/>
      <c r="F338" s="151" t="s">
        <v>652</v>
      </c>
      <c r="G338" s="141"/>
      <c r="H338" s="141"/>
      <c r="I338" s="151" t="s">
        <v>133</v>
      </c>
      <c r="J338" s="151" t="s">
        <v>218</v>
      </c>
      <c r="K338" s="141" t="s">
        <v>79</v>
      </c>
      <c r="L338" s="141" t="s">
        <v>79</v>
      </c>
      <c r="M338" s="143">
        <v>350</v>
      </c>
      <c r="N338" s="143">
        <v>212952</v>
      </c>
      <c r="O338" s="141" t="s">
        <v>79</v>
      </c>
      <c r="P338" s="141" t="s">
        <v>98</v>
      </c>
      <c r="Q338" s="141" t="s">
        <v>79</v>
      </c>
      <c r="R338" s="141">
        <v>7.73</v>
      </c>
      <c r="S338" s="151" t="s">
        <v>2537</v>
      </c>
      <c r="T338" s="151">
        <v>0.36799999999999999</v>
      </c>
      <c r="U338" s="141" t="s">
        <v>79</v>
      </c>
      <c r="V338" s="141" t="s">
        <v>79</v>
      </c>
      <c r="W338" s="141" t="s">
        <v>79</v>
      </c>
      <c r="X338" s="141" t="s">
        <v>79</v>
      </c>
      <c r="Y338" s="141" t="s">
        <v>79</v>
      </c>
      <c r="Z338" s="141" t="s">
        <v>79</v>
      </c>
      <c r="AA338" s="141" t="s">
        <v>79</v>
      </c>
      <c r="AB338" s="141" t="s">
        <v>79</v>
      </c>
      <c r="AC338" s="141" t="s">
        <v>1754</v>
      </c>
      <c r="AD338" s="141" t="s">
        <v>145</v>
      </c>
    </row>
    <row r="339" spans="1:30" ht="14.25" hidden="1">
      <c r="A339" s="23" t="s">
        <v>70</v>
      </c>
      <c r="B339" s="150" t="s">
        <v>186</v>
      </c>
      <c r="C339" s="141" t="s">
        <v>74</v>
      </c>
      <c r="D339" s="150" t="s">
        <v>246</v>
      </c>
      <c r="E339" s="151"/>
      <c r="F339" s="151" t="s">
        <v>652</v>
      </c>
      <c r="G339" s="141"/>
      <c r="H339" s="141"/>
      <c r="I339" s="151" t="s">
        <v>133</v>
      </c>
      <c r="J339" s="151" t="s">
        <v>218</v>
      </c>
      <c r="K339" s="141" t="s">
        <v>79</v>
      </c>
      <c r="L339" s="141" t="s">
        <v>79</v>
      </c>
      <c r="M339" s="143">
        <v>350</v>
      </c>
      <c r="N339" s="143">
        <v>212952</v>
      </c>
      <c r="O339" s="141" t="s">
        <v>79</v>
      </c>
      <c r="P339" s="141" t="s">
        <v>98</v>
      </c>
      <c r="Q339" s="141" t="s">
        <v>79</v>
      </c>
      <c r="R339" s="141">
        <v>95.12</v>
      </c>
      <c r="S339" s="151" t="s">
        <v>2538</v>
      </c>
      <c r="T339" s="151">
        <v>1.9E-2</v>
      </c>
      <c r="U339" s="141" t="s">
        <v>79</v>
      </c>
      <c r="V339" s="141" t="s">
        <v>79</v>
      </c>
      <c r="W339" s="141" t="s">
        <v>79</v>
      </c>
      <c r="X339" s="141" t="s">
        <v>79</v>
      </c>
      <c r="Y339" s="141" t="s">
        <v>79</v>
      </c>
      <c r="Z339" s="141" t="s">
        <v>79</v>
      </c>
      <c r="AA339" s="141" t="s">
        <v>79</v>
      </c>
      <c r="AB339" s="141" t="s">
        <v>79</v>
      </c>
      <c r="AC339" s="141" t="s">
        <v>1754</v>
      </c>
      <c r="AD339" s="141" t="s">
        <v>145</v>
      </c>
    </row>
    <row r="340" spans="1:30" ht="14.25" hidden="1">
      <c r="A340" s="38" t="s">
        <v>70</v>
      </c>
      <c r="B340" s="82" t="s">
        <v>196</v>
      </c>
      <c r="C340" s="22" t="s">
        <v>74</v>
      </c>
      <c r="D340" s="22" t="s">
        <v>246</v>
      </c>
      <c r="E340" s="22"/>
      <c r="F340" s="22" t="s">
        <v>1781</v>
      </c>
      <c r="G340" s="22" t="s">
        <v>248</v>
      </c>
      <c r="H340" s="22" t="s">
        <v>1779</v>
      </c>
      <c r="I340" s="22" t="s">
        <v>1414</v>
      </c>
      <c r="J340" s="22" t="s">
        <v>218</v>
      </c>
      <c r="K340" s="22" t="s">
        <v>79</v>
      </c>
      <c r="L340" s="118">
        <v>9</v>
      </c>
      <c r="M340" s="118">
        <v>26122</v>
      </c>
      <c r="N340" s="118">
        <v>461431</v>
      </c>
      <c r="O340" s="22" t="s">
        <v>79</v>
      </c>
      <c r="P340" s="22" t="s">
        <v>98</v>
      </c>
      <c r="Q340" s="22" t="s">
        <v>79</v>
      </c>
      <c r="R340" s="22">
        <v>0.84</v>
      </c>
      <c r="S340" s="22" t="s">
        <v>2539</v>
      </c>
      <c r="T340" s="22">
        <v>0.57899999999999996</v>
      </c>
      <c r="U340" s="22" t="s">
        <v>79</v>
      </c>
      <c r="V340" s="22" t="s">
        <v>79</v>
      </c>
      <c r="W340" s="22">
        <v>0.73099999999999998</v>
      </c>
      <c r="X340" s="22" t="s">
        <v>2540</v>
      </c>
      <c r="Y340" s="22">
        <v>0.43099999999999999</v>
      </c>
      <c r="Z340" s="22">
        <v>3.0000000000000001E-3</v>
      </c>
      <c r="AA340" s="22" t="s">
        <v>2541</v>
      </c>
      <c r="AB340" s="22">
        <v>0.14899999999999999</v>
      </c>
      <c r="AC340" s="22" t="s">
        <v>1754</v>
      </c>
      <c r="AD340" s="22" t="s">
        <v>385</v>
      </c>
    </row>
    <row r="341" spans="1:30" ht="14.25" hidden="1">
      <c r="A341" s="38" t="s">
        <v>70</v>
      </c>
      <c r="B341" s="82" t="s">
        <v>196</v>
      </c>
      <c r="C341" s="22" t="s">
        <v>74</v>
      </c>
      <c r="D341" s="22" t="s">
        <v>459</v>
      </c>
      <c r="E341" s="22"/>
      <c r="F341" s="22" t="s">
        <v>1781</v>
      </c>
      <c r="G341" s="22" t="s">
        <v>215</v>
      </c>
      <c r="H341" s="152" t="s">
        <v>1779</v>
      </c>
      <c r="I341" s="22" t="s">
        <v>1414</v>
      </c>
      <c r="J341" s="22" t="s">
        <v>218</v>
      </c>
      <c r="K341" s="22" t="s">
        <v>79</v>
      </c>
      <c r="L341" s="118">
        <v>15</v>
      </c>
      <c r="M341" s="118">
        <v>26122</v>
      </c>
      <c r="N341" s="118">
        <v>461431</v>
      </c>
      <c r="O341" s="22" t="s">
        <v>79</v>
      </c>
      <c r="P341" s="22" t="s">
        <v>98</v>
      </c>
      <c r="Q341" s="22" t="s">
        <v>79</v>
      </c>
      <c r="R341" s="22">
        <v>1.26</v>
      </c>
      <c r="S341" s="22" t="s">
        <v>2542</v>
      </c>
      <c r="T341" s="22">
        <v>0.42099999999999999</v>
      </c>
      <c r="U341" s="22" t="s">
        <v>79</v>
      </c>
      <c r="V341" s="22" t="s">
        <v>79</v>
      </c>
      <c r="W341" s="22">
        <v>1.87</v>
      </c>
      <c r="X341" s="22" t="s">
        <v>2543</v>
      </c>
      <c r="Y341" s="22">
        <v>0.112</v>
      </c>
      <c r="Z341" s="22">
        <v>0.91400000000000003</v>
      </c>
      <c r="AA341" s="22" t="s">
        <v>2544</v>
      </c>
      <c r="AB341" s="22">
        <v>0.94699999999999995</v>
      </c>
      <c r="AC341" s="22" t="s">
        <v>1754</v>
      </c>
      <c r="AD341" s="22" t="s">
        <v>385</v>
      </c>
    </row>
    <row r="342" spans="1:30" ht="14.25" hidden="1">
      <c r="A342" s="38" t="s">
        <v>70</v>
      </c>
      <c r="B342" s="82" t="s">
        <v>196</v>
      </c>
      <c r="C342" s="22" t="s">
        <v>74</v>
      </c>
      <c r="D342" s="22" t="s">
        <v>75</v>
      </c>
      <c r="E342" s="22"/>
      <c r="F342" s="22" t="s">
        <v>1781</v>
      </c>
      <c r="G342" s="22" t="s">
        <v>113</v>
      </c>
      <c r="H342" s="152" t="s">
        <v>1779</v>
      </c>
      <c r="I342" s="22" t="s">
        <v>1414</v>
      </c>
      <c r="J342" s="22" t="s">
        <v>218</v>
      </c>
      <c r="K342" s="22" t="s">
        <v>79</v>
      </c>
      <c r="L342" s="118">
        <v>41</v>
      </c>
      <c r="M342" s="118">
        <v>26122</v>
      </c>
      <c r="N342" s="118">
        <v>461431</v>
      </c>
      <c r="O342" s="22" t="s">
        <v>79</v>
      </c>
      <c r="P342" s="22" t="s">
        <v>98</v>
      </c>
      <c r="Q342" s="22" t="s">
        <v>79</v>
      </c>
      <c r="R342" s="22">
        <v>0.73</v>
      </c>
      <c r="S342" s="22" t="s">
        <v>1782</v>
      </c>
      <c r="T342" s="22">
        <v>5.5E-2</v>
      </c>
      <c r="U342" s="22" t="s">
        <v>79</v>
      </c>
      <c r="V342" s="22" t="s">
        <v>79</v>
      </c>
      <c r="W342" s="22">
        <v>0.70299999999999996</v>
      </c>
      <c r="X342" s="22" t="s">
        <v>1784</v>
      </c>
      <c r="Y342" s="22">
        <v>0.16500000000000001</v>
      </c>
      <c r="Z342" s="22">
        <v>0.46100000000000002</v>
      </c>
      <c r="AA342" s="22" t="s">
        <v>1785</v>
      </c>
      <c r="AB342" s="22">
        <v>0.217</v>
      </c>
      <c r="AC342" s="22" t="s">
        <v>1754</v>
      </c>
      <c r="AD342" s="22" t="s">
        <v>385</v>
      </c>
    </row>
    <row r="343" spans="1:30" ht="14.25" hidden="1">
      <c r="A343" s="38" t="s">
        <v>70</v>
      </c>
      <c r="B343" s="82" t="s">
        <v>196</v>
      </c>
      <c r="C343" s="22" t="s">
        <v>74</v>
      </c>
      <c r="D343" s="22" t="s">
        <v>164</v>
      </c>
      <c r="E343" s="22"/>
      <c r="F343" s="22" t="s">
        <v>1781</v>
      </c>
      <c r="G343" s="22" t="s">
        <v>165</v>
      </c>
      <c r="H343" s="152" t="s">
        <v>1779</v>
      </c>
      <c r="I343" s="22" t="s">
        <v>1414</v>
      </c>
      <c r="J343" s="22" t="s">
        <v>218</v>
      </c>
      <c r="K343" s="22" t="s">
        <v>79</v>
      </c>
      <c r="L343" s="118">
        <v>32</v>
      </c>
      <c r="M343" s="118">
        <v>26122</v>
      </c>
      <c r="N343" s="118">
        <v>461431</v>
      </c>
      <c r="O343" s="22" t="s">
        <v>79</v>
      </c>
      <c r="P343" s="22" t="s">
        <v>98</v>
      </c>
      <c r="Q343" s="22" t="s">
        <v>79</v>
      </c>
      <c r="R343" s="22">
        <v>0.56999999999999995</v>
      </c>
      <c r="S343" s="22" t="s">
        <v>2546</v>
      </c>
      <c r="T343" s="22">
        <v>2E-3</v>
      </c>
      <c r="U343" s="118">
        <v>42.722999999999999</v>
      </c>
      <c r="V343" s="22">
        <v>7.8E-2</v>
      </c>
      <c r="W343" s="22">
        <v>0.59499999999999997</v>
      </c>
      <c r="X343" s="22" t="s">
        <v>2547</v>
      </c>
      <c r="Y343" s="22">
        <v>1.6E-2</v>
      </c>
      <c r="Z343" s="22">
        <v>0.25800000000000001</v>
      </c>
      <c r="AA343" s="22" t="s">
        <v>2548</v>
      </c>
      <c r="AB343" s="22">
        <v>0.13</v>
      </c>
      <c r="AC343" s="22" t="s">
        <v>1754</v>
      </c>
      <c r="AD343" s="22" t="s">
        <v>385</v>
      </c>
    </row>
    <row r="344" spans="1:30" ht="14.25" hidden="1">
      <c r="A344" s="23" t="s">
        <v>70</v>
      </c>
      <c r="B344" s="150" t="s">
        <v>199</v>
      </c>
      <c r="C344" s="141" t="s">
        <v>74</v>
      </c>
      <c r="D344" s="141" t="s">
        <v>246</v>
      </c>
      <c r="E344" s="141"/>
      <c r="F344" s="141" t="s">
        <v>2549</v>
      </c>
      <c r="G344" s="141" t="s">
        <v>248</v>
      </c>
      <c r="H344" s="153" t="s">
        <v>2550</v>
      </c>
      <c r="I344" s="141" t="s">
        <v>133</v>
      </c>
      <c r="J344" s="141" t="s">
        <v>218</v>
      </c>
      <c r="K344" s="141" t="s">
        <v>79</v>
      </c>
      <c r="L344" s="143">
        <v>17</v>
      </c>
      <c r="M344" s="141" t="s">
        <v>79</v>
      </c>
      <c r="N344" s="141" t="s">
        <v>79</v>
      </c>
      <c r="O344" s="141" t="s">
        <v>79</v>
      </c>
      <c r="P344" s="141" t="s">
        <v>98</v>
      </c>
      <c r="Q344" s="143">
        <v>20.818000000000001</v>
      </c>
      <c r="R344" s="143">
        <v>2.3929999999999998</v>
      </c>
      <c r="S344" s="141" t="s">
        <v>2551</v>
      </c>
      <c r="T344" s="141">
        <v>0.13800000000000001</v>
      </c>
      <c r="U344" s="143">
        <v>15.641999999999999</v>
      </c>
      <c r="V344" s="141">
        <v>0.47799999999999998</v>
      </c>
      <c r="W344" s="143">
        <v>5.0380000000000003</v>
      </c>
      <c r="X344" s="141" t="s">
        <v>2552</v>
      </c>
      <c r="Y344" s="141">
        <v>4.7E-2</v>
      </c>
      <c r="Z344" s="141">
        <v>7.0699999999999995E-4</v>
      </c>
      <c r="AA344" s="141" t="s">
        <v>2553</v>
      </c>
      <c r="AB344" s="141">
        <v>0.27900000000000003</v>
      </c>
      <c r="AC344" s="141" t="s">
        <v>109</v>
      </c>
      <c r="AD344" s="141" t="s">
        <v>145</v>
      </c>
    </row>
    <row r="345" spans="1:30" ht="14.25" hidden="1">
      <c r="A345" s="23" t="s">
        <v>70</v>
      </c>
      <c r="B345" s="141" t="s">
        <v>199</v>
      </c>
      <c r="C345" s="141" t="s">
        <v>74</v>
      </c>
      <c r="D345" s="141" t="s">
        <v>75</v>
      </c>
      <c r="E345" s="141"/>
      <c r="F345" s="141" t="s">
        <v>2549</v>
      </c>
      <c r="G345" s="142" t="s">
        <v>113</v>
      </c>
      <c r="H345" s="142" t="s">
        <v>2550</v>
      </c>
      <c r="I345" s="141" t="s">
        <v>133</v>
      </c>
      <c r="J345" s="141" t="s">
        <v>218</v>
      </c>
      <c r="K345" s="141" t="s">
        <v>79</v>
      </c>
      <c r="L345" s="143">
        <v>52</v>
      </c>
      <c r="M345" s="141" t="s">
        <v>79</v>
      </c>
      <c r="N345" s="141" t="s">
        <v>79</v>
      </c>
      <c r="O345" s="141" t="s">
        <v>79</v>
      </c>
      <c r="P345" s="141" t="s">
        <v>98</v>
      </c>
      <c r="Q345" s="143">
        <v>15.502000000000001</v>
      </c>
      <c r="R345" s="141">
        <v>0.79500000000000004</v>
      </c>
      <c r="S345" s="141" t="s">
        <v>2554</v>
      </c>
      <c r="T345" s="141">
        <v>0.56899999999999995</v>
      </c>
      <c r="U345" s="154">
        <v>55.030999999999999</v>
      </c>
      <c r="V345" s="141">
        <v>0.32500000000000001</v>
      </c>
      <c r="W345" s="141">
        <v>0.49</v>
      </c>
      <c r="X345" s="141" t="s">
        <v>2555</v>
      </c>
      <c r="Y345" s="141">
        <v>0.252</v>
      </c>
      <c r="Z345" s="141">
        <v>4.2000000000000003E-2</v>
      </c>
      <c r="AA345" s="141" t="s">
        <v>2556</v>
      </c>
      <c r="AB345" s="141">
        <v>2.01E-2</v>
      </c>
      <c r="AC345" s="141" t="s">
        <v>109</v>
      </c>
      <c r="AD345" s="141" t="s">
        <v>145</v>
      </c>
    </row>
    <row r="346" spans="1:30" ht="14.25" hidden="1">
      <c r="A346" s="23" t="s">
        <v>70</v>
      </c>
      <c r="B346" s="141" t="s">
        <v>199</v>
      </c>
      <c r="C346" s="141" t="s">
        <v>74</v>
      </c>
      <c r="D346" s="141" t="s">
        <v>459</v>
      </c>
      <c r="E346" s="141"/>
      <c r="F346" s="141" t="s">
        <v>2549</v>
      </c>
      <c r="G346" s="141" t="s">
        <v>215</v>
      </c>
      <c r="H346" s="142" t="s">
        <v>2550</v>
      </c>
      <c r="I346" s="141" t="s">
        <v>133</v>
      </c>
      <c r="J346" s="141" t="s">
        <v>218</v>
      </c>
      <c r="K346" s="141" t="s">
        <v>79</v>
      </c>
      <c r="L346" s="143">
        <v>18</v>
      </c>
      <c r="M346" s="141" t="s">
        <v>79</v>
      </c>
      <c r="N346" s="141" t="s">
        <v>79</v>
      </c>
      <c r="O346" s="141" t="s">
        <v>79</v>
      </c>
      <c r="P346" s="141" t="s">
        <v>98</v>
      </c>
      <c r="Q346" s="143">
        <v>17.571000000000002</v>
      </c>
      <c r="R346" s="141">
        <v>0.98499999999999999</v>
      </c>
      <c r="S346" s="141" t="s">
        <v>2557</v>
      </c>
      <c r="T346" s="141">
        <v>0.82199999999999995</v>
      </c>
      <c r="U346" s="143">
        <v>34.191000000000003</v>
      </c>
      <c r="V346" s="141">
        <v>7.9299999999999995E-3</v>
      </c>
      <c r="W346" s="141">
        <v>0.79700000000000004</v>
      </c>
      <c r="X346" s="141" t="s">
        <v>2557</v>
      </c>
      <c r="Y346" s="141">
        <v>0.82199999999999995</v>
      </c>
      <c r="Z346" s="143">
        <v>1.746</v>
      </c>
      <c r="AA346" s="141" t="s">
        <v>2558</v>
      </c>
      <c r="AB346" s="141">
        <v>0.90300000000000002</v>
      </c>
      <c r="AC346" s="141" t="s">
        <v>109</v>
      </c>
      <c r="AD346" s="141" t="s">
        <v>145</v>
      </c>
    </row>
    <row r="347" spans="1:30" ht="14.25" hidden="1">
      <c r="A347" s="23" t="s">
        <v>70</v>
      </c>
      <c r="B347" s="141" t="s">
        <v>199</v>
      </c>
      <c r="C347" s="141" t="s">
        <v>74</v>
      </c>
      <c r="D347" s="141" t="s">
        <v>164</v>
      </c>
      <c r="E347" s="141"/>
      <c r="F347" s="141" t="s">
        <v>2549</v>
      </c>
      <c r="G347" s="141" t="s">
        <v>165</v>
      </c>
      <c r="H347" s="142" t="s">
        <v>2550</v>
      </c>
      <c r="I347" s="141" t="s">
        <v>133</v>
      </c>
      <c r="J347" s="141" t="s">
        <v>218</v>
      </c>
      <c r="K347" s="141" t="s">
        <v>79</v>
      </c>
      <c r="L347" s="143">
        <v>39</v>
      </c>
      <c r="M347" s="141" t="s">
        <v>79</v>
      </c>
      <c r="N347" s="141" t="s">
        <v>79</v>
      </c>
      <c r="O347" s="141" t="s">
        <v>79</v>
      </c>
      <c r="P347" s="141" t="s">
        <v>98</v>
      </c>
      <c r="Q347" s="143">
        <v>24.760999999999999</v>
      </c>
      <c r="R347" s="141">
        <v>0.84599999999999997</v>
      </c>
      <c r="S347" s="141" t="s">
        <v>2559</v>
      </c>
      <c r="T347" s="141">
        <v>0.71299999999999997</v>
      </c>
      <c r="U347" s="143">
        <v>71.358000000000004</v>
      </c>
      <c r="V347" s="154">
        <v>8.4400000000000002E-4</v>
      </c>
      <c r="W347" s="143">
        <v>1.218</v>
      </c>
      <c r="X347" s="141" t="s">
        <v>2560</v>
      </c>
      <c r="Y347" s="141">
        <v>0.71799999999999997</v>
      </c>
      <c r="Z347" s="141">
        <v>7.9399999999999991E-3</v>
      </c>
      <c r="AA347" s="141" t="s">
        <v>2561</v>
      </c>
      <c r="AB347" s="141">
        <v>1.47E-2</v>
      </c>
      <c r="AC347" s="141" t="s">
        <v>109</v>
      </c>
      <c r="AD347" s="141" t="s">
        <v>145</v>
      </c>
    </row>
    <row r="348" spans="1:30" ht="14.25" hidden="1">
      <c r="A348" s="23" t="s">
        <v>70</v>
      </c>
      <c r="B348" s="141" t="s">
        <v>199</v>
      </c>
      <c r="C348" s="141" t="s">
        <v>74</v>
      </c>
      <c r="D348" s="141" t="s">
        <v>246</v>
      </c>
      <c r="E348" s="141"/>
      <c r="F348" s="141" t="s">
        <v>2562</v>
      </c>
      <c r="G348" s="141" t="s">
        <v>248</v>
      </c>
      <c r="H348" s="142" t="s">
        <v>2563</v>
      </c>
      <c r="I348" s="141" t="s">
        <v>133</v>
      </c>
      <c r="J348" s="141" t="s">
        <v>218</v>
      </c>
      <c r="K348" s="141" t="s">
        <v>2564</v>
      </c>
      <c r="L348" s="143">
        <v>17</v>
      </c>
      <c r="M348" s="141" t="s">
        <v>79</v>
      </c>
      <c r="N348" s="141" t="s">
        <v>79</v>
      </c>
      <c r="O348" s="141" t="s">
        <v>79</v>
      </c>
      <c r="P348" s="141" t="s">
        <v>98</v>
      </c>
      <c r="Q348" s="143">
        <v>20.818000000000001</v>
      </c>
      <c r="R348" s="143">
        <v>4.4749999999999996</v>
      </c>
      <c r="S348" s="141" t="s">
        <v>2565</v>
      </c>
      <c r="T348" s="141">
        <v>3.7999999999999999E-2</v>
      </c>
      <c r="U348" s="154">
        <v>21.599</v>
      </c>
      <c r="V348" s="141">
        <v>0.157</v>
      </c>
      <c r="W348" s="143">
        <v>5.5540000000000003</v>
      </c>
      <c r="X348" s="141" t="s">
        <v>2566</v>
      </c>
      <c r="Y348" s="141">
        <v>4.2700000000000002E-2</v>
      </c>
      <c r="Z348" s="143">
        <v>66.84</v>
      </c>
      <c r="AA348" s="141" t="s">
        <v>2567</v>
      </c>
      <c r="AB348" s="141">
        <v>0.61399999999999999</v>
      </c>
      <c r="AC348" s="141" t="s">
        <v>109</v>
      </c>
      <c r="AD348" s="141" t="s">
        <v>145</v>
      </c>
    </row>
    <row r="349" spans="1:30" ht="14.25" hidden="1">
      <c r="A349" s="23" t="s">
        <v>70</v>
      </c>
      <c r="B349" s="141" t="s">
        <v>199</v>
      </c>
      <c r="C349" s="141" t="s">
        <v>74</v>
      </c>
      <c r="D349" s="141" t="s">
        <v>75</v>
      </c>
      <c r="E349" s="141"/>
      <c r="F349" s="141" t="s">
        <v>2562</v>
      </c>
      <c r="G349" s="142" t="s">
        <v>113</v>
      </c>
      <c r="H349" s="142" t="s">
        <v>2563</v>
      </c>
      <c r="I349" s="141" t="s">
        <v>133</v>
      </c>
      <c r="J349" s="141" t="s">
        <v>218</v>
      </c>
      <c r="K349" s="141" t="s">
        <v>79</v>
      </c>
      <c r="L349" s="143">
        <v>52</v>
      </c>
      <c r="M349" s="141" t="s">
        <v>79</v>
      </c>
      <c r="N349" s="141" t="s">
        <v>79</v>
      </c>
      <c r="O349" s="141" t="s">
        <v>79</v>
      </c>
      <c r="P349" s="141" t="s">
        <v>98</v>
      </c>
      <c r="Q349" s="143">
        <v>15.502000000000001</v>
      </c>
      <c r="R349" s="141">
        <v>0.67900000000000005</v>
      </c>
      <c r="S349" s="141" t="s">
        <v>2570</v>
      </c>
      <c r="T349" s="141">
        <v>0.34499999999999997</v>
      </c>
      <c r="U349" s="143">
        <v>49.747999999999998</v>
      </c>
      <c r="V349" s="141">
        <v>0.52300000000000002</v>
      </c>
      <c r="W349" s="141">
        <v>0.95899999999999996</v>
      </c>
      <c r="X349" s="141" t="s">
        <v>2571</v>
      </c>
      <c r="Y349" s="141">
        <v>0.94499999999999995</v>
      </c>
      <c r="Z349" s="143">
        <v>1.7330000000000001</v>
      </c>
      <c r="AA349" s="141" t="s">
        <v>2572</v>
      </c>
      <c r="AB349" s="141">
        <v>0.69499999999999995</v>
      </c>
      <c r="AC349" s="141" t="s">
        <v>109</v>
      </c>
      <c r="AD349" s="141" t="s">
        <v>145</v>
      </c>
    </row>
    <row r="350" spans="1:30" ht="14.25" hidden="1">
      <c r="A350" s="23" t="s">
        <v>70</v>
      </c>
      <c r="B350" s="141" t="s">
        <v>199</v>
      </c>
      <c r="C350" s="141" t="s">
        <v>74</v>
      </c>
      <c r="D350" s="141" t="s">
        <v>459</v>
      </c>
      <c r="E350" s="141"/>
      <c r="F350" s="141" t="s">
        <v>2562</v>
      </c>
      <c r="G350" s="141" t="s">
        <v>215</v>
      </c>
      <c r="H350" s="142" t="s">
        <v>2563</v>
      </c>
      <c r="I350" s="141" t="s">
        <v>133</v>
      </c>
      <c r="J350" s="141" t="s">
        <v>218</v>
      </c>
      <c r="K350" s="141" t="s">
        <v>79</v>
      </c>
      <c r="L350" s="143">
        <v>18</v>
      </c>
      <c r="M350" s="141" t="s">
        <v>79</v>
      </c>
      <c r="N350" s="141" t="s">
        <v>79</v>
      </c>
      <c r="O350" s="141" t="s">
        <v>79</v>
      </c>
      <c r="P350" s="141" t="s">
        <v>98</v>
      </c>
      <c r="Q350" s="143">
        <v>17.585000000000001</v>
      </c>
      <c r="R350" s="141">
        <v>0.89200000000000002</v>
      </c>
      <c r="S350" s="141" t="s">
        <v>2574</v>
      </c>
      <c r="T350" s="141">
        <v>0.91400000000000003</v>
      </c>
      <c r="U350" s="143">
        <v>37.994</v>
      </c>
      <c r="V350" s="141">
        <v>2.4599999999999999E-3</v>
      </c>
      <c r="W350" s="141">
        <v>0.29399999999999998</v>
      </c>
      <c r="X350" s="141" t="s">
        <v>2576</v>
      </c>
      <c r="Y350" s="141">
        <v>0.246</v>
      </c>
      <c r="Z350" s="143">
        <v>18.076000000000001</v>
      </c>
      <c r="AA350" s="141" t="s">
        <v>2577</v>
      </c>
      <c r="AB350" s="141">
        <v>0.56799999999999995</v>
      </c>
      <c r="AC350" s="141" t="s">
        <v>109</v>
      </c>
      <c r="AD350" s="141" t="s">
        <v>145</v>
      </c>
    </row>
    <row r="351" spans="1:30" ht="14.25" hidden="1">
      <c r="A351" s="23" t="s">
        <v>70</v>
      </c>
      <c r="B351" s="141" t="s">
        <v>199</v>
      </c>
      <c r="C351" s="141" t="s">
        <v>74</v>
      </c>
      <c r="D351" s="141" t="s">
        <v>164</v>
      </c>
      <c r="E351" s="141"/>
      <c r="F351" s="141" t="s">
        <v>2562</v>
      </c>
      <c r="G351" s="141" t="s">
        <v>165</v>
      </c>
      <c r="H351" s="142" t="s">
        <v>2563</v>
      </c>
      <c r="I351" s="141" t="s">
        <v>133</v>
      </c>
      <c r="J351" s="141" t="s">
        <v>218</v>
      </c>
      <c r="K351" s="141" t="s">
        <v>79</v>
      </c>
      <c r="L351" s="143">
        <v>39</v>
      </c>
      <c r="M351" s="141" t="s">
        <v>79</v>
      </c>
      <c r="N351" s="141" t="s">
        <v>79</v>
      </c>
      <c r="O351" s="141" t="s">
        <v>79</v>
      </c>
      <c r="P351" s="141" t="s">
        <v>98</v>
      </c>
      <c r="Q351" s="143">
        <v>25.209</v>
      </c>
      <c r="R351" s="141">
        <v>0.32200000000000001</v>
      </c>
      <c r="S351" s="141" t="s">
        <v>2578</v>
      </c>
      <c r="T351" s="141">
        <v>7.1599999999999997E-3</v>
      </c>
      <c r="U351" s="143">
        <v>54.624000000000002</v>
      </c>
      <c r="V351" s="141">
        <v>3.9399999999999998E-2</v>
      </c>
      <c r="W351" s="141">
        <v>0.23899999999999999</v>
      </c>
      <c r="X351" s="141" t="s">
        <v>2579</v>
      </c>
      <c r="Y351" s="141">
        <v>1.0699999999999999E-2</v>
      </c>
      <c r="Z351" s="141">
        <v>0.42499999999999999</v>
      </c>
      <c r="AA351" s="141" t="s">
        <v>2582</v>
      </c>
      <c r="AB351" s="141">
        <v>0.65400000000000003</v>
      </c>
      <c r="AC351" s="141" t="s">
        <v>109</v>
      </c>
      <c r="AD351" s="141" t="s">
        <v>145</v>
      </c>
    </row>
    <row r="352" spans="1:30" ht="14.25" hidden="1">
      <c r="A352" s="23" t="s">
        <v>70</v>
      </c>
      <c r="B352" s="141" t="s">
        <v>199</v>
      </c>
      <c r="C352" s="141" t="s">
        <v>74</v>
      </c>
      <c r="D352" s="141" t="s">
        <v>246</v>
      </c>
      <c r="E352" s="141"/>
      <c r="F352" s="141" t="s">
        <v>2254</v>
      </c>
      <c r="G352" s="141" t="s">
        <v>248</v>
      </c>
      <c r="H352" s="142" t="s">
        <v>2255</v>
      </c>
      <c r="I352" s="141" t="s">
        <v>133</v>
      </c>
      <c r="J352" s="141" t="s">
        <v>218</v>
      </c>
      <c r="K352" s="141" t="s">
        <v>79</v>
      </c>
      <c r="L352" s="143">
        <v>17</v>
      </c>
      <c r="M352" s="141" t="s">
        <v>79</v>
      </c>
      <c r="N352" s="141" t="s">
        <v>79</v>
      </c>
      <c r="O352" s="141" t="s">
        <v>79</v>
      </c>
      <c r="P352" s="141" t="s">
        <v>98</v>
      </c>
      <c r="Q352" s="143">
        <v>20.222999999999999</v>
      </c>
      <c r="R352" s="141">
        <v>0.88100000000000001</v>
      </c>
      <c r="S352" s="141" t="s">
        <v>2583</v>
      </c>
      <c r="T352" s="141">
        <v>0.76400000000000001</v>
      </c>
      <c r="U352" s="143">
        <v>26.931000000000001</v>
      </c>
      <c r="V352" s="141">
        <v>4.2299999999999997E-2</v>
      </c>
      <c r="W352" s="141">
        <v>0.69199999999999995</v>
      </c>
      <c r="X352" s="141" t="s">
        <v>2584</v>
      </c>
      <c r="Y352" s="141">
        <v>0.46100000000000002</v>
      </c>
      <c r="Z352" s="143">
        <v>36.783999999999999</v>
      </c>
      <c r="AA352" s="141" t="s">
        <v>2585</v>
      </c>
      <c r="AB352" s="141">
        <v>0.45500000000000002</v>
      </c>
      <c r="AC352" s="141" t="s">
        <v>109</v>
      </c>
      <c r="AD352" s="141" t="s">
        <v>145</v>
      </c>
    </row>
    <row r="353" spans="1:30" ht="14.25" hidden="1">
      <c r="A353" s="23" t="s">
        <v>70</v>
      </c>
      <c r="B353" s="141" t="s">
        <v>199</v>
      </c>
      <c r="C353" s="141" t="s">
        <v>74</v>
      </c>
      <c r="D353" s="141" t="s">
        <v>75</v>
      </c>
      <c r="E353" s="141"/>
      <c r="F353" s="141" t="s">
        <v>2254</v>
      </c>
      <c r="G353" s="142" t="s">
        <v>113</v>
      </c>
      <c r="H353" s="142" t="s">
        <v>2255</v>
      </c>
      <c r="I353" s="141" t="s">
        <v>133</v>
      </c>
      <c r="J353" s="141" t="s">
        <v>2256</v>
      </c>
      <c r="K353" s="141" t="s">
        <v>79</v>
      </c>
      <c r="L353" s="143">
        <v>52</v>
      </c>
      <c r="M353" s="141" t="s">
        <v>79</v>
      </c>
      <c r="N353" s="141" t="s">
        <v>79</v>
      </c>
      <c r="O353" s="141" t="s">
        <v>79</v>
      </c>
      <c r="P353" s="141" t="s">
        <v>98</v>
      </c>
      <c r="Q353" s="143">
        <v>15.502000000000001</v>
      </c>
      <c r="R353" s="141">
        <v>0.65800000000000003</v>
      </c>
      <c r="S353" s="141" t="s">
        <v>2257</v>
      </c>
      <c r="T353" s="141">
        <v>6.5699999999999995E-2</v>
      </c>
      <c r="U353" s="143">
        <v>56.793999999999997</v>
      </c>
      <c r="V353" s="141">
        <v>0.26800000000000002</v>
      </c>
      <c r="W353" s="141">
        <v>0.82699999999999996</v>
      </c>
      <c r="X353" s="141" t="s">
        <v>2258</v>
      </c>
      <c r="Y353" s="141">
        <v>0.57399999999999995</v>
      </c>
      <c r="Z353" s="141">
        <v>0.26200000000000001</v>
      </c>
      <c r="AA353" s="141" t="s">
        <v>2259</v>
      </c>
      <c r="AB353" s="141">
        <v>8.7300000000000003E-2</v>
      </c>
      <c r="AC353" s="141" t="s">
        <v>109</v>
      </c>
      <c r="AD353" s="141" t="s">
        <v>145</v>
      </c>
    </row>
    <row r="354" spans="1:30" ht="14.25" hidden="1">
      <c r="A354" s="23" t="s">
        <v>70</v>
      </c>
      <c r="B354" s="141" t="s">
        <v>199</v>
      </c>
      <c r="C354" s="141" t="s">
        <v>74</v>
      </c>
      <c r="D354" s="141" t="s">
        <v>459</v>
      </c>
      <c r="E354" s="141"/>
      <c r="F354" s="141" t="s">
        <v>2254</v>
      </c>
      <c r="G354" s="141" t="s">
        <v>215</v>
      </c>
      <c r="H354" s="142" t="s">
        <v>2255</v>
      </c>
      <c r="I354" s="141" t="s">
        <v>133</v>
      </c>
      <c r="J354" s="141" t="s">
        <v>218</v>
      </c>
      <c r="K354" s="141" t="s">
        <v>79</v>
      </c>
      <c r="L354" s="143">
        <v>18</v>
      </c>
      <c r="M354" s="141" t="s">
        <v>79</v>
      </c>
      <c r="N354" s="141" t="s">
        <v>79</v>
      </c>
      <c r="O354" s="141" t="s">
        <v>79</v>
      </c>
      <c r="P354" s="141" t="s">
        <v>98</v>
      </c>
      <c r="Q354" s="143">
        <v>17.571000000000002</v>
      </c>
      <c r="R354" s="143">
        <v>1.4730000000000001</v>
      </c>
      <c r="S354" s="141" t="s">
        <v>2590</v>
      </c>
      <c r="T354" s="141">
        <v>0.4</v>
      </c>
      <c r="U354" s="143">
        <v>26.09</v>
      </c>
      <c r="V354" s="141">
        <v>7.2800000000000004E-2</v>
      </c>
      <c r="W354" s="141">
        <v>0.86499999999999999</v>
      </c>
      <c r="X354" s="141" t="s">
        <v>2591</v>
      </c>
      <c r="Y354" s="141">
        <v>0.78100000000000003</v>
      </c>
      <c r="Z354" s="141">
        <v>0.51400000000000001</v>
      </c>
      <c r="AA354" s="141" t="s">
        <v>2592</v>
      </c>
      <c r="AB354" s="141">
        <v>0.76300000000000001</v>
      </c>
      <c r="AC354" s="141" t="s">
        <v>109</v>
      </c>
      <c r="AD354" s="141" t="s">
        <v>145</v>
      </c>
    </row>
    <row r="355" spans="1:30" ht="14.25" hidden="1">
      <c r="A355" s="23" t="s">
        <v>70</v>
      </c>
      <c r="B355" s="141" t="s">
        <v>199</v>
      </c>
      <c r="C355" s="141" t="s">
        <v>74</v>
      </c>
      <c r="D355" s="141" t="s">
        <v>164</v>
      </c>
      <c r="E355" s="141"/>
      <c r="F355" s="141" t="s">
        <v>2254</v>
      </c>
      <c r="G355" s="141" t="s">
        <v>165</v>
      </c>
      <c r="H355" s="142" t="s">
        <v>2255</v>
      </c>
      <c r="I355" s="141" t="s">
        <v>133</v>
      </c>
      <c r="J355" s="141" t="s">
        <v>218</v>
      </c>
      <c r="K355" s="141" t="s">
        <v>79</v>
      </c>
      <c r="L355" s="143">
        <v>39</v>
      </c>
      <c r="M355" s="141" t="s">
        <v>79</v>
      </c>
      <c r="N355" s="141" t="s">
        <v>79</v>
      </c>
      <c r="O355" s="141" t="s">
        <v>79</v>
      </c>
      <c r="P355" s="141" t="s">
        <v>98</v>
      </c>
      <c r="Q355" s="143">
        <v>25.209</v>
      </c>
      <c r="R355" s="143">
        <v>1.1599999999999999</v>
      </c>
      <c r="S355" s="141" t="s">
        <v>2595</v>
      </c>
      <c r="T355" s="141">
        <v>0.53400000000000003</v>
      </c>
      <c r="U355" s="143">
        <v>63.680999999999997</v>
      </c>
      <c r="V355" s="141">
        <v>5.62E-3</v>
      </c>
      <c r="W355" s="143">
        <v>1.0189999999999999</v>
      </c>
      <c r="X355" s="141" t="s">
        <v>2596</v>
      </c>
      <c r="Y355" s="141">
        <v>0.95199999999999996</v>
      </c>
      <c r="Z355" s="143">
        <v>2.4289999999999998</v>
      </c>
      <c r="AA355" s="141" t="s">
        <v>2597</v>
      </c>
      <c r="AB355" s="141">
        <v>0.41</v>
      </c>
      <c r="AC355" s="141" t="s">
        <v>109</v>
      </c>
      <c r="AD355" s="141" t="s">
        <v>145</v>
      </c>
    </row>
    <row r="356" spans="1:30" ht="14.25" hidden="1">
      <c r="A356" s="38" t="s">
        <v>70</v>
      </c>
      <c r="B356" s="85" t="s">
        <v>1408</v>
      </c>
      <c r="C356" s="85" t="s">
        <v>74</v>
      </c>
      <c r="D356" s="85" t="s">
        <v>1412</v>
      </c>
      <c r="E356" s="86"/>
      <c r="F356" s="86" t="s">
        <v>767</v>
      </c>
      <c r="G356" s="85" t="s">
        <v>113</v>
      </c>
      <c r="H356" s="85" t="s">
        <v>1413</v>
      </c>
      <c r="I356" s="85" t="s">
        <v>1414</v>
      </c>
      <c r="J356" s="85" t="s">
        <v>1416</v>
      </c>
      <c r="K356" s="87">
        <v>413.46600000000001</v>
      </c>
      <c r="L356" s="87">
        <v>18</v>
      </c>
      <c r="M356" s="87">
        <v>41.917000000000002</v>
      </c>
      <c r="N356" s="87">
        <v>371.54899999999998</v>
      </c>
      <c r="O356" s="85" t="s">
        <v>97</v>
      </c>
      <c r="P356" s="85" t="s">
        <v>129</v>
      </c>
      <c r="Q356" s="87" t="s">
        <v>1425</v>
      </c>
      <c r="R356" s="88">
        <v>257034428</v>
      </c>
      <c r="S356" s="85" t="s">
        <v>79</v>
      </c>
      <c r="T356" s="88">
        <v>518624698</v>
      </c>
      <c r="U356" s="88">
        <v>4238014795</v>
      </c>
      <c r="V356" s="88">
        <v>590905</v>
      </c>
      <c r="W356" s="88">
        <v>7449737</v>
      </c>
      <c r="X356" s="85" t="s">
        <v>79</v>
      </c>
      <c r="Y356" s="88">
        <v>852297255</v>
      </c>
      <c r="Z356" s="88">
        <v>72314575</v>
      </c>
      <c r="AA356" s="85" t="s">
        <v>79</v>
      </c>
      <c r="AB356" s="88">
        <v>533425515</v>
      </c>
      <c r="AC356" s="85" t="s">
        <v>140</v>
      </c>
      <c r="AD356" s="85" t="s">
        <v>112</v>
      </c>
    </row>
    <row r="357" spans="1:30" ht="14.25" hidden="1">
      <c r="A357" s="38" t="s">
        <v>70</v>
      </c>
      <c r="B357" s="85" t="s">
        <v>1408</v>
      </c>
      <c r="C357" s="85" t="s">
        <v>74</v>
      </c>
      <c r="D357" s="85" t="s">
        <v>778</v>
      </c>
      <c r="E357" s="86"/>
      <c r="F357" s="86" t="s">
        <v>767</v>
      </c>
      <c r="G357" s="85" t="s">
        <v>165</v>
      </c>
      <c r="H357" s="85" t="s">
        <v>1413</v>
      </c>
      <c r="I357" s="85" t="s">
        <v>1414</v>
      </c>
      <c r="J357" s="85" t="s">
        <v>1416</v>
      </c>
      <c r="K357" s="87">
        <v>413.46600000000001</v>
      </c>
      <c r="L357" s="87">
        <v>15</v>
      </c>
      <c r="M357" s="87">
        <v>41.917000000000002</v>
      </c>
      <c r="N357" s="87">
        <v>371.54899999999998</v>
      </c>
      <c r="O357" s="85" t="s">
        <v>97</v>
      </c>
      <c r="P357" s="85" t="s">
        <v>129</v>
      </c>
      <c r="Q357" s="87" t="s">
        <v>1425</v>
      </c>
      <c r="R357" s="88">
        <v>86331884</v>
      </c>
      <c r="S357" s="85" t="s">
        <v>79</v>
      </c>
      <c r="T357" s="88">
        <v>15181048</v>
      </c>
      <c r="U357" s="88">
        <v>3111715211</v>
      </c>
      <c r="V357" s="88">
        <v>5337904</v>
      </c>
      <c r="W357" s="88">
        <v>4470308</v>
      </c>
      <c r="X357" s="85" t="s">
        <v>79</v>
      </c>
      <c r="Y357" s="88">
        <v>204434348</v>
      </c>
      <c r="Z357" s="88">
        <v>-3421101</v>
      </c>
      <c r="AA357" s="85" t="s">
        <v>79</v>
      </c>
      <c r="AB357" s="88">
        <v>819296877</v>
      </c>
      <c r="AC357" s="85" t="s">
        <v>140</v>
      </c>
      <c r="AD357" s="85" t="s">
        <v>112</v>
      </c>
    </row>
    <row r="358" spans="1:30" ht="14.25" hidden="1">
      <c r="A358" s="38" t="s">
        <v>70</v>
      </c>
      <c r="B358" s="85" t="s">
        <v>1408</v>
      </c>
      <c r="C358" s="85" t="s">
        <v>74</v>
      </c>
      <c r="D358" s="85" t="s">
        <v>2604</v>
      </c>
      <c r="E358" s="86"/>
      <c r="F358" s="86" t="s">
        <v>767</v>
      </c>
      <c r="G358" s="85" t="s">
        <v>248</v>
      </c>
      <c r="H358" s="85" t="s">
        <v>1413</v>
      </c>
      <c r="I358" s="85" t="s">
        <v>1414</v>
      </c>
      <c r="J358" s="85" t="s">
        <v>1416</v>
      </c>
      <c r="K358" s="87">
        <v>413.46600000000001</v>
      </c>
      <c r="L358" s="87">
        <v>6</v>
      </c>
      <c r="M358" s="87">
        <v>41.917000000000002</v>
      </c>
      <c r="N358" s="87">
        <v>371.54899999999998</v>
      </c>
      <c r="O358" s="85" t="s">
        <v>97</v>
      </c>
      <c r="P358" s="85" t="s">
        <v>129</v>
      </c>
      <c r="Q358" s="87" t="s">
        <v>2605</v>
      </c>
      <c r="R358" s="88">
        <v>1070087485</v>
      </c>
      <c r="S358" s="85" t="s">
        <v>79</v>
      </c>
      <c r="T358" s="88">
        <v>28454101</v>
      </c>
      <c r="U358" s="88">
        <v>6183731621</v>
      </c>
      <c r="V358" s="88">
        <v>288749397</v>
      </c>
      <c r="W358" s="88">
        <v>943736854</v>
      </c>
      <c r="X358" s="85" t="s">
        <v>79</v>
      </c>
      <c r="Y358" s="88">
        <v>110282428</v>
      </c>
      <c r="Z358" s="88">
        <v>33684426</v>
      </c>
      <c r="AA358" s="85" t="s">
        <v>79</v>
      </c>
      <c r="AB358" s="88">
        <v>622947959</v>
      </c>
      <c r="AC358" s="85" t="s">
        <v>140</v>
      </c>
      <c r="AD358" s="85" t="s">
        <v>112</v>
      </c>
    </row>
    <row r="359" spans="1:30" ht="14.25" hidden="1">
      <c r="A359" s="38" t="s">
        <v>70</v>
      </c>
      <c r="B359" s="85" t="s">
        <v>1408</v>
      </c>
      <c r="C359" s="85" t="s">
        <v>74</v>
      </c>
      <c r="D359" s="85" t="s">
        <v>2608</v>
      </c>
      <c r="E359" s="86"/>
      <c r="F359" s="86" t="s">
        <v>767</v>
      </c>
      <c r="G359" s="85" t="s">
        <v>215</v>
      </c>
      <c r="H359" s="85" t="s">
        <v>1413</v>
      </c>
      <c r="I359" s="85" t="s">
        <v>1414</v>
      </c>
      <c r="J359" s="85" t="s">
        <v>1416</v>
      </c>
      <c r="K359" s="87">
        <v>413.46600000000001</v>
      </c>
      <c r="L359" s="87">
        <v>6</v>
      </c>
      <c r="M359" s="87">
        <v>41.917000000000002</v>
      </c>
      <c r="N359" s="87">
        <v>371.54899999999998</v>
      </c>
      <c r="O359" s="85" t="s">
        <v>97</v>
      </c>
      <c r="P359" s="85" t="s">
        <v>129</v>
      </c>
      <c r="Q359" s="87" t="s">
        <v>2609</v>
      </c>
      <c r="R359" s="88">
        <v>341801352</v>
      </c>
      <c r="S359" s="85" t="s">
        <v>79</v>
      </c>
      <c r="T359" s="88">
        <v>758358628</v>
      </c>
      <c r="U359" s="88">
        <v>2721358131</v>
      </c>
      <c r="V359" s="88">
        <v>518</v>
      </c>
      <c r="W359" s="88">
        <v>-101898693</v>
      </c>
      <c r="X359" s="85" t="s">
        <v>79</v>
      </c>
      <c r="Y359" s="88">
        <v>880858613</v>
      </c>
      <c r="Z359" s="88">
        <v>587863297</v>
      </c>
      <c r="AA359" s="85" t="s">
        <v>79</v>
      </c>
      <c r="AB359" s="88">
        <v>245627808</v>
      </c>
      <c r="AC359" s="85" t="s">
        <v>140</v>
      </c>
      <c r="AD359" s="85" t="s">
        <v>112</v>
      </c>
    </row>
    <row r="360" spans="1:30" ht="14.25" hidden="1">
      <c r="A360" s="23" t="s">
        <v>70</v>
      </c>
      <c r="B360" s="141" t="s">
        <v>2612</v>
      </c>
      <c r="C360" s="141" t="s">
        <v>74</v>
      </c>
      <c r="D360" s="24" t="s">
        <v>778</v>
      </c>
      <c r="E360" s="24"/>
      <c r="F360" s="24" t="s">
        <v>780</v>
      </c>
      <c r="G360" s="141" t="s">
        <v>165</v>
      </c>
      <c r="H360" s="141" t="s">
        <v>2613</v>
      </c>
      <c r="I360" s="141" t="s">
        <v>1414</v>
      </c>
      <c r="J360" s="141" t="s">
        <v>62</v>
      </c>
      <c r="K360" s="143">
        <v>484.59800000000001</v>
      </c>
      <c r="L360" s="143">
        <v>41</v>
      </c>
      <c r="M360" s="143">
        <v>39.515000000000001</v>
      </c>
      <c r="N360" s="143">
        <v>445.08300000000003</v>
      </c>
      <c r="O360" s="141" t="s">
        <v>97</v>
      </c>
      <c r="P360" s="141" t="s">
        <v>98</v>
      </c>
      <c r="Q360" s="141" t="s">
        <v>79</v>
      </c>
      <c r="R360" s="155">
        <v>981</v>
      </c>
      <c r="S360" s="141" t="s">
        <v>2614</v>
      </c>
      <c r="T360" s="155">
        <v>39</v>
      </c>
      <c r="U360" s="143" t="s">
        <v>2615</v>
      </c>
      <c r="V360" s="155">
        <v>34</v>
      </c>
      <c r="W360" s="155">
        <v>974</v>
      </c>
      <c r="X360" s="141" t="s">
        <v>2616</v>
      </c>
      <c r="Y360" s="155">
        <v>25</v>
      </c>
      <c r="Z360" s="143" t="s">
        <v>2617</v>
      </c>
      <c r="AA360" s="141" t="s">
        <v>2618</v>
      </c>
      <c r="AB360" s="143" t="s">
        <v>2619</v>
      </c>
      <c r="AC360" s="141" t="s">
        <v>140</v>
      </c>
      <c r="AD360" s="141" t="s">
        <v>155</v>
      </c>
    </row>
    <row r="361" spans="1:30" ht="14.25" hidden="1">
      <c r="A361" s="38" t="s">
        <v>70</v>
      </c>
      <c r="B361" s="105" t="s">
        <v>118</v>
      </c>
      <c r="C361" s="85" t="s">
        <v>74</v>
      </c>
      <c r="D361" s="105" t="s">
        <v>246</v>
      </c>
      <c r="E361" s="105"/>
      <c r="F361" s="105" t="s">
        <v>170</v>
      </c>
      <c r="G361" s="105" t="s">
        <v>248</v>
      </c>
      <c r="H361" s="105" t="s">
        <v>628</v>
      </c>
      <c r="I361" s="105" t="s">
        <v>133</v>
      </c>
      <c r="J361" s="105" t="s">
        <v>218</v>
      </c>
      <c r="K361" s="105">
        <v>156.078</v>
      </c>
      <c r="L361" s="105">
        <v>17</v>
      </c>
      <c r="M361" s="105">
        <v>20.629000000000001</v>
      </c>
      <c r="N361" s="105">
        <v>135.44900000000001</v>
      </c>
      <c r="O361" s="105" t="s">
        <v>79</v>
      </c>
      <c r="P361" s="85" t="s">
        <v>98</v>
      </c>
      <c r="Q361" s="106">
        <v>20679</v>
      </c>
      <c r="R361" s="106">
        <v>1230</v>
      </c>
      <c r="S361" s="105" t="s">
        <v>1660</v>
      </c>
      <c r="T361" s="106">
        <v>607</v>
      </c>
      <c r="U361" s="106">
        <v>29263</v>
      </c>
      <c r="V361" s="106">
        <v>222</v>
      </c>
      <c r="W361" s="106">
        <v>987</v>
      </c>
      <c r="X361" s="105" t="s">
        <v>2622</v>
      </c>
      <c r="Y361" s="106">
        <v>977</v>
      </c>
      <c r="Z361" s="106">
        <v>4737</v>
      </c>
      <c r="AA361" s="105" t="s">
        <v>2623</v>
      </c>
      <c r="AB361" s="106">
        <v>738</v>
      </c>
      <c r="AC361" s="85" t="s">
        <v>140</v>
      </c>
      <c r="AD361" s="85" t="s">
        <v>145</v>
      </c>
    </row>
    <row r="362" spans="1:30" ht="14.25">
      <c r="A362" s="49" t="s">
        <v>52</v>
      </c>
      <c r="B362" s="49" t="s">
        <v>135</v>
      </c>
      <c r="C362" s="49" t="s">
        <v>74</v>
      </c>
      <c r="D362" s="49" t="s">
        <v>164</v>
      </c>
      <c r="E362" s="49" t="s">
        <v>1650</v>
      </c>
      <c r="F362" s="49" t="s">
        <v>1650</v>
      </c>
      <c r="G362" s="49" t="s">
        <v>165</v>
      </c>
      <c r="H362" s="49" t="s">
        <v>1651</v>
      </c>
      <c r="I362" s="49" t="s">
        <v>133</v>
      </c>
      <c r="J362" s="49" t="s">
        <v>218</v>
      </c>
      <c r="K362" s="50">
        <v>193638</v>
      </c>
      <c r="L362" s="49">
        <v>41</v>
      </c>
      <c r="M362" s="49">
        <v>6915</v>
      </c>
      <c r="N362" s="50">
        <v>186723</v>
      </c>
      <c r="O362" s="49" t="s">
        <v>97</v>
      </c>
      <c r="P362" s="49" t="s">
        <v>98</v>
      </c>
      <c r="Q362" s="49" t="s">
        <v>79</v>
      </c>
      <c r="R362" s="49">
        <v>0.21099999999999999</v>
      </c>
      <c r="S362" s="49" t="s">
        <v>1759</v>
      </c>
      <c r="T362" s="49">
        <v>1.776E-7</v>
      </c>
      <c r="U362" s="49" t="s">
        <v>79</v>
      </c>
      <c r="V362" s="49">
        <v>0.115</v>
      </c>
      <c r="W362" s="49">
        <v>0.19600000000000001</v>
      </c>
      <c r="X362" s="49" t="s">
        <v>1760</v>
      </c>
      <c r="Y362" s="124">
        <v>7.3649999999999998E-6</v>
      </c>
      <c r="Z362" s="49">
        <v>0.34399999999999997</v>
      </c>
      <c r="AA362" s="49" t="s">
        <v>1761</v>
      </c>
      <c r="AB362" s="124">
        <v>0.4355</v>
      </c>
      <c r="AC362" s="49" t="s">
        <v>140</v>
      </c>
      <c r="AD362" s="49" t="s">
        <v>145</v>
      </c>
    </row>
    <row r="363" spans="1:30" ht="14.25">
      <c r="A363" s="29" t="s">
        <v>52</v>
      </c>
      <c r="B363" s="29" t="s">
        <v>153</v>
      </c>
      <c r="C363" s="29" t="s">
        <v>74</v>
      </c>
      <c r="D363" s="29" t="s">
        <v>164</v>
      </c>
      <c r="E363" s="29" t="s">
        <v>1650</v>
      </c>
      <c r="F363" s="29" t="s">
        <v>1650</v>
      </c>
      <c r="G363" s="29" t="s">
        <v>165</v>
      </c>
      <c r="H363" s="29"/>
      <c r="I363" s="29" t="s">
        <v>133</v>
      </c>
      <c r="J363" s="29" t="s">
        <v>1078</v>
      </c>
      <c r="K363" s="29">
        <f>M363+N363</f>
        <v>299999</v>
      </c>
      <c r="L363" s="29">
        <v>31</v>
      </c>
      <c r="M363" s="29">
        <v>16410</v>
      </c>
      <c r="N363" s="29">
        <v>283589</v>
      </c>
      <c r="O363" s="29" t="s">
        <v>97</v>
      </c>
      <c r="P363" s="29" t="s">
        <v>98</v>
      </c>
      <c r="Q363" s="29" t="s">
        <v>79</v>
      </c>
      <c r="R363" s="29" t="s">
        <v>1980</v>
      </c>
      <c r="S363" s="29" t="s">
        <v>1981</v>
      </c>
      <c r="T363" s="29" t="s">
        <v>1165</v>
      </c>
      <c r="U363" s="29" t="s">
        <v>79</v>
      </c>
      <c r="V363" s="29">
        <v>0.95099999999999996</v>
      </c>
      <c r="W363" s="29" t="s">
        <v>1837</v>
      </c>
      <c r="X363" s="29" t="s">
        <v>1982</v>
      </c>
      <c r="Y363" s="29" t="s">
        <v>1983</v>
      </c>
      <c r="Z363" s="29" t="s">
        <v>1611</v>
      </c>
      <c r="AA363" s="29" t="s">
        <v>1984</v>
      </c>
      <c r="AB363" s="29" t="s">
        <v>1985</v>
      </c>
      <c r="AC363" s="29" t="s">
        <v>140</v>
      </c>
      <c r="AD363" s="29" t="s">
        <v>145</v>
      </c>
    </row>
    <row r="364" spans="1:30" ht="15.75" hidden="1" customHeight="1">
      <c r="A364" s="38" t="s">
        <v>70</v>
      </c>
      <c r="B364" s="105" t="s">
        <v>118</v>
      </c>
      <c r="C364" s="85" t="s">
        <v>74</v>
      </c>
      <c r="D364" s="105" t="s">
        <v>75</v>
      </c>
      <c r="E364" s="105"/>
      <c r="F364" s="105" t="s">
        <v>170</v>
      </c>
      <c r="G364" s="105" t="s">
        <v>113</v>
      </c>
      <c r="H364" s="105" t="s">
        <v>628</v>
      </c>
      <c r="I364" s="105" t="s">
        <v>133</v>
      </c>
      <c r="J364" s="105" t="s">
        <v>218</v>
      </c>
      <c r="K364" s="105">
        <v>156.078</v>
      </c>
      <c r="L364" s="105">
        <v>52</v>
      </c>
      <c r="M364" s="105">
        <v>20.629000000000001</v>
      </c>
      <c r="N364" s="105">
        <v>135.44900000000001</v>
      </c>
      <c r="O364" s="105" t="s">
        <v>79</v>
      </c>
      <c r="P364" s="85" t="s">
        <v>98</v>
      </c>
      <c r="Q364" s="106">
        <v>15502</v>
      </c>
      <c r="R364" s="106">
        <v>489</v>
      </c>
      <c r="S364" s="105" t="s">
        <v>1139</v>
      </c>
      <c r="T364" s="106">
        <v>954</v>
      </c>
      <c r="U364" s="106">
        <v>61804</v>
      </c>
      <c r="V364" s="106">
        <v>143</v>
      </c>
      <c r="W364" s="106">
        <v>462</v>
      </c>
      <c r="X364" s="105" t="s">
        <v>1145</v>
      </c>
      <c r="Y364" s="106">
        <v>11</v>
      </c>
      <c r="Z364" s="106">
        <v>971</v>
      </c>
      <c r="AA364" s="105" t="s">
        <v>1148</v>
      </c>
      <c r="AB364" s="106">
        <v>968</v>
      </c>
      <c r="AC364" s="85" t="s">
        <v>140</v>
      </c>
      <c r="AD364" s="85" t="s">
        <v>145</v>
      </c>
    </row>
    <row r="365" spans="1:30" ht="15.75" hidden="1" customHeight="1">
      <c r="A365" s="23" t="s">
        <v>70</v>
      </c>
      <c r="B365" s="156" t="s">
        <v>119</v>
      </c>
      <c r="C365" s="156" t="s">
        <v>74</v>
      </c>
      <c r="D365" s="156" t="s">
        <v>164</v>
      </c>
      <c r="E365" s="156"/>
      <c r="F365" s="156" t="s">
        <v>2632</v>
      </c>
      <c r="G365" s="156" t="s">
        <v>165</v>
      </c>
      <c r="H365" s="156" t="s">
        <v>79</v>
      </c>
      <c r="I365" s="156" t="s">
        <v>133</v>
      </c>
      <c r="J365" s="156" t="s">
        <v>2483</v>
      </c>
      <c r="K365" s="156">
        <v>184.30500000000001</v>
      </c>
      <c r="L365" s="156">
        <v>28</v>
      </c>
      <c r="M365" s="156">
        <v>60.801000000000002</v>
      </c>
      <c r="N365" s="156">
        <v>123.504</v>
      </c>
      <c r="O365" s="156" t="s">
        <v>79</v>
      </c>
      <c r="P365" s="156" t="s">
        <v>98</v>
      </c>
      <c r="Q365" s="156" t="s">
        <v>62</v>
      </c>
      <c r="R365" s="156" t="s">
        <v>2633</v>
      </c>
      <c r="S365" s="156" t="s">
        <v>2634</v>
      </c>
      <c r="T365" s="157">
        <v>826</v>
      </c>
      <c r="U365" s="156" t="s">
        <v>79</v>
      </c>
      <c r="V365" s="156" t="s">
        <v>79</v>
      </c>
      <c r="W365" s="156" t="s">
        <v>79</v>
      </c>
      <c r="X365" s="156" t="s">
        <v>79</v>
      </c>
      <c r="Y365" s="156" t="s">
        <v>79</v>
      </c>
      <c r="Z365" s="156" t="s">
        <v>79</v>
      </c>
      <c r="AA365" s="156" t="s">
        <v>79</v>
      </c>
      <c r="AB365" s="156" t="s">
        <v>79</v>
      </c>
      <c r="AC365" s="156" t="s">
        <v>140</v>
      </c>
      <c r="AD365" s="156" t="s">
        <v>1689</v>
      </c>
    </row>
    <row r="366" spans="1:30" ht="15.75" hidden="1" customHeight="1">
      <c r="A366" s="23" t="s">
        <v>70</v>
      </c>
      <c r="B366" s="156" t="s">
        <v>119</v>
      </c>
      <c r="C366" s="156" t="s">
        <v>74</v>
      </c>
      <c r="D366" s="156" t="s">
        <v>164</v>
      </c>
      <c r="E366" s="156"/>
      <c r="F366" s="156" t="s">
        <v>2637</v>
      </c>
      <c r="G366" s="156" t="s">
        <v>165</v>
      </c>
      <c r="H366" s="156" t="s">
        <v>79</v>
      </c>
      <c r="I366" s="156" t="s">
        <v>133</v>
      </c>
      <c r="J366" s="156" t="s">
        <v>2483</v>
      </c>
      <c r="K366" s="156">
        <v>184.30500000000001</v>
      </c>
      <c r="L366" s="156">
        <v>28</v>
      </c>
      <c r="M366" s="156">
        <v>60.801000000000002</v>
      </c>
      <c r="N366" s="156">
        <v>123.504</v>
      </c>
      <c r="O366" s="156" t="s">
        <v>79</v>
      </c>
      <c r="P366" s="156" t="s">
        <v>98</v>
      </c>
      <c r="Q366" s="156" t="s">
        <v>62</v>
      </c>
      <c r="R366" s="156" t="s">
        <v>2633</v>
      </c>
      <c r="S366" s="156" t="s">
        <v>2638</v>
      </c>
      <c r="T366" s="157">
        <v>1463</v>
      </c>
      <c r="U366" s="156" t="s">
        <v>79</v>
      </c>
      <c r="V366" s="156" t="s">
        <v>79</v>
      </c>
      <c r="W366" s="156" t="s">
        <v>79</v>
      </c>
      <c r="X366" s="156" t="s">
        <v>79</v>
      </c>
      <c r="Y366" s="156" t="s">
        <v>79</v>
      </c>
      <c r="Z366" s="156" t="s">
        <v>79</v>
      </c>
      <c r="AA366" s="156" t="s">
        <v>79</v>
      </c>
      <c r="AB366" s="156" t="s">
        <v>79</v>
      </c>
      <c r="AC366" s="156" t="s">
        <v>109</v>
      </c>
      <c r="AD366" s="156" t="s">
        <v>1689</v>
      </c>
    </row>
    <row r="367" spans="1:30" ht="15.75" hidden="1" customHeight="1">
      <c r="A367" s="23" t="s">
        <v>70</v>
      </c>
      <c r="B367" s="156" t="s">
        <v>119</v>
      </c>
      <c r="C367" s="156" t="s">
        <v>74</v>
      </c>
      <c r="D367" s="156" t="s">
        <v>164</v>
      </c>
      <c r="E367" s="156"/>
      <c r="F367" s="156" t="s">
        <v>2416</v>
      </c>
      <c r="G367" s="156" t="s">
        <v>165</v>
      </c>
      <c r="H367" s="156" t="s">
        <v>79</v>
      </c>
      <c r="I367" s="156" t="s">
        <v>133</v>
      </c>
      <c r="J367" s="156" t="s">
        <v>2497</v>
      </c>
      <c r="K367" s="156">
        <v>977.32299999999998</v>
      </c>
      <c r="L367" s="156">
        <v>28</v>
      </c>
      <c r="M367" s="156">
        <v>47.308999999999997</v>
      </c>
      <c r="N367" s="156">
        <v>930.01400000000001</v>
      </c>
      <c r="O367" s="156" t="s">
        <v>79</v>
      </c>
      <c r="P367" s="156" t="s">
        <v>98</v>
      </c>
      <c r="Q367" s="156" t="s">
        <v>62</v>
      </c>
      <c r="R367" s="156" t="s">
        <v>2641</v>
      </c>
      <c r="S367" s="156" t="s">
        <v>2642</v>
      </c>
      <c r="T367" s="157">
        <v>43</v>
      </c>
      <c r="U367" s="157">
        <v>38736</v>
      </c>
      <c r="V367" s="157">
        <v>67</v>
      </c>
      <c r="W367" s="157">
        <v>7590</v>
      </c>
      <c r="X367" s="156" t="s">
        <v>2643</v>
      </c>
      <c r="Y367" s="157">
        <v>2293</v>
      </c>
      <c r="Z367" s="157">
        <v>4131</v>
      </c>
      <c r="AA367" s="156" t="s">
        <v>2644</v>
      </c>
      <c r="AB367" s="157">
        <v>3636</v>
      </c>
      <c r="AC367" s="156" t="s">
        <v>140</v>
      </c>
      <c r="AD367" s="156" t="s">
        <v>1689</v>
      </c>
    </row>
    <row r="368" spans="1:30" ht="15.75" hidden="1" customHeight="1">
      <c r="A368" s="23" t="s">
        <v>70</v>
      </c>
      <c r="B368" s="156" t="s">
        <v>119</v>
      </c>
      <c r="C368" s="156" t="s">
        <v>74</v>
      </c>
      <c r="D368" s="156" t="s">
        <v>164</v>
      </c>
      <c r="E368" s="156"/>
      <c r="F368" s="156" t="s">
        <v>2646</v>
      </c>
      <c r="G368" s="156" t="s">
        <v>165</v>
      </c>
      <c r="H368" s="156" t="s">
        <v>79</v>
      </c>
      <c r="I368" s="156" t="s">
        <v>133</v>
      </c>
      <c r="J368" s="156" t="s">
        <v>2488</v>
      </c>
      <c r="K368" s="156">
        <v>438.84699999999998</v>
      </c>
      <c r="L368" s="156">
        <v>28</v>
      </c>
      <c r="M368" s="156">
        <v>34.216999999999999</v>
      </c>
      <c r="N368" s="156">
        <v>404.63</v>
      </c>
      <c r="O368" s="156" t="s">
        <v>79</v>
      </c>
      <c r="P368" s="156" t="s">
        <v>98</v>
      </c>
      <c r="Q368" s="156" t="s">
        <v>62</v>
      </c>
      <c r="R368" s="156" t="s">
        <v>2649</v>
      </c>
      <c r="S368" s="156" t="s">
        <v>2650</v>
      </c>
      <c r="T368" s="157">
        <v>4</v>
      </c>
      <c r="U368" s="157">
        <v>36627</v>
      </c>
      <c r="V368" s="157">
        <v>102</v>
      </c>
      <c r="W368" s="157">
        <v>6020</v>
      </c>
      <c r="X368" s="156" t="s">
        <v>2651</v>
      </c>
      <c r="Y368" s="157">
        <v>809</v>
      </c>
      <c r="Z368" s="157">
        <v>3347</v>
      </c>
      <c r="AA368" s="156" t="s">
        <v>2652</v>
      </c>
      <c r="AB368" s="157">
        <v>3677</v>
      </c>
      <c r="AC368" s="156" t="s">
        <v>140</v>
      </c>
      <c r="AD368" s="156" t="s">
        <v>1689</v>
      </c>
    </row>
    <row r="369" spans="1:30" ht="15.75" hidden="1" customHeight="1">
      <c r="A369" s="23" t="s">
        <v>70</v>
      </c>
      <c r="B369" s="156" t="s">
        <v>119</v>
      </c>
      <c r="C369" s="156" t="s">
        <v>74</v>
      </c>
      <c r="D369" s="156" t="s">
        <v>164</v>
      </c>
      <c r="E369" s="156"/>
      <c r="F369" s="156" t="s">
        <v>2655</v>
      </c>
      <c r="G369" s="156" t="s">
        <v>165</v>
      </c>
      <c r="H369" s="156" t="s">
        <v>79</v>
      </c>
      <c r="I369" s="156" t="s">
        <v>133</v>
      </c>
      <c r="J369" s="156" t="s">
        <v>2488</v>
      </c>
      <c r="K369" s="156" t="s">
        <v>62</v>
      </c>
      <c r="L369" s="156">
        <v>28</v>
      </c>
      <c r="M369" s="156" t="s">
        <v>62</v>
      </c>
      <c r="N369" s="156" t="s">
        <v>62</v>
      </c>
      <c r="O369" s="156" t="s">
        <v>79</v>
      </c>
      <c r="P369" s="156" t="s">
        <v>98</v>
      </c>
      <c r="Q369" s="156" t="s">
        <v>62</v>
      </c>
      <c r="R369" s="156" t="s">
        <v>2656</v>
      </c>
      <c r="S369" s="156" t="s">
        <v>2657</v>
      </c>
      <c r="T369" s="157">
        <v>684</v>
      </c>
      <c r="U369" s="156" t="s">
        <v>79</v>
      </c>
      <c r="V369" s="156" t="s">
        <v>79</v>
      </c>
      <c r="W369" s="156" t="s">
        <v>79</v>
      </c>
      <c r="X369" s="156" t="s">
        <v>79</v>
      </c>
      <c r="Y369" s="156" t="s">
        <v>79</v>
      </c>
      <c r="Z369" s="156" t="s">
        <v>79</v>
      </c>
      <c r="AA369" s="156" t="s">
        <v>79</v>
      </c>
      <c r="AB369" s="156" t="s">
        <v>79</v>
      </c>
      <c r="AC369" s="156" t="s">
        <v>140</v>
      </c>
      <c r="AD369" s="156" t="s">
        <v>1689</v>
      </c>
    </row>
    <row r="370" spans="1:30" ht="15.75" hidden="1" customHeight="1">
      <c r="A370" s="23" t="s">
        <v>70</v>
      </c>
      <c r="B370" s="156" t="s">
        <v>119</v>
      </c>
      <c r="C370" s="156" t="s">
        <v>74</v>
      </c>
      <c r="D370" s="156" t="s">
        <v>164</v>
      </c>
      <c r="E370" s="156"/>
      <c r="F370" s="156" t="s">
        <v>2658</v>
      </c>
      <c r="G370" s="156" t="s">
        <v>165</v>
      </c>
      <c r="H370" s="156" t="s">
        <v>79</v>
      </c>
      <c r="I370" s="156" t="s">
        <v>133</v>
      </c>
      <c r="J370" s="156" t="s">
        <v>2488</v>
      </c>
      <c r="K370" s="156" t="s">
        <v>62</v>
      </c>
      <c r="L370" s="156">
        <v>28</v>
      </c>
      <c r="M370" s="156" t="s">
        <v>62</v>
      </c>
      <c r="N370" s="156" t="s">
        <v>62</v>
      </c>
      <c r="O370" s="156" t="s">
        <v>79</v>
      </c>
      <c r="P370" s="156" t="s">
        <v>98</v>
      </c>
      <c r="Q370" s="156" t="s">
        <v>62</v>
      </c>
      <c r="R370" s="156" t="s">
        <v>2661</v>
      </c>
      <c r="S370" s="156" t="s">
        <v>2662</v>
      </c>
      <c r="T370" s="157">
        <v>180</v>
      </c>
      <c r="U370" s="157">
        <v>28023</v>
      </c>
      <c r="V370" s="157">
        <v>410</v>
      </c>
      <c r="W370" s="157">
        <v>3540</v>
      </c>
      <c r="X370" s="156" t="s">
        <v>2663</v>
      </c>
      <c r="Y370" s="157">
        <v>1009</v>
      </c>
      <c r="Z370" s="157">
        <v>830</v>
      </c>
      <c r="AA370" s="156" t="s">
        <v>2664</v>
      </c>
      <c r="AB370" s="157">
        <v>3091</v>
      </c>
      <c r="AC370" s="156" t="s">
        <v>140</v>
      </c>
      <c r="AD370" s="156" t="s">
        <v>1689</v>
      </c>
    </row>
    <row r="371" spans="1:30" ht="15.75" hidden="1" customHeight="1">
      <c r="A371" s="23" t="s">
        <v>70</v>
      </c>
      <c r="B371" s="156" t="s">
        <v>119</v>
      </c>
      <c r="C371" s="156" t="s">
        <v>74</v>
      </c>
      <c r="D371" s="156" t="s">
        <v>164</v>
      </c>
      <c r="E371" s="156"/>
      <c r="F371" s="156" t="s">
        <v>2665</v>
      </c>
      <c r="G371" s="156" t="s">
        <v>165</v>
      </c>
      <c r="H371" s="156" t="s">
        <v>79</v>
      </c>
      <c r="I371" s="156" t="s">
        <v>133</v>
      </c>
      <c r="J371" s="156" t="s">
        <v>2488</v>
      </c>
      <c r="K371" s="156" t="s">
        <v>62</v>
      </c>
      <c r="L371" s="156">
        <v>28</v>
      </c>
      <c r="M371" s="156" t="s">
        <v>62</v>
      </c>
      <c r="N371" s="156" t="s">
        <v>62</v>
      </c>
      <c r="O371" s="156" t="s">
        <v>79</v>
      </c>
      <c r="P371" s="156" t="s">
        <v>98</v>
      </c>
      <c r="Q371" s="156" t="s">
        <v>62</v>
      </c>
      <c r="R371" s="156" t="s">
        <v>2668</v>
      </c>
      <c r="S371" s="156" t="s">
        <v>2669</v>
      </c>
      <c r="T371" s="157">
        <v>6481</v>
      </c>
      <c r="U371" s="156" t="s">
        <v>79</v>
      </c>
      <c r="V371" s="156" t="s">
        <v>79</v>
      </c>
      <c r="W371" s="156" t="s">
        <v>79</v>
      </c>
      <c r="X371" s="156" t="s">
        <v>79</v>
      </c>
      <c r="Y371" s="156" t="s">
        <v>79</v>
      </c>
      <c r="Z371" s="156" t="s">
        <v>79</v>
      </c>
      <c r="AA371" s="156" t="s">
        <v>79</v>
      </c>
      <c r="AB371" s="156" t="s">
        <v>79</v>
      </c>
      <c r="AC371" s="156" t="s">
        <v>140</v>
      </c>
      <c r="AD371" s="156" t="s">
        <v>1689</v>
      </c>
    </row>
    <row r="372" spans="1:30" ht="15.75" customHeight="1">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row>
    <row r="373" spans="1:30" ht="15.75" customHeight="1">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row>
    <row r="374" spans="1:30" ht="14.25">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row>
    <row r="375" spans="1:30" ht="14.2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row>
    <row r="376" spans="1:30" ht="14.25">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row>
    <row r="377" spans="1:30" ht="14.25">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row>
    <row r="378" spans="1:30" ht="14.25">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row>
    <row r="379" spans="1:30" ht="14.25">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row>
    <row r="380" spans="1:30" ht="14.25">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row>
    <row r="381" spans="1:30" ht="14.25">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row>
    <row r="382" spans="1:30" ht="14.25">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row>
    <row r="383" spans="1:30" ht="14.25">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row>
    <row r="384" spans="1:30" ht="14.25">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row>
    <row r="385" spans="1:30" ht="14.2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row>
    <row r="386" spans="1:30" ht="14.25">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row>
    <row r="387" spans="1:30" ht="14.25">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row>
    <row r="388" spans="1:30" ht="14.25">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row>
    <row r="389" spans="1:30" ht="14.25">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row>
    <row r="390" spans="1:30" ht="14.25">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row>
    <row r="391" spans="1:30" ht="14.25">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row>
    <row r="392" spans="1:30" ht="14.25">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row>
    <row r="393" spans="1:30" ht="14.25">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row>
    <row r="394" spans="1:30" ht="14.25">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row>
    <row r="395" spans="1:30" ht="14.2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row>
    <row r="396" spans="1:30" ht="14.25">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row>
    <row r="397" spans="1:30" ht="14.25">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row>
    <row r="398" spans="1:30" ht="14.25">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row>
    <row r="399" spans="1:30" ht="14.25">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row>
    <row r="400" spans="1:30" ht="14.25">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row>
    <row r="401" spans="1:30" ht="14.25">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row>
    <row r="402" spans="1:30" ht="14.25">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row>
    <row r="403" spans="1:30" ht="14.25">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row>
    <row r="404" spans="1:30" ht="14.25">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row>
    <row r="405" spans="1:30" ht="14.2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row>
    <row r="406" spans="1:30" ht="14.25">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row>
    <row r="407" spans="1:30" ht="14.25">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row>
    <row r="408" spans="1:30" ht="14.25">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row>
    <row r="409" spans="1:30" ht="14.25">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row>
    <row r="410" spans="1:30" ht="14.25">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row>
    <row r="411" spans="1:30" ht="14.25">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row>
    <row r="412" spans="1:30" ht="14.25">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row>
    <row r="413" spans="1:30" ht="14.25">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row>
    <row r="414" spans="1:30" ht="14.25">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row>
    <row r="415" spans="1:30" ht="14.2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row>
    <row r="416" spans="1:30" ht="14.25">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row>
    <row r="417" spans="1:30" ht="14.25">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row>
    <row r="418" spans="1:30" ht="14.25">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row>
    <row r="419" spans="1:30" ht="14.25">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row>
    <row r="420" spans="1:30" ht="14.25">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row>
    <row r="421" spans="1:30" ht="14.25">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row>
    <row r="422" spans="1:30" ht="14.25">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row>
    <row r="423" spans="1:30" ht="14.25">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row>
    <row r="424" spans="1:30" ht="14.25">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row>
    <row r="425" spans="1:30" ht="14.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row>
    <row r="426" spans="1:30" ht="14.25">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row>
    <row r="427" spans="1:30" ht="14.25">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row>
    <row r="428" spans="1:30" ht="14.25">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row>
    <row r="429" spans="1:30" ht="14.25">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row>
    <row r="430" spans="1:30" ht="14.25">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row>
    <row r="431" spans="1:30" ht="14.25">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row>
    <row r="432" spans="1:30" ht="14.25">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row>
    <row r="433" spans="1:30" ht="14.25">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row>
    <row r="434" spans="1:30" ht="14.25">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row>
    <row r="435" spans="1:30" ht="14.2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row>
    <row r="436" spans="1:30" ht="14.25">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row>
    <row r="437" spans="1:30" ht="14.25">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row>
    <row r="438" spans="1:30" ht="14.25">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row>
    <row r="439" spans="1:30" ht="14.25">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row>
    <row r="440" spans="1:30" ht="14.25">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row>
    <row r="441" spans="1:30" ht="14.25">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row>
    <row r="442" spans="1:30" ht="14.25">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row>
    <row r="443" spans="1:30" ht="14.25">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row>
    <row r="444" spans="1:30" ht="14.25">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row>
    <row r="445" spans="1:30" ht="14.2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row>
    <row r="446" spans="1:30" ht="14.25">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row>
    <row r="447" spans="1:30" ht="14.25">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row>
    <row r="448" spans="1:30" ht="14.25">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row>
    <row r="449" spans="1:30" ht="14.25">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row>
    <row r="450" spans="1:30" ht="14.25">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row>
    <row r="451" spans="1:30" ht="14.25">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row>
    <row r="452" spans="1:30" ht="14.25">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row>
    <row r="453" spans="1:30" ht="14.25">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row>
    <row r="454" spans="1:30" ht="14.25">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row>
    <row r="455" spans="1:30" ht="14.2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row>
    <row r="456" spans="1:30" ht="14.25">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row>
    <row r="457" spans="1:30" ht="14.25">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row>
    <row r="458" spans="1:30" ht="14.25">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row>
    <row r="459" spans="1:30" ht="14.25">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row>
    <row r="460" spans="1:30" ht="14.25">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row>
    <row r="461" spans="1:30" ht="14.25">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row>
    <row r="462" spans="1:30" ht="14.25">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row>
    <row r="463" spans="1:30" ht="14.25">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row>
    <row r="464" spans="1:30" ht="14.25">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row>
    <row r="465" spans="1:30" ht="14.2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row>
    <row r="466" spans="1:30" ht="14.25">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row>
    <row r="467" spans="1:30" ht="14.25">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row>
    <row r="468" spans="1:30" ht="14.25">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row>
    <row r="469" spans="1:30" ht="14.25">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row>
    <row r="470" spans="1:30" ht="14.25">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row>
    <row r="471" spans="1:30" ht="14.25">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row>
    <row r="472" spans="1:30" ht="14.25">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row>
    <row r="473" spans="1:30" ht="14.25">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row>
    <row r="474" spans="1:30" ht="14.25">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row>
    <row r="475" spans="1:30" ht="14.2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row>
    <row r="476" spans="1:30" ht="14.25">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row>
    <row r="477" spans="1:30" ht="14.25">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row>
    <row r="478" spans="1:30" ht="14.25">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row>
    <row r="479" spans="1:30" ht="14.25">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row>
    <row r="480" spans="1:30" ht="14.25">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row>
    <row r="481" spans="1:30" ht="14.25">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row>
    <row r="482" spans="1:30" ht="14.25">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row>
    <row r="483" spans="1:30" ht="14.25">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row>
    <row r="484" spans="1:30" ht="14.25">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row>
    <row r="485" spans="1:30" ht="14.2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row>
    <row r="486" spans="1:30" ht="14.25">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row>
    <row r="487" spans="1:30" ht="14.25">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row>
    <row r="488" spans="1:30" ht="14.25">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row>
    <row r="489" spans="1:30" ht="14.25">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row>
    <row r="490" spans="1:30" ht="14.25">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row>
    <row r="491" spans="1:30" ht="14.25">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row>
    <row r="492" spans="1:30" ht="14.25">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row>
    <row r="493" spans="1:30" ht="14.25">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row>
    <row r="494" spans="1:30" ht="14.25">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row>
    <row r="495" spans="1:30" ht="14.2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row>
    <row r="496" spans="1:30" ht="14.25">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row>
    <row r="497" spans="1:30" ht="14.25">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row>
    <row r="498" spans="1:30" ht="14.25">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row>
    <row r="499" spans="1:30" ht="14.25">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row>
    <row r="500" spans="1:30" ht="14.25">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row>
    <row r="501" spans="1:30" ht="14.25">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row>
    <row r="502" spans="1:30" ht="14.25">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row>
    <row r="503" spans="1:30" ht="14.25">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row>
    <row r="504" spans="1:30" ht="14.25">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row>
    <row r="505" spans="1:30" ht="14.2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row>
    <row r="506" spans="1:30" ht="14.25">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row>
    <row r="507" spans="1:30" ht="14.25">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row>
    <row r="508" spans="1:30" ht="14.25">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row>
    <row r="509" spans="1:30" ht="14.25">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row>
    <row r="510" spans="1:30" ht="14.25">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row>
    <row r="511" spans="1:30" ht="14.25">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row>
    <row r="512" spans="1:30" ht="14.25">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row>
    <row r="513" spans="1:30" ht="14.25">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row>
    <row r="514" spans="1:30" ht="14.25">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row>
    <row r="515" spans="1:30" ht="14.2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row>
    <row r="516" spans="1:30" ht="14.25">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row>
    <row r="517" spans="1:30" ht="14.25">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row>
    <row r="518" spans="1:30" ht="14.25">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row>
    <row r="519" spans="1:30" ht="14.25">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row>
    <row r="520" spans="1:30" ht="14.25">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row>
    <row r="521" spans="1:30" ht="14.25">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row>
    <row r="522" spans="1:30" ht="14.25">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row>
    <row r="523" spans="1:30" ht="14.25">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row>
    <row r="524" spans="1:30" ht="14.25">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row>
    <row r="525" spans="1:30" ht="14.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row>
    <row r="526" spans="1:30" ht="14.25">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row>
    <row r="527" spans="1:30" ht="14.25">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row>
    <row r="528" spans="1:30" ht="14.25">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row>
    <row r="529" spans="1:30" ht="14.25">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row>
    <row r="530" spans="1:30" ht="14.25">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row>
    <row r="531" spans="1:30" ht="14.25">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row>
    <row r="532" spans="1:30" ht="14.25">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row>
    <row r="533" spans="1:30" ht="14.25">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row>
    <row r="534" spans="1:30" ht="14.25">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row>
    <row r="535" spans="1:30" ht="14.2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row>
    <row r="536" spans="1:30" ht="14.25">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row>
    <row r="537" spans="1:30" ht="14.25">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row>
    <row r="538" spans="1:30" ht="14.25">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row>
    <row r="539" spans="1:30" ht="14.25">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row>
    <row r="540" spans="1:30" ht="14.25">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row>
    <row r="541" spans="1:30" ht="14.25">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row>
    <row r="542" spans="1:30" ht="14.25">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row>
    <row r="543" spans="1:30" ht="14.25">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row>
    <row r="544" spans="1:30" ht="14.25">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row>
    <row r="545" spans="1:30" ht="14.2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row>
    <row r="546" spans="1:30" ht="14.25">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row>
    <row r="547" spans="1:30" ht="14.25">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row>
    <row r="548" spans="1:30" ht="14.25">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row>
    <row r="549" spans="1:30" ht="14.25">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row>
    <row r="550" spans="1:30" ht="14.25">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row>
    <row r="551" spans="1:30" ht="14.25">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row>
    <row r="552" spans="1:30" ht="14.25">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row>
    <row r="553" spans="1:30" ht="14.25">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row>
    <row r="554" spans="1:30" ht="14.25">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row>
    <row r="555" spans="1:30" ht="14.2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row>
    <row r="556" spans="1:30" ht="14.25">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row>
    <row r="557" spans="1:30" ht="14.25">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row>
    <row r="558" spans="1:30" ht="14.25">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row>
    <row r="559" spans="1:30" ht="14.25">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row>
    <row r="560" spans="1:30" ht="14.25">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row>
    <row r="561" spans="1:30" ht="14.25">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row>
    <row r="562" spans="1:30" ht="14.25">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row>
    <row r="563" spans="1:30" ht="14.25">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row>
    <row r="564" spans="1:30" ht="14.25">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row>
    <row r="565" spans="1:30" ht="14.2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row>
    <row r="566" spans="1:30" ht="14.25">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row>
    <row r="567" spans="1:30" ht="14.25">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row>
    <row r="568" spans="1:30" ht="14.25">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row>
    <row r="569" spans="1:30" ht="14.25">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row>
    <row r="570" spans="1:30" ht="14.25">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row>
    <row r="571" spans="1:30" ht="14.25">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row>
    <row r="572" spans="1:30" ht="14.25">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row>
    <row r="573" spans="1:30" ht="14.25">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row>
    <row r="574" spans="1:30" ht="14.25">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row>
    <row r="575" spans="1:30" ht="14.2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row>
    <row r="576" spans="1:30" ht="14.25">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row>
    <row r="577" spans="1:30" ht="14.25">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row>
    <row r="578" spans="1:30" ht="14.25">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row>
    <row r="579" spans="1:30" ht="14.25">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row>
    <row r="580" spans="1:30" ht="14.25">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row>
    <row r="581" spans="1:30" ht="14.25">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row>
    <row r="582" spans="1:30" ht="14.25">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row>
    <row r="583" spans="1:30" ht="14.25">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row>
    <row r="584" spans="1:30" ht="14.25">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row>
    <row r="585" spans="1:30" ht="14.2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row>
    <row r="586" spans="1:30" ht="14.25">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row>
    <row r="587" spans="1:30" ht="14.25">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row>
    <row r="588" spans="1:30" ht="14.25">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row>
    <row r="589" spans="1:30" ht="14.25">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row>
    <row r="590" spans="1:30" ht="14.25">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row>
    <row r="591" spans="1:30" ht="14.25">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row>
    <row r="592" spans="1:30" ht="14.25">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row>
    <row r="593" spans="1:30" ht="14.25">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row>
    <row r="594" spans="1:30" ht="14.25">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row>
    <row r="595" spans="1:30" ht="14.2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row>
    <row r="596" spans="1:30" ht="14.25">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row>
    <row r="597" spans="1:30" ht="14.25">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row>
    <row r="598" spans="1:30" ht="14.25">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row>
    <row r="599" spans="1:30" ht="14.25">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row>
    <row r="600" spans="1:30" ht="14.25">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row>
    <row r="601" spans="1:30" ht="14.25">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row>
    <row r="602" spans="1:30" ht="14.25">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row>
    <row r="603" spans="1:30" ht="14.25">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row>
    <row r="604" spans="1:30" ht="14.25">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row>
    <row r="605" spans="1:30" ht="14.2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row>
    <row r="606" spans="1:30" ht="14.25">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row>
    <row r="607" spans="1:30" ht="14.25">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row>
    <row r="608" spans="1:30" ht="14.25">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row>
    <row r="609" spans="1:30" ht="14.25">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row>
    <row r="610" spans="1:30" ht="14.25">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row>
    <row r="611" spans="1:30" ht="14.25">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row>
    <row r="612" spans="1:30" ht="14.25">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row>
    <row r="613" spans="1:30" ht="14.25">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row>
    <row r="614" spans="1:30" ht="14.25">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row>
    <row r="615" spans="1:30" ht="14.2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row>
    <row r="616" spans="1:30" ht="14.25">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row>
    <row r="617" spans="1:30" ht="14.25">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row>
    <row r="618" spans="1:30" ht="14.25">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row>
    <row r="619" spans="1:30" ht="14.25">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row>
    <row r="620" spans="1:30" ht="14.25">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row>
    <row r="621" spans="1:30" ht="14.25">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row>
    <row r="622" spans="1:30" ht="14.25">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row>
    <row r="623" spans="1:30" ht="14.25">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row>
    <row r="624" spans="1:30" ht="14.25">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row>
    <row r="625" spans="1:30" ht="14.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row>
    <row r="626" spans="1:30" ht="14.25">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row>
    <row r="627" spans="1:30" ht="14.25">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row>
    <row r="628" spans="1:30" ht="14.25">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row>
    <row r="629" spans="1:30" ht="14.25">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row>
    <row r="630" spans="1:30" ht="14.25">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row>
    <row r="631" spans="1:30" ht="14.25">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row>
    <row r="632" spans="1:30" ht="14.25">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row>
    <row r="633" spans="1:30" ht="14.25">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row>
    <row r="634" spans="1:30" ht="14.25">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row>
    <row r="635" spans="1:30" ht="14.2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row>
    <row r="636" spans="1:30" ht="14.25">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row>
    <row r="637" spans="1:30" ht="14.25">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row>
    <row r="638" spans="1:30" ht="14.25">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row>
    <row r="639" spans="1:30" ht="14.25">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row>
    <row r="640" spans="1:30" ht="14.25">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row>
    <row r="641" spans="1:30" ht="14.25">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row>
    <row r="642" spans="1:30" ht="14.25">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row>
    <row r="643" spans="1:30" ht="14.25">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row>
    <row r="644" spans="1:30" ht="14.25">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row>
    <row r="645" spans="1:30" ht="14.2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row>
    <row r="646" spans="1:30" ht="14.25">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row>
    <row r="647" spans="1:30" ht="14.25">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row>
    <row r="648" spans="1:30" ht="14.25">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row>
    <row r="649" spans="1:30" ht="14.25">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row>
    <row r="650" spans="1:30" ht="14.25">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row>
    <row r="651" spans="1:30" ht="14.25">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row>
    <row r="652" spans="1:30" ht="14.25">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row>
    <row r="653" spans="1:30" ht="14.25">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row>
    <row r="654" spans="1:30" ht="14.25">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row>
    <row r="655" spans="1:30" ht="14.2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row>
    <row r="656" spans="1:30" ht="14.25">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row>
    <row r="657" spans="1:30" ht="14.25">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row>
    <row r="658" spans="1:30" ht="14.25">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row>
    <row r="659" spans="1:30" ht="14.25">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row>
    <row r="660" spans="1:30" ht="14.25">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row>
    <row r="661" spans="1:30" ht="14.25">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row>
    <row r="662" spans="1:30" ht="14.25">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row>
    <row r="663" spans="1:30" ht="14.25">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row>
    <row r="664" spans="1:30" ht="14.25">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row>
    <row r="665" spans="1:30" ht="14.2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row>
    <row r="666" spans="1:30" ht="14.25">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row>
    <row r="667" spans="1:30" ht="14.25">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row>
    <row r="668" spans="1:30" ht="14.25">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row>
    <row r="669" spans="1:30" ht="14.25">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row>
    <row r="670" spans="1:30" ht="14.25">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row>
    <row r="671" spans="1:30" ht="14.25">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row>
    <row r="672" spans="1:30" ht="14.25">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row>
    <row r="673" spans="1:30" ht="14.25">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row>
    <row r="674" spans="1:30" ht="14.25">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row>
    <row r="675" spans="1:30" ht="14.2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row>
    <row r="676" spans="1:30" ht="14.25">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row>
    <row r="677" spans="1:30" ht="14.25">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row>
    <row r="678" spans="1:30" ht="14.25">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row>
    <row r="679" spans="1:30" ht="14.25">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row>
    <row r="680" spans="1:30" ht="14.25">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row>
    <row r="681" spans="1:30" ht="14.25">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row>
    <row r="682" spans="1:30" ht="14.25">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row>
    <row r="683" spans="1:30" ht="14.25">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row>
    <row r="684" spans="1:30" ht="14.25">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row>
    <row r="685" spans="1:30" ht="14.2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row>
    <row r="686" spans="1:30" ht="14.25">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row>
    <row r="687" spans="1:30" ht="14.25">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row>
    <row r="688" spans="1:30" ht="14.25">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row>
    <row r="689" spans="1:30" ht="14.25">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row>
    <row r="690" spans="1:30" ht="14.25">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row>
    <row r="691" spans="1:30" ht="14.25">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row>
    <row r="692" spans="1:30" ht="14.25">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row>
    <row r="693" spans="1:30" ht="14.25">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row>
    <row r="694" spans="1:30" ht="14.25">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row>
    <row r="695" spans="1:30" ht="14.2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row>
    <row r="696" spans="1:30" ht="14.25">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row>
    <row r="697" spans="1:30" ht="14.25">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row>
    <row r="698" spans="1:30" ht="14.25">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row>
    <row r="699" spans="1:30" ht="14.25">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row>
    <row r="700" spans="1:30" ht="14.25">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row>
    <row r="701" spans="1:30" ht="14.25">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row>
    <row r="702" spans="1:30" ht="14.25">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row>
    <row r="703" spans="1:30" ht="14.25">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row>
    <row r="704" spans="1:30" ht="14.25">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row>
    <row r="705" spans="1:30" ht="14.2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row>
    <row r="706" spans="1:30" ht="14.25">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row>
    <row r="707" spans="1:30" ht="14.25">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row>
    <row r="708" spans="1:30" ht="14.25">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row>
    <row r="709" spans="1:30" ht="14.25">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row>
    <row r="710" spans="1:30" ht="14.25">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row>
    <row r="711" spans="1:30" ht="14.25">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row>
    <row r="712" spans="1:30" ht="14.25">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row>
    <row r="713" spans="1:30" ht="14.25">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row>
    <row r="714" spans="1:30" ht="14.25">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row>
    <row r="715" spans="1:30" ht="14.2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row>
    <row r="716" spans="1:30" ht="14.25">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row>
    <row r="717" spans="1:30" ht="14.25">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row>
    <row r="718" spans="1:30" ht="14.25">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row>
    <row r="719" spans="1:30" ht="14.25">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row>
    <row r="720" spans="1:30" ht="14.25">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row>
    <row r="721" spans="1:30" ht="14.25">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row>
    <row r="722" spans="1:30" ht="14.25">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row>
    <row r="723" spans="1:30" ht="14.25">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row>
    <row r="724" spans="1:30" ht="14.25">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row>
    <row r="725" spans="1:30" ht="14.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row>
    <row r="726" spans="1:30" ht="14.25">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row>
    <row r="727" spans="1:30" ht="14.25">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row>
    <row r="728" spans="1:30" ht="14.25">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row>
    <row r="729" spans="1:30" ht="14.25">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row>
    <row r="730" spans="1:30" ht="14.25">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row>
    <row r="731" spans="1:30" ht="14.25">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row>
    <row r="732" spans="1:30" ht="14.25">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row>
    <row r="733" spans="1:30" ht="14.25">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row>
    <row r="734" spans="1:30" ht="14.25">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row>
    <row r="735" spans="1:30" ht="14.2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row>
    <row r="736" spans="1:30" ht="14.25">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row>
    <row r="737" spans="1:30" ht="14.25">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row>
    <row r="738" spans="1:30" ht="14.25">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row>
    <row r="739" spans="1:30" ht="14.25">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row>
    <row r="740" spans="1:30" ht="14.25">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row>
    <row r="741" spans="1:30" ht="14.25">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row>
    <row r="742" spans="1:30" ht="14.25">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row>
    <row r="743" spans="1:30" ht="14.25">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row>
    <row r="744" spans="1:30" ht="14.25">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row>
    <row r="745" spans="1:30" ht="14.2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row>
    <row r="746" spans="1:30" ht="14.25">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row>
    <row r="747" spans="1:30" ht="14.25">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row>
    <row r="748" spans="1:30" ht="14.25">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row>
    <row r="749" spans="1:30" ht="14.25">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row>
    <row r="750" spans="1:30" ht="14.25">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row>
    <row r="751" spans="1:30" ht="14.25">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row>
    <row r="752" spans="1:30" ht="14.25">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row>
    <row r="753" spans="1:30" ht="14.25">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row>
    <row r="754" spans="1:30" ht="14.25">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row>
    <row r="755" spans="1:30" ht="14.2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row>
    <row r="756" spans="1:30" ht="14.25">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row>
    <row r="757" spans="1:30" ht="14.25">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row>
    <row r="758" spans="1:30" ht="14.25">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row>
    <row r="759" spans="1:30" ht="14.25">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row>
    <row r="760" spans="1:30" ht="14.25">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row>
    <row r="761" spans="1:30" ht="14.25">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row>
    <row r="762" spans="1:30" ht="14.25">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row>
    <row r="763" spans="1:30" ht="14.25">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row>
    <row r="764" spans="1:30" ht="14.25">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row>
    <row r="765" spans="1:30" ht="14.2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row>
    <row r="766" spans="1:30" ht="14.25">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row>
    <row r="767" spans="1:30" ht="14.25">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row>
    <row r="768" spans="1:30" ht="14.25">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row>
    <row r="769" spans="1:30" ht="14.25">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row>
    <row r="770" spans="1:30" ht="14.25">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row>
    <row r="771" spans="1:30" ht="14.25">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row>
    <row r="772" spans="1:30" ht="14.25">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row>
    <row r="773" spans="1:30" ht="14.25">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row>
    <row r="774" spans="1:30" ht="14.25">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row>
    <row r="775" spans="1:30" ht="14.2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row>
    <row r="776" spans="1:30" ht="14.25">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row>
    <row r="777" spans="1:30" ht="14.25">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row>
    <row r="778" spans="1:30" ht="14.25">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row>
    <row r="779" spans="1:30" ht="14.25">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row>
    <row r="780" spans="1:30" ht="14.25">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row>
    <row r="781" spans="1:30" ht="14.25">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row>
    <row r="782" spans="1:30" ht="14.25">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row>
    <row r="783" spans="1:30" ht="14.25">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row>
    <row r="784" spans="1:30" ht="14.25">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row>
    <row r="785" spans="1:30" ht="14.2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row>
    <row r="786" spans="1:30" ht="14.25">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row>
    <row r="787" spans="1:30" ht="14.25">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row>
    <row r="788" spans="1:30" ht="14.25">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row>
    <row r="789" spans="1:30" ht="14.25">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row>
    <row r="790" spans="1:30" ht="14.25">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row>
    <row r="791" spans="1:30" ht="14.25">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row>
    <row r="792" spans="1:30" ht="14.25">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row>
    <row r="793" spans="1:30" ht="14.25">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row>
    <row r="794" spans="1:30" ht="14.25">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row>
    <row r="795" spans="1:30" ht="14.2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row>
    <row r="796" spans="1:30" ht="14.25">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row>
    <row r="797" spans="1:30" ht="14.25">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row>
    <row r="798" spans="1:30" ht="14.25">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row>
    <row r="799" spans="1:30" ht="14.25">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row>
    <row r="800" spans="1:30" ht="14.25">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row>
    <row r="801" spans="1:30" ht="14.25">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row>
    <row r="802" spans="1:30" ht="14.25">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row>
    <row r="803" spans="1:30" ht="14.25">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row>
    <row r="804" spans="1:30" ht="14.25">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row>
    <row r="805" spans="1:30" ht="14.2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row>
    <row r="806" spans="1:30" ht="14.25">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row>
    <row r="807" spans="1:30" ht="14.25">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row>
    <row r="808" spans="1:30" ht="14.25">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row>
    <row r="809" spans="1:30" ht="14.25">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row>
    <row r="810" spans="1:30" ht="14.25">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row>
    <row r="811" spans="1:30" ht="14.25">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row>
    <row r="812" spans="1:30" ht="14.25">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row>
    <row r="813" spans="1:30" ht="14.25">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row>
    <row r="814" spans="1:30" ht="14.25">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row>
    <row r="815" spans="1:30" ht="14.2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row>
    <row r="816" spans="1:30" ht="14.25">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row>
    <row r="817" spans="1:30" ht="14.25">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row>
    <row r="818" spans="1:30" ht="14.25">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row>
    <row r="819" spans="1:30" ht="14.25">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row>
    <row r="820" spans="1:30" ht="14.25">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row>
    <row r="821" spans="1:30" ht="14.25">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row>
    <row r="822" spans="1:30" ht="14.25">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row>
    <row r="823" spans="1:30" ht="14.25">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row>
    <row r="824" spans="1:30" ht="14.25">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row>
    <row r="825" spans="1:30" ht="14.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row>
    <row r="826" spans="1:30" ht="14.25">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row>
    <row r="827" spans="1:30" ht="14.25">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row>
    <row r="828" spans="1:30" ht="14.25">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row>
    <row r="829" spans="1:30" ht="14.25">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row>
    <row r="830" spans="1:30" ht="14.25">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row>
    <row r="831" spans="1:30" ht="14.25">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row>
    <row r="832" spans="1:30" ht="14.25">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row>
    <row r="833" spans="1:30" ht="14.25">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row>
    <row r="834" spans="1:30" ht="14.25">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row>
    <row r="835" spans="1:30" ht="14.2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row>
    <row r="836" spans="1:30" ht="14.25">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row>
    <row r="837" spans="1:30" ht="14.25">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row>
    <row r="838" spans="1:30" ht="14.25">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row>
    <row r="839" spans="1:30" ht="14.25">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row>
    <row r="840" spans="1:30" ht="14.25">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row>
    <row r="841" spans="1:30" ht="14.25">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row>
    <row r="842" spans="1:30" ht="14.25">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row>
    <row r="843" spans="1:30" ht="14.25">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row>
    <row r="844" spans="1:30" ht="14.25">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row>
    <row r="845" spans="1:30" ht="14.2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row>
    <row r="846" spans="1:30" ht="14.25">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row>
    <row r="847" spans="1:30" ht="14.25">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row>
    <row r="848" spans="1:30" ht="14.25">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row>
    <row r="849" spans="1:30" ht="14.25">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row>
    <row r="850" spans="1:30" ht="14.25">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row>
    <row r="851" spans="1:30" ht="14.25">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row>
    <row r="852" spans="1:30" ht="14.25">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row>
    <row r="853" spans="1:30" ht="14.25">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row>
    <row r="854" spans="1:30" ht="14.25">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row>
    <row r="855" spans="1:30" ht="14.2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row>
    <row r="856" spans="1:30" ht="14.25">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row>
    <row r="857" spans="1:30" ht="14.25">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row>
    <row r="858" spans="1:30" ht="14.25">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row>
    <row r="859" spans="1:30" ht="14.25">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row>
    <row r="860" spans="1:30" ht="14.25">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row>
    <row r="861" spans="1:30" ht="14.25">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row>
    <row r="862" spans="1:30" ht="14.25">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row>
    <row r="863" spans="1:30" ht="14.25">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row>
    <row r="864" spans="1:30" ht="14.25">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row>
    <row r="865" spans="1:30" ht="14.2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row>
    <row r="866" spans="1:30" ht="14.25">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row>
    <row r="867" spans="1:30" ht="14.25">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row>
    <row r="868" spans="1:30" ht="14.25">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row>
    <row r="869" spans="1:30" ht="14.25">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row>
    <row r="870" spans="1:30" ht="14.25">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row>
    <row r="871" spans="1:30" ht="14.25">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row>
    <row r="872" spans="1:30" ht="14.25">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row>
    <row r="873" spans="1:30" ht="14.25">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row>
    <row r="874" spans="1:30" ht="14.25">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row>
    <row r="875" spans="1:30" ht="14.2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row>
    <row r="876" spans="1:30" ht="14.25">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row>
    <row r="877" spans="1:30" ht="14.25">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row>
    <row r="878" spans="1:30" ht="14.25">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row>
    <row r="879" spans="1:30" ht="14.25">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row>
    <row r="880" spans="1:30" ht="14.25">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row>
    <row r="881" spans="1:30" ht="14.25">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row>
    <row r="882" spans="1:30" ht="14.25">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row>
    <row r="883" spans="1:30" ht="14.25">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row>
    <row r="884" spans="1:30" ht="14.25">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row>
    <row r="885" spans="1:30" ht="14.2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row>
    <row r="886" spans="1:30" ht="14.25">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row>
    <row r="887" spans="1:30" ht="14.25">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row>
    <row r="888" spans="1:30" ht="14.25">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row>
    <row r="889" spans="1:30" ht="14.25">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row>
    <row r="890" spans="1:30" ht="14.25">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row>
    <row r="891" spans="1:30" ht="14.25">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row>
    <row r="892" spans="1:30" ht="14.25">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row>
    <row r="893" spans="1:30" ht="14.25">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row>
    <row r="894" spans="1:30" ht="14.25">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row>
    <row r="895" spans="1:30" ht="14.2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row>
    <row r="896" spans="1:30" ht="14.25">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row>
    <row r="897" spans="1:30" ht="14.25">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row>
    <row r="898" spans="1:30" ht="14.25">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row>
    <row r="899" spans="1:30" ht="14.25">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row>
    <row r="900" spans="1:30" ht="14.25">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row>
    <row r="901" spans="1:30" ht="14.25">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row>
    <row r="902" spans="1:30" ht="14.25">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row>
    <row r="903" spans="1:30" ht="14.25">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row>
    <row r="904" spans="1:30" ht="14.25">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row>
    <row r="905" spans="1:30" ht="14.2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row>
    <row r="906" spans="1:30" ht="14.25">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row>
    <row r="907" spans="1:30" ht="14.25">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row>
    <row r="908" spans="1:30" ht="14.25">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row>
    <row r="909" spans="1:30" ht="14.25">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row>
    <row r="910" spans="1:30" ht="14.25">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row>
    <row r="911" spans="1:30" ht="14.25">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row>
    <row r="912" spans="1:30" ht="14.25">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row>
    <row r="913" spans="1:30" ht="14.25">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row>
    <row r="914" spans="1:30" ht="14.25">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row>
    <row r="915" spans="1:30" ht="14.2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row>
    <row r="916" spans="1:30" ht="14.25">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row>
    <row r="917" spans="1:30" ht="14.25">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row>
    <row r="918" spans="1:30" ht="14.25">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row>
    <row r="919" spans="1:30">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row>
  </sheetData>
  <autoFilter ref="A3:AD371" xr:uid="{00000000-0009-0000-0000-000004000000}">
    <filterColumn colId="4">
      <filters>
        <filter val="1"/>
        <filter val="2"/>
        <filter val="aa"/>
        <filter val="asthma"/>
        <filter val="bb"/>
        <filter val="breast"/>
        <filter val="COPD"/>
      </filters>
    </filterColumn>
    <sortState xmlns:xlrd2="http://schemas.microsoft.com/office/spreadsheetml/2017/richdata2" ref="A3:AD371">
      <sortCondition ref="E3:E371"/>
    </sortState>
  </autoFilter>
  <mergeCells count="6">
    <mergeCell ref="A1:AD1"/>
    <mergeCell ref="B2:Q2"/>
    <mergeCell ref="R2:V2"/>
    <mergeCell ref="W2:Y2"/>
    <mergeCell ref="Z2:AB2"/>
    <mergeCell ref="AC2:AD2"/>
  </mergeCells>
  <conditionalFormatting sqref="A78:AD81">
    <cfRule type="containsBlanks" dxfId="0" priority="1">
      <formula>LEN(TRIM(A78))=0</formula>
    </cfRule>
  </conditionalFormatting>
  <dataValidations count="1">
    <dataValidation type="list" allowBlank="1" showErrorMessage="1" sqref="Q232:Q235 C4:C919 AC4:AD919 P4:P919" xr:uid="{00000000-0002-0000-0400-000001000000}">
      <formula1>#REF!</formula1>
    </dataValidation>
  </dataValidations>
  <hyperlinks>
    <hyperlink ref="H4" r:id="rId1" xr:uid="{00000000-0004-0000-0400-000000000000}"/>
    <hyperlink ref="G23" r:id="rId2" location="Sec15" xr:uid="{00000000-0004-0000-0400-000001000000}"/>
    <hyperlink ref="H23" r:id="rId3" xr:uid="{00000000-0004-0000-0400-000002000000}"/>
    <hyperlink ref="H24" r:id="rId4" xr:uid="{00000000-0004-0000-0400-000003000000}"/>
    <hyperlink ref="H28" r:id="rId5" xr:uid="{00000000-0004-0000-0400-000004000000}"/>
    <hyperlink ref="H29" r:id="rId6" xr:uid="{00000000-0004-0000-0400-000005000000}"/>
    <hyperlink ref="H30" r:id="rId7" xr:uid="{00000000-0004-0000-0400-000006000000}"/>
    <hyperlink ref="H31" r:id="rId8" xr:uid="{00000000-0004-0000-0400-000007000000}"/>
    <hyperlink ref="H32" r:id="rId9" xr:uid="{00000000-0004-0000-0400-000008000000}"/>
    <hyperlink ref="H33" r:id="rId10" xr:uid="{00000000-0004-0000-0400-000009000000}"/>
    <hyperlink ref="H34" r:id="rId11" xr:uid="{00000000-0004-0000-0400-00000A000000}"/>
    <hyperlink ref="H35" r:id="rId12" xr:uid="{00000000-0004-0000-0400-00000B000000}"/>
    <hyperlink ref="H36" r:id="rId13" xr:uid="{00000000-0004-0000-0400-00000C000000}"/>
    <hyperlink ref="H37" r:id="rId14" xr:uid="{00000000-0004-0000-0400-00000D000000}"/>
    <hyperlink ref="H38" r:id="rId15" xr:uid="{00000000-0004-0000-0400-00000E000000}"/>
    <hyperlink ref="H39" r:id="rId16" xr:uid="{00000000-0004-0000-0400-00000F000000}"/>
    <hyperlink ref="H105" r:id="rId17" xr:uid="{00000000-0004-0000-0400-000010000000}"/>
    <hyperlink ref="H106" r:id="rId18" xr:uid="{00000000-0004-0000-0400-000011000000}"/>
    <hyperlink ref="H107" r:id="rId19" xr:uid="{00000000-0004-0000-0400-000012000000}"/>
    <hyperlink ref="H108" r:id="rId20" xr:uid="{00000000-0004-0000-0400-000013000000}"/>
    <hyperlink ref="H133" r:id="rId21" xr:uid="{00000000-0004-0000-0400-000014000000}"/>
    <hyperlink ref="G193" r:id="rId22" xr:uid="{00000000-0004-0000-0400-000015000000}"/>
    <hyperlink ref="G195" r:id="rId23" xr:uid="{00000000-0004-0000-0400-000016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Paper reference based on ID</vt:lpstr>
      <vt:lpstr>Studies</vt:lpstr>
      <vt:lpstr>Comparisons</vt:lpstr>
      <vt:lpstr>Duplication check - Gam</vt:lpstr>
      <vt:lpstr>Duplication check - Dung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Dũng Nguyễn</cp:lastModifiedBy>
  <dcterms:modified xsi:type="dcterms:W3CDTF">2026-07-28T09:14:59Z</dcterms:modified>
</cp:coreProperties>
</file>